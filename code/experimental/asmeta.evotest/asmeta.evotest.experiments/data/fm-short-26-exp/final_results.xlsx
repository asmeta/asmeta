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icop\Desktop\RepoLocaliGit\asmeta\code\experimental\asmeta.evotest\asmeta.evotest.experiments\data\fm-short-26-exp\"/>
    </mc:Choice>
  </mc:AlternateContent>
  <xr:revisionPtr revIDLastSave="0" documentId="13_ncr:1_{DF3E0E8E-485E-4A92-A1BB-9E5E0CD55438}" xr6:coauthVersionLast="47" xr6:coauthVersionMax="47" xr10:uidLastSave="{00000000-0000-0000-0000-000000000000}"/>
  <bookViews>
    <workbookView xWindow="9510" yWindow="-3630" windowWidth="19380" windowHeight="11460" xr2:uid="{00000000-000D-0000-FFFF-FFFF00000000}"/>
  </bookViews>
  <sheets>
    <sheet name="result" sheetId="2" r:id="rId1"/>
  </sheets>
  <definedNames>
    <definedName name="DatiEsterni_1" localSheetId="0" hidden="1">'result'!$A$1:$N$2382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395" i="2" l="1"/>
  <c r="Q2394" i="2"/>
  <c r="Q2393" i="2"/>
  <c r="Q2392" i="2"/>
  <c r="Q2391" i="2"/>
  <c r="Q2389" i="2"/>
  <c r="Q2384" i="2"/>
  <c r="Q2390" i="2"/>
  <c r="M2385" i="2"/>
  <c r="L2385" i="2"/>
  <c r="F2386" i="2"/>
  <c r="F2387" i="2"/>
  <c r="M2387" i="2"/>
  <c r="M2389" i="2"/>
  <c r="M2388" i="2"/>
  <c r="F2389" i="2"/>
  <c r="F2388" i="2"/>
  <c r="O2" i="2"/>
  <c r="Q2385" i="2" s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Q2386" i="2" l="1"/>
  <c r="Q2387" i="2"/>
  <c r="O2389" i="2"/>
  <c r="O2387" i="2"/>
  <c r="O238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0E2E5D-90D2-49B8-8069-F4ABDD4E7E12}" keepAlive="1" name="Query - result" description="Connessione alla query 'result' nella cartella di lavoro." type="5" refreshedVersion="8" background="1" saveData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<sst xmlns="http://schemas.openxmlformats.org/spreadsheetml/2006/main" count="9694" uniqueCount="379">
  <si>
    <t>asm_path</t>
  </si>
  <si>
    <t>iteration</t>
  </si>
  <si>
    <t>status</t>
  </si>
  <si>
    <t>iteration_exec_time_ms</t>
  </si>
  <si>
    <t>generation_exec_time_ms</t>
  </si>
  <si>
    <t>correct_scenarios</t>
  </si>
  <si>
    <t>n_step</t>
  </si>
  <si>
    <t>n_set</t>
  </si>
  <si>
    <t>n_check</t>
  </si>
  <si>
    <t>failing_scenarios</t>
  </si>
  <si>
    <t>validation_error_scenarios</t>
  </si>
  <si>
    <t>tot_mutants</t>
  </si>
  <si>
    <t>n_killed_mutants_cumulativa</t>
  </si>
  <si>
    <t>idx_killed_mutants_cumulative</t>
  </si>
  <si>
    <t>asm_examples/examples/simple_example/population.asm</t>
  </si>
  <si>
    <t>IT1</t>
  </si>
  <si>
    <t>OK</t>
  </si>
  <si>
    <t/>
  </si>
  <si>
    <t>IT2</t>
  </si>
  <si>
    <t>IT3</t>
  </si>
  <si>
    <t>IT4</t>
  </si>
  <si>
    <t>IT5</t>
  </si>
  <si>
    <t>ALL</t>
  </si>
  <si>
    <t>asm_examples/examples/landingGearSystem/LGS_EV.asm</t>
  </si>
  <si>
    <t>IT6</t>
  </si>
  <si>
    <t>IT7</t>
  </si>
  <si>
    <t>IT8</t>
  </si>
  <si>
    <t>IT9</t>
  </si>
  <si>
    <t>asm_examples/PillBox/Level1/pillbox_1.asm</t>
  </si>
  <si>
    <t>7</t>
  </si>
  <si>
    <t>IT10</t>
  </si>
  <si>
    <t>IT11</t>
  </si>
  <si>
    <t>asm_examples/examples/RushHour/RushHourMon.asm</t>
  </si>
  <si>
    <t>asm_examples/examples/RushHour/RushHour.asm</t>
  </si>
  <si>
    <t>asm_examples/stereoacuity/certifier_nochoose_noundef.asm</t>
  </si>
  <si>
    <t>4;8</t>
  </si>
  <si>
    <t>IT12</t>
  </si>
  <si>
    <t>asm_examples/examples/fsmsemantics/FSM_hooking.asm</t>
  </si>
  <si>
    <t>asm_examples/PillBox/Level2/pillbox_2.asm</t>
  </si>
  <si>
    <t>7;8</t>
  </si>
  <si>
    <t>IT13</t>
  </si>
  <si>
    <t>asm_examples/erinda/FMS_IO_2.asm</t>
  </si>
  <si>
    <t>asm_examples/examples/RushHour/RushHourMonSimplForAsmetaSMV.asm</t>
  </si>
  <si>
    <t>asm_examples/examples/NeedhamSchroeder/NeedhamSchroederWithSpy.asm</t>
  </si>
  <si>
    <t>asm_examples/examples/traffic_light/oneWayTrafficLight.asm</t>
  </si>
  <si>
    <t>8</t>
  </si>
  <si>
    <t>asm_examples/examples/coffeeVendingMachine/coffeeVendingMachine.asm</t>
  </si>
  <si>
    <t>IT14</t>
  </si>
  <si>
    <t>IT15</t>
  </si>
  <si>
    <t>IT16</t>
  </si>
  <si>
    <t>IT17</t>
  </si>
  <si>
    <t>IT18</t>
  </si>
  <si>
    <t>IT19</t>
  </si>
  <si>
    <t>IT20</t>
  </si>
  <si>
    <t>asm_examples/examples/sleepingBarber/sleepingBarber.asm</t>
  </si>
  <si>
    <t>0</t>
  </si>
  <si>
    <t>asm_examples/examples/sluicegate/sluiceGateMotorCtl.asm</t>
  </si>
  <si>
    <t>2</t>
  </si>
  <si>
    <t>asm_examples/examples/ABZ2020/CarSystemModule/CarSystem007/CarSystem007main.asm</t>
  </si>
  <si>
    <t>asm_examples/DAS/TrafficMonitoringSystem/validation/mainForModelCheckingR4.asm</t>
  </si>
  <si>
    <t>asm_examples/examples/traffic_light/oneWayTrafficLightUsingEnum.asm</t>
  </si>
  <si>
    <t>asm_examples/examples/flashProtocol/flashProtocol_N2_L1_Q1_C.asm</t>
  </si>
  <si>
    <t>asm_examples/examples/TrafficLightYakindu/TrafficLight0/TrafficLight_0.asm</t>
  </si>
  <si>
    <t>asm_examples/examples/simple_example/ATM3.asm</t>
  </si>
  <si>
    <t>asm_examples/examples/GilbreathCardTrick/GilbreathCardTrick.asm</t>
  </si>
  <si>
    <t>asm_examples/DAS/TrafficMonitoringSystem/mainUnique.asm</t>
  </si>
  <si>
    <t>asm_examples/examples/railRoadGate/railroadGate.asm</t>
  </si>
  <si>
    <t>asm_examples/examples/fsmsemantics/FSM_hooking2.asm</t>
  </si>
  <si>
    <t>asm_examples/examples/hemodialysisDevice/SCP2017/HemodialysisRef3.asm</t>
  </si>
  <si>
    <t>20;13;77</t>
  </si>
  <si>
    <t>20;13;77;15</t>
  </si>
  <si>
    <t>16;20;21;13;77;15</t>
  </si>
  <si>
    <t>asm_examples/examples/hemodialysisDevice/ABZ2016/Hemodialysis_ref3_forMC.asm</t>
  </si>
  <si>
    <t>5;11</t>
  </si>
  <si>
    <t>5;7;11</t>
  </si>
  <si>
    <t>5;7;8;11</t>
  </si>
  <si>
    <t>5;7;8;10;11</t>
  </si>
  <si>
    <t>17;5;38;7;8;10;11</t>
  </si>
  <si>
    <t>17;35;5;38;7;8;10;11;27;28</t>
  </si>
  <si>
    <t>asm_examples/examples/traffic_light/forAsmetaSMV/oneWayTrafficLight.asm</t>
  </si>
  <si>
    <t>5</t>
  </si>
  <si>
    <t>asm_examples/RTPatternLibrary/Test/Test_Sem_Sync.asm</t>
  </si>
  <si>
    <t>asm_examples/PillBox/Level1/pillbox_1_elia.asm</t>
  </si>
  <si>
    <t>asm_examples/unibgstudents/Rubrica.asm</t>
  </si>
  <si>
    <t>asm_examples/examples/ermts_etcs/scenarios/ertms_hl3_scenario6.asm</t>
  </si>
  <si>
    <t>asm_examples/examples/fsmsemantics/FSM_map0_2.asm</t>
  </si>
  <si>
    <t>4</t>
  </si>
  <si>
    <t>asm_examples/stereoacuity/certifierRaff2.asm</t>
  </si>
  <si>
    <t>asm_examples/examples/hemodialysisDevice/ABZ2016/Hemodialysis_ref1_par.asm</t>
  </si>
  <si>
    <t>24</t>
  </si>
  <si>
    <t>asm_examples/examples/smartHome/smartHomeNoMultiChannel.asm</t>
  </si>
  <si>
    <t>asm_examples/stereoacuity/certifierRaff3.asm</t>
  </si>
  <si>
    <t>asm_examples/examples/SemaforiAttraversamentoPedonale.asm</t>
  </si>
  <si>
    <t>asm_examples/examples/petriNets/petriNetNoEdgeWeightNoPlaceCapacity_NoSeq_Matrix.asm</t>
  </si>
  <si>
    <t>asm_examples/examples/sluicegate/Timer/sluiceGateGround.asm</t>
  </si>
  <si>
    <t>asm_examples/examples_for_nuXmv/FunctionInt.asm</t>
  </si>
  <si>
    <t>asm_examples/erinda/for_atgt.asm</t>
  </si>
  <si>
    <t>asm_examples/examples/ferryman/ferrymanSimulator.asm</t>
  </si>
  <si>
    <t>asm_examples/examples/traffic_light/Timer/oneWayTrafficLight_refinedMillisecSec.asm</t>
  </si>
  <si>
    <t>MUTATION_ERROR</t>
  </si>
  <si>
    <t>asm_examples/examples/production_cell/Production_Cell_with_agents.asm</t>
  </si>
  <si>
    <t>asm_examples/examples/agents/producerConsumerRaff.asm</t>
  </si>
  <si>
    <t>asm_examples/examples/sluicegate/sluiceGate_with_agents.asm</t>
  </si>
  <si>
    <t>asm_examples/examples/traffic_light/Timer/oneWayTrafficLight.asm</t>
  </si>
  <si>
    <t>asm_examples/examples/petriNets/petriNetNoEdgeWeightNoPlaceCapacity_NoSeq.asm</t>
  </si>
  <si>
    <t>asm_examples/examples/traffic_light/oneWayTrafficLightUsingEnumFlat.asm</t>
  </si>
  <si>
    <t>asm_examples/PHD/phd_master_flat2_v6.asm</t>
  </si>
  <si>
    <t>asm_examples/examples/hemodialysisDevice/ABZ2016/Hemodialysis_GM.asm</t>
  </si>
  <si>
    <t>asm_examples/PillBox/Level0/pillbox_0.asm</t>
  </si>
  <si>
    <t>asm_examples/examples/authenticationProtocols/groundModel.asm</t>
  </si>
  <si>
    <t>asm_examples/examples/ermts_etcs/scenarios/ertms_hl3_scenario5.asm</t>
  </si>
  <si>
    <t>asm_examples/examples/ermts_etcs/models/ertms_hl3_integer_disco_lostint_lengthchanged_reco_sweep_timer.asm</t>
  </si>
  <si>
    <t>asm_examples/examples/authenticationProtocols/groundModel_v2.asm</t>
  </si>
  <si>
    <t>asm_examples/examples/traffic_light/Timer/oneWayTrafficLight_refinedMillisec.asm</t>
  </si>
  <si>
    <t>asm_examples/examples/ABZ2020/CarSystemModule/CarSystem004/CarSystem004main.asm</t>
  </si>
  <si>
    <t>asm_examples/stereoacuity/certifier_nochoose.asm</t>
  </si>
  <si>
    <t>asm_examples/unibgstudents/Contatore_U_DA_H.asm</t>
  </si>
  <si>
    <t>asm_examples/examples/models/LIFTDC.asm</t>
  </si>
  <si>
    <t>1;2</t>
  </si>
  <si>
    <t>asm_examples/examples/ABZ2020/CarSystemModule/CarSystem008/CarSystem008main.asm</t>
  </si>
  <si>
    <t>asm_examples/examples/simple_example/MorraCinese/withActors/MorraCinese_withActors_raff3.asm</t>
  </si>
  <si>
    <t>asm_examples/DAS/TrafficMonitoringSystem/validation/mainForModelCheckingThreeCameras.asm</t>
  </si>
  <si>
    <t>asm_examples/PHD/phd_master_flat2_v3.asm</t>
  </si>
  <si>
    <t>65</t>
  </si>
  <si>
    <t>asm_examples/examples/GilbreathCardTrick/GilbreathCardTrickSimpl.asm</t>
  </si>
  <si>
    <t>asm_examples/examples/simple_example/fattoriale.asm</t>
  </si>
  <si>
    <t>asm_examples/examples/sultanSuccessors/sultanGreedy.asm</t>
  </si>
  <si>
    <t>asm_examples/DAS/TrafficMonitoringSystem/validation/mainForModelCheckingNoSelfHealerNoFailures.asm</t>
  </si>
  <si>
    <t>asm_examples/examples/models/wiper_abs2.asm</t>
  </si>
  <si>
    <t>asm_examples/PillBox/Level3/pillbox_FULL.asm</t>
  </si>
  <si>
    <t>asm_examples/unibgstudents/RegistroDiCassa.asm</t>
  </si>
  <si>
    <t>asm_examples/examples/models/lift2.asm</t>
  </si>
  <si>
    <t>asm_examples/examples/models/SwapSortMon.asm</t>
  </si>
  <si>
    <t>asm_examples/examples/trafficLightCoSim/controller.asm</t>
  </si>
  <si>
    <t>asm_examples/examples/fsmsemantics/meta_hooking/myFSM.asm</t>
  </si>
  <si>
    <t>asm_examples/examples/RushHour/emptyCellAs0/RushHour.asm</t>
  </si>
  <si>
    <t>asm_examples/examples/ermts_etcs/scenarios/ertms_hl3_scenario4.asm</t>
  </si>
  <si>
    <t>asm_examples/examples/cards.asm</t>
  </si>
  <si>
    <t>asm_examples/examples/simple_example/SwapSort.asm</t>
  </si>
  <si>
    <t>asm_examples/DAS/TrafficMonitoringSystem/validation/mainForModelCheckingWithPatterns.asm</t>
  </si>
  <si>
    <t>asm_examples/examples/simple_example/MorraCinese/MorraCinese_raff3.asm</t>
  </si>
  <si>
    <t>asm_examples/examples/TrafficLightYakindu/TrafficLight2/TrafficLight_2.asm</t>
  </si>
  <si>
    <t>13</t>
  </si>
  <si>
    <t>asm_examples/examples/parking.asm</t>
  </si>
  <si>
    <t>asm_examples/PillBox/Level1/pillbox_1_for_RefProv.asm</t>
  </si>
  <si>
    <t>asm_examples/examples/hemodialysisDevice/ABZ2016/Hemodialysis_ref4.asm</t>
  </si>
  <si>
    <t>57</t>
  </si>
  <si>
    <t>asm_examples/stereoacuity/certifierGround.asm</t>
  </si>
  <si>
    <t>asm_examples/examples/landingGearSystem/LGS_SE_v2.asm</t>
  </si>
  <si>
    <t>asm_examples/examples/simple_example/MorraCinese/MorraCinese_raff1.asm</t>
  </si>
  <si>
    <t>asm_examples/examples/sensorVotingSimpleVersion.asm</t>
  </si>
  <si>
    <t>asm_examples/examples/agents/FileSystem.asm</t>
  </si>
  <si>
    <t>asm_examples/examples/Yahalom/FlawedYahalom.asm</t>
  </si>
  <si>
    <t>asm_examples/examples/models/lift3.asm</t>
  </si>
  <si>
    <t>asm_examples/examples/ABZ2020/CarSystemModule/CarSystem006/CarSystem006main.asm</t>
  </si>
  <si>
    <t>asm_examples/examples/RushHour/emptyCellAs0/RushHourMon.asm</t>
  </si>
  <si>
    <t>asm_examples/examples/simple_example/AdvancedClockDeciSecond.asm</t>
  </si>
  <si>
    <t>asm_examples/examples/traffic_light/oneWayTrafficLightOnlyPassed.asm</t>
  </si>
  <si>
    <t>asm_examples/examples/ferryman/ferrymanSimulator_raff1.asm</t>
  </si>
  <si>
    <t>asm_examples/examples/agents/producerConsumerGround.asm</t>
  </si>
  <si>
    <t>asm_examples/erinda/FMS_IO_3.asm</t>
  </si>
  <si>
    <t>asm_examples/examples/ermts_etcs/models/ertms_hl3_integer_disconnected_train.asm</t>
  </si>
  <si>
    <t>asm_examples/examples/filosofiEciliegie/filosofiEciliegieJustLeft.asm</t>
  </si>
  <si>
    <t>asm_examples/examples/simple_example/population_raff1_twoPersons.asm</t>
  </si>
  <si>
    <t>asm_examples/examples/agents/processesSchedulerShortestJobNext.asm</t>
  </si>
  <si>
    <t>asm_examples/examples/ermts_etcs/models/ertms_hl3_integer_train.asm</t>
  </si>
  <si>
    <t>asm_examples/examples/smartHome/smartHome.asm</t>
  </si>
  <si>
    <t>asm_examples/examples/ermts_etcs/scenarios/ertms_hl3_scenario3.asm</t>
  </si>
  <si>
    <t>asm_examples/DAS/TrafficMonitoringSystem/validation/mainForModelCheckingTwoCameras.asm</t>
  </si>
  <si>
    <t>asm_examples/examples/petriNets/forModelAdvisor/petriNet_forModelAdvisor_InconsUpdateViolation.asm</t>
  </si>
  <si>
    <t>asm_examples/stereoacuity/modelReview/certifierGroundWrongGuard.asm</t>
  </si>
  <si>
    <t>asm_examples/PillBox/Level3/pillbox_FULL_elia.asm</t>
  </si>
  <si>
    <t>asm_examples/examples/simple_example/MorraCinese/MorraCinese_raff2.asm</t>
  </si>
  <si>
    <t>asm_examples/examples/fsmsemantics/FSM_map0.asm</t>
  </si>
  <si>
    <t>asm_examples/examples/traffic_light/oneWayTrafficLight_refined_with_agents_problem.asm</t>
  </si>
  <si>
    <t>12</t>
  </si>
  <si>
    <t>asm_examples/examples/giocoDelleTreScatole.asm</t>
  </si>
  <si>
    <t>asm_examples/stereoacuity/certifierRaff1.asm</t>
  </si>
  <si>
    <t>asm_examples/examples/sluicegate/sluiceGateGround.asm</t>
  </si>
  <si>
    <t>asm_examples/examples/ermts_etcs/models/integer_train.asm</t>
  </si>
  <si>
    <t>asm_examples/examples/simple_example/MorraCinese/withActors/MorraCinese_withActors_raff1.asm</t>
  </si>
  <si>
    <t>asm_examples/examples/library/Library.asm</t>
  </si>
  <si>
    <t>asm_examples/examples/ABZ2020/CarSystemModule/CarSystem002/CarSystem002main.asm</t>
  </si>
  <si>
    <t>asm_examples/PHD/phd_master_flat2_v1.asm</t>
  </si>
  <si>
    <t>26</t>
  </si>
  <si>
    <t>asm_examples/examples/NeedhamSchroeder/NeedhamSchroeder.asm</t>
  </si>
  <si>
    <t>asm_examples/examples/filosofiEciliegie/filosofiEciliegie.asm</t>
  </si>
  <si>
    <t>asm_examples/examples/models/FlipFlop.asm</t>
  </si>
  <si>
    <t>asm_examples/examples/agents/populationAgent_raff1_fourPersons.asm</t>
  </si>
  <si>
    <t>asm_examples/examples/fsmsemantics/meta_hooking/FSM.asm</t>
  </si>
  <si>
    <t>asm_examples/examples/sluicegate/Timer/sluiceGateMotorCtl.asm</t>
  </si>
  <si>
    <t>asm_examples/examples/battleship.asm</t>
  </si>
  <si>
    <t>asm_examples/examples/traffic_light/oneWayTrafficLight_refined_with_agents_seq.asm</t>
  </si>
  <si>
    <t>asm_examples/examples/ermts_etcs/scenarios/ertms_hl3_scenario9.asm</t>
  </si>
  <si>
    <t>asm_examples/examples/hemodialysisDevice/SCP2017/HemodialysisGround.asm</t>
  </si>
  <si>
    <t>asm_examples/examples/hemodialysisDevice/ABZ2016/Hemodialysis_ref4_forMC.asm</t>
  </si>
  <si>
    <t>25;31</t>
  </si>
  <si>
    <t>25;27;31</t>
  </si>
  <si>
    <t>25;27;28;31</t>
  </si>
  <si>
    <t>asm_examples/stereoacuity/certifierRaff4_noundef.asm</t>
  </si>
  <si>
    <t>asm_examples/DAS/TrafficMonitoringSystem/validation/mainForModelCheckingNoSelfHealer.asm</t>
  </si>
  <si>
    <t>asm_examples/examples/traffic_light/Timer/oneWayTrafficLight_refinedSec.asm</t>
  </si>
  <si>
    <t>asm_examples/examples/simple_example/AdvancedClock2.asm</t>
  </si>
  <si>
    <t>asm_examples/examples/ermts_etcs/scenarios/ertms_hl3_scenario2.asm</t>
  </si>
  <si>
    <t>asm_examples/examples/GilbreathCardTrick/workingButNotElegant/GilbreathCardTrickWithAuxFunctionSimple.asm</t>
  </si>
  <si>
    <t>asm_examples/examples/trafficLightCoSim/trafficlightA.asm</t>
  </si>
  <si>
    <t>asm_examples/DAS/TrafficMonitoringSystem/validation/mainForModelCheckingR1.asm</t>
  </si>
  <si>
    <t>asm_examples/examples/simple_example/IncosistentUpdate.asm</t>
  </si>
  <si>
    <t>asm_examples/examples/ermts_etcs/models/ertms_hl3_integer_disco_lostint_lengthchanged_reco_sweep.asm</t>
  </si>
  <si>
    <t>asm_examples/examples/hemodialysisDevice/ABZ2016/Hemodialysis_ref3_par.asm</t>
  </si>
  <si>
    <t>25</t>
  </si>
  <si>
    <t>asm_examples/DAS/TrafficMonitoringSystem/seams2015/trafficMonitoringSystem.asm</t>
  </si>
  <si>
    <t>asm_examples/unibgstudents/VideotecaASM.asm</t>
  </si>
  <si>
    <t>asm_examples/examples/ticTacToe/ticTacToe_simulator_with_inv.asm</t>
  </si>
  <si>
    <t>asm_examples/unibgstudents/stufa.asm</t>
  </si>
  <si>
    <t>asm_examples/examples/RushHour/emptyCellAs0/RushHourMonForAsmetaSMV.asm</t>
  </si>
  <si>
    <t>asm_examples/examples/traffic_light/oneWayTrafficLight_refined_with_agents.asm</t>
  </si>
  <si>
    <t>asm_examples/examples/agents/populationAgent.asm</t>
  </si>
  <si>
    <t>asm_examples/examples/slotMachine.asm</t>
  </si>
  <si>
    <t>asm_examples/DAS/TrafficMonitoringSystem/validation/mainForModelChecking.asm</t>
  </si>
  <si>
    <t>asm_examples/examples/NeedhamSchroeder/NeedhamSchroederLoweWithSpy.asm</t>
  </si>
  <si>
    <t>asm_examples/examples/RushHour/emptyCellAs0/RushHourForAsmetaSMV.asm</t>
  </si>
  <si>
    <t>asm_examples/examples/philosophers/philosophers2.asm</t>
  </si>
  <si>
    <t>asm_examples/examples/ABZ2020/CarSystemModule/CarSystem005/CarSystem005main.asm</t>
  </si>
  <si>
    <t>asm_examples/examples/simple_example/MorraCinese/withActors/MorraCinese_withActors_raff2.asm</t>
  </si>
  <si>
    <t>asm_examples/PHD/phd_master_flat2_v2.asm</t>
  </si>
  <si>
    <t>63</t>
  </si>
  <si>
    <t>asm_examples/examples/GilbreathCardTrick/GilbreathCardTrickFasterShuffleForAsmetaSMV.asm</t>
  </si>
  <si>
    <t>asm_examples/examples/simple_example/while.asm</t>
  </si>
  <si>
    <t>asm_examples/DAS/TrafficMonitoringSystem/journal/trafficMonitoringForExperiments.asm</t>
  </si>
  <si>
    <t>asm_examples/PillBox/Level2/pillbox_2_for_RefProv.asm</t>
  </si>
  <si>
    <t>asm_examples/examples/swapBoard.asm</t>
  </si>
  <si>
    <t>0;1</t>
  </si>
  <si>
    <t>asm_examples/examples/agents/populationAgent_raff1_twoPersons.asm</t>
  </si>
  <si>
    <t>asm_examples/examples/models/SIS.asm</t>
  </si>
  <si>
    <t>asm_examples/examples/ermts_etcs/scenarios/ertms_hl3_scenario1.asm</t>
  </si>
  <si>
    <t>asm_examples/examples/GilbreathCardTrick/GilbreathCardTrickForAsmetaSMV.asm</t>
  </si>
  <si>
    <t>asm_examples/examples/simple_example/AdvancedClock.asm</t>
  </si>
  <si>
    <t>asm_examples/examples/fsmsemantics/meta_hooking/FSM_spec.asm</t>
  </si>
  <si>
    <t>asm_examples/DAS/TrafficMonitoringSystem/validation/mainForModelCheckingR2.asm</t>
  </si>
  <si>
    <t>asm_examples/examples/filosofiEciliegie/filosofiEciliegieAgents.asm</t>
  </si>
  <si>
    <t>asm_examples/unibgstudents/Prova.asm</t>
  </si>
  <si>
    <t>asm_examples/examples/landingGearSystem/LGS_SE.asm</t>
  </si>
  <si>
    <t>asm_examples/examples/dice/diceWithProbability.asm</t>
  </si>
  <si>
    <t>asm_examples/examples/RushHour/emptyCellAs0/RushHourSimplForAsmetaSMV.asm</t>
  </si>
  <si>
    <t>asm_examples/examples/dice/diceNoProbability.asm</t>
  </si>
  <si>
    <t>asm_examples/examples/darts.asm</t>
  </si>
  <si>
    <t>asm_examples/examples/philosophers/philosophers1.asm</t>
  </si>
  <si>
    <t>asm_examples/examples/traffic_light/oneWayTrafficLight_inline.asm</t>
  </si>
  <si>
    <t>asm_examples/examples/GilbreathCardTrick/workingButNotElegant/GilbreathCardTrickWithAuxFunctionSimpleForAsmetaSMV.asm</t>
  </si>
  <si>
    <t>asm_examples/examples/ABZ2020/CarSystemModule/CarSystem009/CarSystem009main.asm</t>
  </si>
  <si>
    <t>asm_examples/examples/fsmsemantics/Sle/ASM_even.asm</t>
  </si>
  <si>
    <t>asm_examples/examples/ermts_etcs/models/ertms_hl3_integer_disco_lostint_lengthchanged.asm</t>
  </si>
  <si>
    <t>asm_examples/examples/flashProtocol/flashProtocol_N2_L2_Q1.asm</t>
  </si>
  <si>
    <t>asm_examples/examples/ticTacToe/ticTacToe_simulator.asm</t>
  </si>
  <si>
    <t>asm_examples/examples/traffic_light/oneWayTrafficLightOnlyPassedFlat.asm</t>
  </si>
  <si>
    <t>asm_examples/examples/TrafficLightYakindu/TrafficLight3/TrafficLight_3.asm</t>
  </si>
  <si>
    <t>asm_examples/examples/NeedhamSchroeder/NeedhamSchroederLowe.asm</t>
  </si>
  <si>
    <t>asm_examples/examples/philosophers/philosophers3.asm</t>
  </si>
  <si>
    <t>asm_examples/examples/models/ordersystem_april2010.asm</t>
  </si>
  <si>
    <t>asm_examples/examples/petriNets/forModelAdvisor/petriNet_forModelAdvisor_InconsUpdateViolation2.asm</t>
  </si>
  <si>
    <t>asm_examples/examples/ermts_etcs/scenarios/ertms_hl3_scenario7.asm</t>
  </si>
  <si>
    <t>asm_examples/examples/TrafficLightYakindu/TrafficLight4/TrafficLight_4.asm</t>
  </si>
  <si>
    <t>asm_examples/examples/tombola.asm</t>
  </si>
  <si>
    <t>asm_examples/examples/ermts_etcs/models/ertms_hl3_integer_disco_lostint_lengthchanged_reco.asm</t>
  </si>
  <si>
    <t>asm_examples/stereoacuity/certifierRaff4.asm</t>
  </si>
  <si>
    <t>6</t>
  </si>
  <si>
    <t>asm_examples/examples/filosofiEciliegie/filosofiEciliegieAgentsJustLeft.asm</t>
  </si>
  <si>
    <t>asm_examples/erinda/fms_io_for_atgt.asm</t>
  </si>
  <si>
    <t>asm_examples/examples/fsmsemantics/meta_hooking/FSM_spec0.asm</t>
  </si>
  <si>
    <t>asm_examples/examples/landingGearSystem/LGS_EV_v2.asm</t>
  </si>
  <si>
    <t>asm_examples/erinda/FMS_IO.asm</t>
  </si>
  <si>
    <t>asm_examples/PHD/phd_master_flat2_v7.asm</t>
  </si>
  <si>
    <t>asm_examples/examples/models/OrderSystem2.asm</t>
  </si>
  <si>
    <t>asm_examples/examples/ABZ2020/CarSystemModule/CarSystem003/CarSystem003main.asm</t>
  </si>
  <si>
    <t>asm_examples/examples/landingGearSystem/LGS_3L.asm</t>
  </si>
  <si>
    <t>asm_examples/examples/Yahalom/Yahalom.asm</t>
  </si>
  <si>
    <t>asm_examples/examples/traffic_light/oneWayTrafficLight2.asm</t>
  </si>
  <si>
    <t>asm_examples/PHD/phd_master_flat2_v0.asm</t>
  </si>
  <si>
    <t>asm_examples/examples/hemodialysisDevice/SCP2017/HemodialysisRef1.asm</t>
  </si>
  <si>
    <t>17;20</t>
  </si>
  <si>
    <t>17;20;10;12</t>
  </si>
  <si>
    <t>17;18;20;10;12</t>
  </si>
  <si>
    <t>17;18;20;10;12;13</t>
  </si>
  <si>
    <t>16;17;18;20;10;12;13</t>
  </si>
  <si>
    <t>asm_examples/examples/simple_example/MorraCinese/MorraCineseWithAgents.asm</t>
  </si>
  <si>
    <t>asm_examples/examples/models/LIFT.asm</t>
  </si>
  <si>
    <t>2;4</t>
  </si>
  <si>
    <t>asm_examples/examples/ermts_etcs/scenarios/ertms_hl3_scenario8.asm</t>
  </si>
  <si>
    <t>asm_examples/examples/RushHour/RushHourForAsmetaSMV.asm</t>
  </si>
  <si>
    <t>asm_examples/stereoacuity/certifierRaff5ForSMTproof.asm</t>
  </si>
  <si>
    <t>asm_examples/examples/hemodialysisDevice/ABZ2016/Hemodialysis_ref2_forMC.asm</t>
  </si>
  <si>
    <t>6;12</t>
  </si>
  <si>
    <t>6;8;12</t>
  </si>
  <si>
    <t>6;8;9;12</t>
  </si>
  <si>
    <t>6;8;9;11;12</t>
  </si>
  <si>
    <t>18;6;8;9;11;12;30</t>
  </si>
  <si>
    <t>18;6;8;9;11;12;28;29;30</t>
  </si>
  <si>
    <t>asm_examples/examples/models/ordersystem.asm</t>
  </si>
  <si>
    <t>asm_examples/examples/traffic_light/forAsmetaSMV/oneWayTrafficLight_refined_with_agents.asm</t>
  </si>
  <si>
    <t>asm_examples/examples/TrafficLightYakindu/TrafficLight1/TrafficLight_1.asm</t>
  </si>
  <si>
    <t>10</t>
  </si>
  <si>
    <t>asm_examples/examples/traffic_light/oneWayTrafficLight_refined.asm</t>
  </si>
  <si>
    <t>asm_examples/stereoacuity/certifierRaff5.asm</t>
  </si>
  <si>
    <t>asm_examples/examples/hemodialysisDevice/ABZ2016/Hemodialysis_ref1_forMC.asm</t>
  </si>
  <si>
    <t>5;7;8;10;11;12</t>
  </si>
  <si>
    <t>asm_examples/examples/RushHour/RushHourMonForAsmetaSMV.asm</t>
  </si>
  <si>
    <t>asm_examples/RTPatternLibrary/Test/Test_Sem_Async.asm</t>
  </si>
  <si>
    <t>asm_examples/examples/simple_example/fibonacci.asm</t>
  </si>
  <si>
    <t>asm_examples/examples/petriNets/forModelAdvisor/petriNet_forModelAdvisor_InconsUpdateViolation3.asm</t>
  </si>
  <si>
    <t>asm_examples/examples/trafficLightCoSim/trafficlightB.asm</t>
  </si>
  <si>
    <t>asm_examples/examples/flashProtocol/flashProtocol_N2_L1_Q1.asm</t>
  </si>
  <si>
    <t>asm_examples/examples/RushHour/RushHourSimplForAsmetaSMV.asm</t>
  </si>
  <si>
    <t>asm_examples/examples/landingGearSystem/LGS_HM.asm</t>
  </si>
  <si>
    <t>16</t>
  </si>
  <si>
    <t>asm_examples/examples/hemodialysisDevice/ABZ2016/Hemodialysis_ref2_par.asm</t>
  </si>
  <si>
    <t>asm_examples/PillBox/Level2/pillbox_2_elia.asm</t>
  </si>
  <si>
    <t>asm_examples/stereoacuity/certifierRaff4ForSMTproof.asm</t>
  </si>
  <si>
    <t>asm_examples/examples/TrafficLightYakindu/TrafficLight_NOREF/TrafficLight_4.asm</t>
  </si>
  <si>
    <t>18</t>
  </si>
  <si>
    <t>asm_examples/examples/simple_example/MorraCinese/MorraCinese.asm</t>
  </si>
  <si>
    <t>asm_examples/examples/sultanSuccessors/sultan.asm</t>
  </si>
  <si>
    <t>asm_examples/examples/fsmsemantics/FSM_hooking3.asm</t>
  </si>
  <si>
    <t>asm_examples/examples/roulette/roulette.asm</t>
  </si>
  <si>
    <t>asm_examples/examples/sluicegate/Timer/sluiceGateMotorCtl2.asm</t>
  </si>
  <si>
    <t>asm_examples/examples/simple_example/population_raff1_fourPersons.asm</t>
  </si>
  <si>
    <t>asm_examples/DAS/TrafficMonitoringSystem/journal/trafficMonitoring.asm</t>
  </si>
  <si>
    <t>asm_examples/examples/hemodialysisDevice/SCP2017/HemodialysisRef2.asm</t>
  </si>
  <si>
    <t>66;20;13</t>
  </si>
  <si>
    <t>66;20;13;15</t>
  </si>
  <si>
    <t>16;66;20;13;15</t>
  </si>
  <si>
    <t>16;66;20;21;13;15</t>
  </si>
  <si>
    <t>asm_examples/examples/flashProtocol/flashProtocol_N2_L2_Q1_C.asm</t>
  </si>
  <si>
    <t>asm_examples/examples/RushHour/emptyCellAs0/RushHourMonSimplForAsmetaSMV.asm</t>
  </si>
  <si>
    <t>mutation_score</t>
  </si>
  <si>
    <t>Mutation error:</t>
  </si>
  <si>
    <t>More than one killed mutant:</t>
  </si>
  <si>
    <t>One killed mutant:</t>
  </si>
  <si>
    <t>Zero killed mutants:</t>
  </si>
  <si>
    <t>100% mutation:</t>
  </si>
  <si>
    <t>At least one correct scenario:</t>
  </si>
  <si>
    <t>Zero correct scenarios:</t>
  </si>
  <si>
    <t>Total:</t>
  </si>
  <si>
    <t>100% mutation with more than one mutant:</t>
  </si>
  <si>
    <t>100% mutation with one mutant:</t>
  </si>
  <si>
    <t>comments_nico</t>
  </si>
  <si>
    <t>Equivalent to seq</t>
  </si>
  <si>
    <t>Tot mutants (par)</t>
  </si>
  <si>
    <t>Tot killed mutants</t>
  </si>
  <si>
    <t>81</t>
  </si>
  <si>
    <t>98</t>
  </si>
  <si>
    <t>Equivalent to seq. Order matter</t>
  </si>
  <si>
    <t>Not equivalent but not killed (too complex for random)</t>
  </si>
  <si>
    <t>Not equivalent but not killed (TimeLibrary?)</t>
  </si>
  <si>
    <t>Not equivalent but not killed (not sure)</t>
  </si>
  <si>
    <t>Not equivalent but not killed (too complex for random, controlled string)</t>
  </si>
  <si>
    <t>Not equivalent but not killed (too complex for random, always generating vector of size 1)</t>
  </si>
  <si>
    <t>Equivalent to seq (particular case: additional guards on monitored that force always only one case to be executed)</t>
  </si>
  <si>
    <t>Not equivalent but not killed (easy to kill but not killed because of invariant)</t>
  </si>
  <si>
    <t>Use of functions after update (CSM)</t>
  </si>
  <si>
    <t>Use of functions after update</t>
  </si>
  <si>
    <t>Use of functions after update (CSM). Maybe missing some kills</t>
  </si>
  <si>
    <t>Use of functions after update (CSM). Maybe missing some kills. Use of monitred for conditions and controlled =&gt; par equivalent to seq</t>
  </si>
  <si>
    <r>
      <t>Using</t>
    </r>
    <r>
      <rPr>
        <b/>
        <sz val="11"/>
        <color theme="1"/>
        <rFont val="Calibri"/>
        <family val="2"/>
        <scheme val="minor"/>
      </rPr>
      <t xml:space="preserve"> turbo rules</t>
    </r>
    <r>
      <rPr>
        <sz val="11"/>
        <color theme="1"/>
        <rFont val="Calibri"/>
        <family val="2"/>
        <scheme val="minor"/>
      </rPr>
      <t>. Use of functions after update (CSM)</t>
    </r>
  </si>
  <si>
    <r>
      <t>Using</t>
    </r>
    <r>
      <rPr>
        <b/>
        <sz val="11"/>
        <color theme="1"/>
        <rFont val="Calibri"/>
        <family val="2"/>
        <scheme val="minor"/>
      </rPr>
      <t xml:space="preserve"> turbo rules</t>
    </r>
    <r>
      <rPr>
        <sz val="11"/>
        <color theme="1"/>
        <rFont val="Calibri"/>
        <family val="2"/>
        <scheme val="minor"/>
      </rPr>
      <t>. Killed but should not</t>
    </r>
  </si>
  <si>
    <r>
      <t xml:space="preserve">Using </t>
    </r>
    <r>
      <rPr>
        <b/>
        <sz val="11"/>
        <rFont val="Calibri"/>
        <family val="2"/>
        <scheme val="minor"/>
      </rPr>
      <t>agents.</t>
    </r>
    <r>
      <rPr>
        <sz val="11"/>
        <rFont val="Calibri"/>
        <family val="2"/>
        <scheme val="minor"/>
      </rPr>
      <t xml:space="preserve"> Killed but should not</t>
    </r>
  </si>
  <si>
    <t>Not equivalent:</t>
  </si>
  <si>
    <t>Equivalent:</t>
  </si>
  <si>
    <t>Order matter:</t>
  </si>
  <si>
    <t>0% mutation</t>
  </si>
  <si>
    <t>&gt;0% mutation score</t>
  </si>
  <si>
    <t>Use of functions after update not CSM:</t>
  </si>
  <si>
    <t>Use of functions after update CSM:</t>
  </si>
  <si>
    <t>Maybe missing some kills:</t>
  </si>
  <si>
    <t>Use of functions after update. On not killed, order matter</t>
  </si>
  <si>
    <t>Use of functions after update. Order matter. On not killed, order matter</t>
  </si>
  <si>
    <t>Order matter on not killed:</t>
  </si>
  <si>
    <t>Order matter on killed:</t>
  </si>
  <si>
    <t>Not sure: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</si>
</sst>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9" fontId="0" fillId="0" borderId="0" xfId="1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3" borderId="1" xfId="0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horizontal="right"/>
    </xf>
    <xf numFmtId="0" fontId="0" fillId="0" borderId="0" xfId="0" applyNumberFormat="1"/>
  </cellXfs>
  <cellStyles count="2">
    <cellStyle name="Normale" xfId="0" builtinId="0"/>
    <cellStyle name="Percentuale" xfId="1" builtinId="5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3125E17B-0384-47A6-B530-0A72C307CF1E}" autoFormatId="16" applyNumberFormats="0" applyBorderFormats="0" applyFontFormats="0" applyPatternFormats="0" applyAlignmentFormats="0" applyWidthHeightFormats="0">
  <queryTableRefresh nextId="17" unboundColumnsRight="2">
    <queryTableFields count="16">
      <queryTableField id="1" name="asm_path" tableColumnId="1"/>
      <queryTableField id="2" name="iteration" tableColumnId="2"/>
      <queryTableField id="3" name="status" tableColumnId="3"/>
      <queryTableField id="4" name="iteration_exec_time_ms" tableColumnId="4"/>
      <queryTableField id="5" name="generation_exec_time_ms" tableColumnId="5"/>
      <queryTableField id="6" name="correct_scenarios" tableColumnId="6"/>
      <queryTableField id="7" name="n_step" tableColumnId="7"/>
      <queryTableField id="8" name="n_set" tableColumnId="8"/>
      <queryTableField id="9" name="n_check" tableColumnId="9"/>
      <queryTableField id="10" name="failing_scenarios" tableColumnId="10"/>
      <queryTableField id="11" name="validation_error_scenarios" tableColumnId="11"/>
      <queryTableField id="12" name="tot_mutants" tableColumnId="12"/>
      <queryTableField id="13" name="n_killed_mutants_cumulativa" tableColumnId="13"/>
      <queryTableField id="14" name="idx_killed_mutants_cumulative" tableColumnId="14"/>
      <queryTableField id="15" dataBound="0" tableColumnId="15"/>
      <queryTableField id="16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DE53BF-900E-4ED0-B84D-72FCD2A2C294}" name="result" displayName="result" ref="A1:P2382" tableType="queryTable" totalsRowShown="0">
  <autoFilter ref="A1:P2382" xr:uid="{9ADE53BF-900E-4ED0-B84D-72FCD2A2C294}">
    <filterColumn colId="1">
      <filters>
        <filter val="ALL"/>
      </filters>
    </filterColumn>
    <filterColumn colId="2">
      <filters>
        <filter val="OK"/>
      </filters>
    </filterColumn>
    <filterColumn colId="5">
      <filters>
        <filter val="1"/>
        <filter val="10"/>
        <filter val="100"/>
        <filter val="1033"/>
        <filter val="1050"/>
        <filter val="1200"/>
        <filter val="1360"/>
        <filter val="150"/>
        <filter val="1530"/>
        <filter val="1710"/>
        <filter val="1900"/>
        <filter val="2"/>
        <filter val="210"/>
        <filter val="2100"/>
        <filter val="280"/>
        <filter val="360"/>
        <filter val="4"/>
        <filter val="450"/>
        <filter val="539"/>
        <filter val="550"/>
        <filter val="60"/>
        <filter val="660"/>
        <filter val="742"/>
        <filter val="780"/>
        <filter val="868"/>
        <filter val="907"/>
        <filter val="910"/>
      </filters>
    </filterColumn>
    <filterColumn colId="14">
      <filters>
        <filter val="1%"/>
        <filter val="100%"/>
        <filter val="11%"/>
        <filter val="13%"/>
        <filter val="14%"/>
        <filter val="17%"/>
        <filter val="2%"/>
        <filter val="20%"/>
        <filter val="22%"/>
        <filter val="26%"/>
        <filter val="29%"/>
        <filter val="33%"/>
        <filter val="4%"/>
        <filter val="40%"/>
        <filter val="46%"/>
        <filter val="5%"/>
        <filter val="6%"/>
        <filter val="67%"/>
        <filter val="8%"/>
        <filter val="9%"/>
      </filters>
    </filterColumn>
  </autoFilter>
  <tableColumns count="16">
    <tableColumn id="1" xr3:uid="{EF396306-064B-4703-B364-15C8ADB216B9}" uniqueName="1" name="asm_path" queryTableFieldId="1" dataDxfId="3"/>
    <tableColumn id="2" xr3:uid="{97DD3C90-E4D6-43AD-9B65-92B15578F8E7}" uniqueName="2" name="iteration" queryTableFieldId="2" dataDxfId="2"/>
    <tableColumn id="3" xr3:uid="{F54B141B-B510-4ED7-BD54-15A07CBE8823}" uniqueName="3" name="status" queryTableFieldId="3" dataDxfId="1"/>
    <tableColumn id="4" xr3:uid="{36E3FAEF-D79A-4A81-ADDB-DB723AE7674B}" uniqueName="4" name="iteration_exec_time_ms" queryTableFieldId="4"/>
    <tableColumn id="5" xr3:uid="{8CF57698-685B-41B4-BF51-628316E968F6}" uniqueName="5" name="generation_exec_time_ms" queryTableFieldId="5"/>
    <tableColumn id="6" xr3:uid="{FA7EDEB6-4F7B-478A-A459-A822F31D2B77}" uniqueName="6" name="correct_scenarios" queryTableFieldId="6"/>
    <tableColumn id="7" xr3:uid="{2D8DB2AE-910B-420C-8062-7B610EE7AE96}" uniqueName="7" name="n_step" queryTableFieldId="7"/>
    <tableColumn id="8" xr3:uid="{C8B32C84-0646-4838-844B-8A1962EB154B}" uniqueName="8" name="n_set" queryTableFieldId="8"/>
    <tableColumn id="9" xr3:uid="{88F74EC9-D103-4017-9999-E55C50638D37}" uniqueName="9" name="n_check" queryTableFieldId="9"/>
    <tableColumn id="10" xr3:uid="{15148358-C586-4213-93DA-042ECD1C91A1}" uniqueName="10" name="failing_scenarios" queryTableFieldId="10"/>
    <tableColumn id="11" xr3:uid="{60D2D905-453A-4425-8D7D-52832A2FAECB}" uniqueName="11" name="validation_error_scenarios" queryTableFieldId="11"/>
    <tableColumn id="12" xr3:uid="{CC18B600-3E1A-471C-A5E0-8F76D203F296}" uniqueName="12" name="tot_mutants" queryTableFieldId="12"/>
    <tableColumn id="13" xr3:uid="{49FB37F2-61E0-4011-9996-2956EF303C98}" uniqueName="13" name="n_killed_mutants_cumulativa" queryTableFieldId="13"/>
    <tableColumn id="14" xr3:uid="{B14BDE4C-CB87-4B97-B6B0-988C2434563B}" uniqueName="14" name="idx_killed_mutants_cumulative" queryTableFieldId="14" dataDxfId="0"/>
    <tableColumn id="15" xr3:uid="{C12D6ECD-4E53-479F-B201-6275E5543C4E}" uniqueName="15" name="mutation_score" queryTableFieldId="15" dataCellStyle="Percentuale">
      <calculatedColumnFormula>result[[#This Row],[n_killed_mutants_cumulativa]]/result[[#This Row],[tot_mutants]]</calculatedColumnFormula>
    </tableColumn>
    <tableColumn id="16" xr3:uid="{272E020C-9AED-4D90-8D22-CE29F8B4C302}" uniqueName="16" name="comments_nico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1AB3C-338C-434B-8735-A92E01057B07}">
  <dimension ref="A1:AQ2395"/>
  <sheetViews>
    <sheetView tabSelected="1" topLeftCell="P2240" workbookViewId="0">
      <selection activeCell="P2409" sqref="P2409"/>
    </sheetView>
  </sheetViews>
  <sheetFormatPr defaultRowHeight="15" x14ac:dyDescent="0.25"/>
  <cols>
    <col min="1" max="1" width="55.7109375" customWidth="1"/>
    <col min="2" max="2" width="11" bestFit="1" customWidth="1"/>
    <col min="3" max="3" width="17.85546875" bestFit="1" customWidth="1"/>
    <col min="4" max="4" width="25.28515625" bestFit="1" customWidth="1"/>
    <col min="5" max="5" width="27.28515625" bestFit="1" customWidth="1"/>
    <col min="6" max="6" width="18.85546875" bestFit="1" customWidth="1"/>
    <col min="7" max="7" width="9.28515625" bestFit="1" customWidth="1"/>
    <col min="8" max="8" width="8.140625" bestFit="1" customWidth="1"/>
    <col min="9" max="9" width="10.42578125" bestFit="1" customWidth="1"/>
    <col min="10" max="10" width="18.28515625" bestFit="1" customWidth="1"/>
    <col min="11" max="11" width="27.28515625" bestFit="1" customWidth="1"/>
    <col min="12" max="12" width="16.5703125" customWidth="1"/>
    <col min="13" max="13" width="18.42578125" customWidth="1"/>
    <col min="14" max="14" width="21.28515625" customWidth="1"/>
    <col min="15" max="15" width="11.5703125" style="1" customWidth="1"/>
    <col min="16" max="16" width="105.140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334</v>
      </c>
      <c r="P1" t="s">
        <v>345</v>
      </c>
    </row>
    <row r="2" spans="1:16" hidden="1" x14ac:dyDescent="0.25">
      <c r="A2" t="s">
        <v>14</v>
      </c>
      <c r="B2" t="s">
        <v>15</v>
      </c>
      <c r="C2" t="s">
        <v>16</v>
      </c>
      <c r="D2">
        <v>3137</v>
      </c>
      <c r="E2">
        <v>1485</v>
      </c>
      <c r="F2">
        <v>0</v>
      </c>
      <c r="G2">
        <v>0</v>
      </c>
      <c r="H2">
        <v>0</v>
      </c>
      <c r="I2">
        <v>0</v>
      </c>
      <c r="J2">
        <v>0</v>
      </c>
      <c r="K2">
        <v>10</v>
      </c>
      <c r="L2">
        <v>2</v>
      </c>
      <c r="M2">
        <v>0</v>
      </c>
      <c r="N2" t="s">
        <v>17</v>
      </c>
      <c r="O2" s="1">
        <f>result[[#This Row],[n_killed_mutants_cumulativa]]/result[[#This Row],[tot_mutants]]</f>
        <v>0</v>
      </c>
    </row>
    <row r="3" spans="1:16" hidden="1" x14ac:dyDescent="0.25">
      <c r="A3" t="s">
        <v>14</v>
      </c>
      <c r="B3" t="s">
        <v>18</v>
      </c>
      <c r="C3" t="s">
        <v>16</v>
      </c>
      <c r="D3">
        <v>10779</v>
      </c>
      <c r="E3">
        <v>9581</v>
      </c>
      <c r="F3">
        <v>0</v>
      </c>
      <c r="G3">
        <v>0</v>
      </c>
      <c r="H3">
        <v>0</v>
      </c>
      <c r="I3">
        <v>0</v>
      </c>
      <c r="J3">
        <v>0</v>
      </c>
      <c r="K3">
        <v>20</v>
      </c>
      <c r="L3">
        <v>2</v>
      </c>
      <c r="M3">
        <v>0</v>
      </c>
      <c r="N3" t="s">
        <v>17</v>
      </c>
      <c r="O3" s="1">
        <f>result[[#This Row],[n_killed_mutants_cumulativa]]/result[[#This Row],[tot_mutants]]</f>
        <v>0</v>
      </c>
    </row>
    <row r="4" spans="1:16" hidden="1" x14ac:dyDescent="0.25">
      <c r="A4" t="s">
        <v>14</v>
      </c>
      <c r="B4" t="s">
        <v>19</v>
      </c>
      <c r="C4" t="s">
        <v>16</v>
      </c>
      <c r="D4">
        <v>40811</v>
      </c>
      <c r="E4">
        <v>39661</v>
      </c>
      <c r="F4">
        <v>0</v>
      </c>
      <c r="G4">
        <v>0</v>
      </c>
      <c r="H4">
        <v>0</v>
      </c>
      <c r="I4">
        <v>0</v>
      </c>
      <c r="J4">
        <v>0</v>
      </c>
      <c r="K4">
        <v>30</v>
      </c>
      <c r="L4">
        <v>2</v>
      </c>
      <c r="M4">
        <v>0</v>
      </c>
      <c r="N4" t="s">
        <v>17</v>
      </c>
      <c r="O4" s="1">
        <f>result[[#This Row],[n_killed_mutants_cumulativa]]/result[[#This Row],[tot_mutants]]</f>
        <v>0</v>
      </c>
    </row>
    <row r="5" spans="1:16" hidden="1" x14ac:dyDescent="0.25">
      <c r="A5" t="s">
        <v>14</v>
      </c>
      <c r="B5" t="s">
        <v>20</v>
      </c>
      <c r="C5" t="s">
        <v>16</v>
      </c>
      <c r="D5">
        <v>116067</v>
      </c>
      <c r="E5">
        <v>114580</v>
      </c>
      <c r="F5">
        <v>0</v>
      </c>
      <c r="G5">
        <v>0</v>
      </c>
      <c r="H5">
        <v>0</v>
      </c>
      <c r="I5">
        <v>0</v>
      </c>
      <c r="J5">
        <v>0</v>
      </c>
      <c r="K5">
        <v>40</v>
      </c>
      <c r="L5">
        <v>2</v>
      </c>
      <c r="M5">
        <v>0</v>
      </c>
      <c r="N5" t="s">
        <v>17</v>
      </c>
      <c r="O5" s="1">
        <f>result[[#This Row],[n_killed_mutants_cumulativa]]/result[[#This Row],[tot_mutants]]</f>
        <v>0</v>
      </c>
    </row>
    <row r="6" spans="1:16" hidden="1" x14ac:dyDescent="0.25">
      <c r="A6" t="s">
        <v>14</v>
      </c>
      <c r="B6" t="s">
        <v>21</v>
      </c>
      <c r="C6" t="s">
        <v>16</v>
      </c>
      <c r="D6">
        <v>246658</v>
      </c>
      <c r="E6">
        <v>244845</v>
      </c>
      <c r="F6">
        <v>0</v>
      </c>
      <c r="G6">
        <v>0</v>
      </c>
      <c r="H6">
        <v>0</v>
      </c>
      <c r="I6">
        <v>0</v>
      </c>
      <c r="J6">
        <v>0</v>
      </c>
      <c r="K6">
        <v>50</v>
      </c>
      <c r="L6">
        <v>2</v>
      </c>
      <c r="M6">
        <v>0</v>
      </c>
      <c r="N6" t="s">
        <v>17</v>
      </c>
      <c r="O6" s="1">
        <f>result[[#This Row],[n_killed_mutants_cumulativa]]/result[[#This Row],[tot_mutants]]</f>
        <v>0</v>
      </c>
    </row>
    <row r="7" spans="1:16" hidden="1" x14ac:dyDescent="0.25">
      <c r="A7" t="s">
        <v>14</v>
      </c>
      <c r="B7" t="s">
        <v>22</v>
      </c>
      <c r="C7" t="s">
        <v>16</v>
      </c>
      <c r="D7">
        <v>417452</v>
      </c>
      <c r="E7">
        <v>410152</v>
      </c>
      <c r="F7">
        <v>0</v>
      </c>
      <c r="G7">
        <v>0</v>
      </c>
      <c r="H7">
        <v>0</v>
      </c>
      <c r="I7">
        <v>0</v>
      </c>
      <c r="J7">
        <v>0</v>
      </c>
      <c r="K7">
        <v>150</v>
      </c>
      <c r="L7">
        <v>2</v>
      </c>
      <c r="M7">
        <v>0</v>
      </c>
      <c r="N7" t="s">
        <v>17</v>
      </c>
      <c r="O7" s="1">
        <f>result[[#This Row],[n_killed_mutants_cumulativa]]/result[[#This Row],[tot_mutants]]</f>
        <v>0</v>
      </c>
    </row>
    <row r="8" spans="1:16" hidden="1" x14ac:dyDescent="0.25">
      <c r="A8" t="s">
        <v>23</v>
      </c>
      <c r="B8" t="s">
        <v>15</v>
      </c>
      <c r="C8" t="s">
        <v>16</v>
      </c>
      <c r="D8">
        <v>9036</v>
      </c>
      <c r="E8">
        <v>300</v>
      </c>
      <c r="F8">
        <v>10</v>
      </c>
      <c r="G8">
        <v>100</v>
      </c>
      <c r="H8">
        <v>100</v>
      </c>
      <c r="I8">
        <v>528</v>
      </c>
      <c r="J8">
        <v>0</v>
      </c>
      <c r="K8">
        <v>0</v>
      </c>
      <c r="L8">
        <v>15</v>
      </c>
      <c r="M8">
        <v>0</v>
      </c>
      <c r="N8" t="s">
        <v>17</v>
      </c>
      <c r="O8" s="1">
        <f>result[[#This Row],[n_killed_mutants_cumulativa]]/result[[#This Row],[tot_mutants]]</f>
        <v>0</v>
      </c>
    </row>
    <row r="9" spans="1:16" hidden="1" x14ac:dyDescent="0.25">
      <c r="A9" t="s">
        <v>23</v>
      </c>
      <c r="B9" t="s">
        <v>18</v>
      </c>
      <c r="C9" t="s">
        <v>16</v>
      </c>
      <c r="D9">
        <v>14253</v>
      </c>
      <c r="E9">
        <v>440</v>
      </c>
      <c r="F9">
        <v>20</v>
      </c>
      <c r="G9">
        <v>400</v>
      </c>
      <c r="H9">
        <v>400</v>
      </c>
      <c r="I9">
        <v>2247</v>
      </c>
      <c r="J9">
        <v>0</v>
      </c>
      <c r="K9">
        <v>0</v>
      </c>
      <c r="L9">
        <v>15</v>
      </c>
      <c r="M9">
        <v>0</v>
      </c>
      <c r="N9" t="s">
        <v>17</v>
      </c>
      <c r="O9" s="1">
        <f>result[[#This Row],[n_killed_mutants_cumulativa]]/result[[#This Row],[tot_mutants]]</f>
        <v>0</v>
      </c>
    </row>
    <row r="10" spans="1:16" hidden="1" x14ac:dyDescent="0.25">
      <c r="A10" t="s">
        <v>23</v>
      </c>
      <c r="B10" t="s">
        <v>19</v>
      </c>
      <c r="C10" t="s">
        <v>16</v>
      </c>
      <c r="D10">
        <v>25947</v>
      </c>
      <c r="E10">
        <v>793</v>
      </c>
      <c r="F10">
        <v>30</v>
      </c>
      <c r="G10">
        <v>900</v>
      </c>
      <c r="H10">
        <v>900</v>
      </c>
      <c r="I10">
        <v>5374</v>
      </c>
      <c r="J10">
        <v>0</v>
      </c>
      <c r="K10">
        <v>0</v>
      </c>
      <c r="L10">
        <v>15</v>
      </c>
      <c r="M10">
        <v>0</v>
      </c>
      <c r="N10" t="s">
        <v>17</v>
      </c>
      <c r="O10" s="1">
        <f>result[[#This Row],[n_killed_mutants_cumulativa]]/result[[#This Row],[tot_mutants]]</f>
        <v>0</v>
      </c>
    </row>
    <row r="11" spans="1:16" hidden="1" x14ac:dyDescent="0.25">
      <c r="A11" t="s">
        <v>23</v>
      </c>
      <c r="B11" t="s">
        <v>20</v>
      </c>
      <c r="C11" t="s">
        <v>16</v>
      </c>
      <c r="D11">
        <v>41278</v>
      </c>
      <c r="E11">
        <v>1649</v>
      </c>
      <c r="F11">
        <v>40</v>
      </c>
      <c r="G11">
        <v>1600</v>
      </c>
      <c r="H11">
        <v>1600</v>
      </c>
      <c r="I11">
        <v>9521</v>
      </c>
      <c r="J11">
        <v>0</v>
      </c>
      <c r="K11">
        <v>0</v>
      </c>
      <c r="L11">
        <v>15</v>
      </c>
      <c r="M11">
        <v>0</v>
      </c>
      <c r="N11" t="s">
        <v>17</v>
      </c>
      <c r="O11" s="1">
        <f>result[[#This Row],[n_killed_mutants_cumulativa]]/result[[#This Row],[tot_mutants]]</f>
        <v>0</v>
      </c>
    </row>
    <row r="12" spans="1:16" hidden="1" x14ac:dyDescent="0.25">
      <c r="A12" t="s">
        <v>23</v>
      </c>
      <c r="B12" t="s">
        <v>21</v>
      </c>
      <c r="C12" t="s">
        <v>16</v>
      </c>
      <c r="D12">
        <v>63232</v>
      </c>
      <c r="E12">
        <v>3198</v>
      </c>
      <c r="F12">
        <v>50</v>
      </c>
      <c r="G12">
        <v>2500</v>
      </c>
      <c r="H12">
        <v>2500</v>
      </c>
      <c r="I12">
        <v>15925</v>
      </c>
      <c r="J12">
        <v>0</v>
      </c>
      <c r="K12">
        <v>0</v>
      </c>
      <c r="L12">
        <v>15</v>
      </c>
      <c r="M12">
        <v>0</v>
      </c>
      <c r="N12" t="s">
        <v>17</v>
      </c>
      <c r="O12" s="1">
        <f>result[[#This Row],[n_killed_mutants_cumulativa]]/result[[#This Row],[tot_mutants]]</f>
        <v>0</v>
      </c>
    </row>
    <row r="13" spans="1:16" hidden="1" x14ac:dyDescent="0.25">
      <c r="A13" t="s">
        <v>23</v>
      </c>
      <c r="B13" t="s">
        <v>24</v>
      </c>
      <c r="C13" t="s">
        <v>16</v>
      </c>
      <c r="D13">
        <v>89261</v>
      </c>
      <c r="E13">
        <v>5349</v>
      </c>
      <c r="F13">
        <v>60</v>
      </c>
      <c r="G13">
        <v>3600</v>
      </c>
      <c r="H13">
        <v>3600</v>
      </c>
      <c r="I13">
        <v>22992</v>
      </c>
      <c r="J13">
        <v>0</v>
      </c>
      <c r="K13">
        <v>0</v>
      </c>
      <c r="L13">
        <v>15</v>
      </c>
      <c r="M13">
        <v>0</v>
      </c>
      <c r="N13" t="s">
        <v>17</v>
      </c>
      <c r="O13" s="1">
        <f>result[[#This Row],[n_killed_mutants_cumulativa]]/result[[#This Row],[tot_mutants]]</f>
        <v>0</v>
      </c>
    </row>
    <row r="14" spans="1:16" hidden="1" x14ac:dyDescent="0.25">
      <c r="A14" t="s">
        <v>23</v>
      </c>
      <c r="B14" t="s">
        <v>25</v>
      </c>
      <c r="C14" t="s">
        <v>16</v>
      </c>
      <c r="D14">
        <v>121331</v>
      </c>
      <c r="E14">
        <v>8439</v>
      </c>
      <c r="F14">
        <v>70</v>
      </c>
      <c r="G14">
        <v>4900</v>
      </c>
      <c r="H14">
        <v>4900</v>
      </c>
      <c r="I14">
        <v>31523</v>
      </c>
      <c r="J14">
        <v>0</v>
      </c>
      <c r="K14">
        <v>0</v>
      </c>
      <c r="L14">
        <v>15</v>
      </c>
      <c r="M14">
        <v>0</v>
      </c>
      <c r="N14" t="s">
        <v>17</v>
      </c>
      <c r="O14" s="1">
        <f>result[[#This Row],[n_killed_mutants_cumulativa]]/result[[#This Row],[tot_mutants]]</f>
        <v>0</v>
      </c>
    </row>
    <row r="15" spans="1:16" hidden="1" x14ac:dyDescent="0.25">
      <c r="A15" t="s">
        <v>23</v>
      </c>
      <c r="B15" t="s">
        <v>26</v>
      </c>
      <c r="C15" t="s">
        <v>16</v>
      </c>
      <c r="D15">
        <v>163080</v>
      </c>
      <c r="E15">
        <v>12520</v>
      </c>
      <c r="F15">
        <v>80</v>
      </c>
      <c r="G15">
        <v>6400</v>
      </c>
      <c r="H15">
        <v>6400</v>
      </c>
      <c r="I15">
        <v>42004</v>
      </c>
      <c r="J15">
        <v>0</v>
      </c>
      <c r="K15">
        <v>0</v>
      </c>
      <c r="L15">
        <v>15</v>
      </c>
      <c r="M15">
        <v>0</v>
      </c>
      <c r="N15" t="s">
        <v>17</v>
      </c>
      <c r="O15" s="1">
        <f>result[[#This Row],[n_killed_mutants_cumulativa]]/result[[#This Row],[tot_mutants]]</f>
        <v>0</v>
      </c>
    </row>
    <row r="16" spans="1:16" hidden="1" x14ac:dyDescent="0.25">
      <c r="A16" t="s">
        <v>23</v>
      </c>
      <c r="B16" t="s">
        <v>27</v>
      </c>
      <c r="C16" t="s">
        <v>16</v>
      </c>
      <c r="D16">
        <v>209801</v>
      </c>
      <c r="E16">
        <v>17782</v>
      </c>
      <c r="F16">
        <v>90</v>
      </c>
      <c r="G16">
        <v>8100</v>
      </c>
      <c r="H16">
        <v>8100</v>
      </c>
      <c r="I16">
        <v>53681</v>
      </c>
      <c r="J16">
        <v>0</v>
      </c>
      <c r="K16">
        <v>0</v>
      </c>
      <c r="L16">
        <v>15</v>
      </c>
      <c r="M16">
        <v>0</v>
      </c>
      <c r="N16" t="s">
        <v>17</v>
      </c>
      <c r="O16" s="1">
        <f>result[[#This Row],[n_killed_mutants_cumulativa]]/result[[#This Row],[tot_mutants]]</f>
        <v>0</v>
      </c>
    </row>
    <row r="17" spans="1:16" hidden="1" x14ac:dyDescent="0.25">
      <c r="A17" t="s">
        <v>23</v>
      </c>
      <c r="B17" t="s">
        <v>22</v>
      </c>
      <c r="C17" t="s">
        <v>16</v>
      </c>
      <c r="D17">
        <v>737219</v>
      </c>
      <c r="E17">
        <v>50470</v>
      </c>
      <c r="F17">
        <v>450</v>
      </c>
      <c r="G17">
        <v>28500</v>
      </c>
      <c r="H17">
        <v>28500</v>
      </c>
      <c r="I17">
        <v>183795</v>
      </c>
      <c r="J17">
        <v>0</v>
      </c>
      <c r="K17">
        <v>0</v>
      </c>
      <c r="L17">
        <v>15</v>
      </c>
      <c r="M17">
        <v>0</v>
      </c>
      <c r="N17" t="s">
        <v>17</v>
      </c>
      <c r="O17" s="1">
        <f>result[[#This Row],[n_killed_mutants_cumulativa]]/result[[#This Row],[tot_mutants]]</f>
        <v>0</v>
      </c>
      <c r="P17" s="9" t="s">
        <v>346</v>
      </c>
    </row>
    <row r="18" spans="1:16" hidden="1" x14ac:dyDescent="0.25">
      <c r="A18" t="s">
        <v>28</v>
      </c>
      <c r="B18" t="s">
        <v>15</v>
      </c>
      <c r="C18" t="s">
        <v>16</v>
      </c>
      <c r="D18">
        <v>6126</v>
      </c>
      <c r="E18">
        <v>129</v>
      </c>
      <c r="F18">
        <v>10</v>
      </c>
      <c r="G18">
        <v>100</v>
      </c>
      <c r="H18">
        <v>45</v>
      </c>
      <c r="I18">
        <v>768</v>
      </c>
      <c r="J18">
        <v>0</v>
      </c>
      <c r="K18">
        <v>0</v>
      </c>
      <c r="L18">
        <v>8</v>
      </c>
      <c r="M18">
        <v>1</v>
      </c>
      <c r="N18" t="s">
        <v>29</v>
      </c>
      <c r="O18" s="1">
        <f>result[[#This Row],[n_killed_mutants_cumulativa]]/result[[#This Row],[tot_mutants]]</f>
        <v>0.125</v>
      </c>
    </row>
    <row r="19" spans="1:16" hidden="1" x14ac:dyDescent="0.25">
      <c r="A19" t="s">
        <v>28</v>
      </c>
      <c r="B19" t="s">
        <v>18</v>
      </c>
      <c r="C19" t="s">
        <v>16</v>
      </c>
      <c r="D19">
        <v>8501</v>
      </c>
      <c r="E19">
        <v>43</v>
      </c>
      <c r="F19">
        <v>20</v>
      </c>
      <c r="G19">
        <v>400</v>
      </c>
      <c r="H19">
        <v>95</v>
      </c>
      <c r="I19">
        <v>3092</v>
      </c>
      <c r="J19">
        <v>0</v>
      </c>
      <c r="K19">
        <v>0</v>
      </c>
      <c r="L19">
        <v>8</v>
      </c>
      <c r="M19">
        <v>1</v>
      </c>
      <c r="N19" t="s">
        <v>29</v>
      </c>
      <c r="O19" s="1">
        <f>result[[#This Row],[n_killed_mutants_cumulativa]]/result[[#This Row],[tot_mutants]]</f>
        <v>0.125</v>
      </c>
    </row>
    <row r="20" spans="1:16" hidden="1" x14ac:dyDescent="0.25">
      <c r="A20" t="s">
        <v>28</v>
      </c>
      <c r="B20" t="s">
        <v>19</v>
      </c>
      <c r="C20" t="s">
        <v>16</v>
      </c>
      <c r="D20">
        <v>13587</v>
      </c>
      <c r="E20">
        <v>54</v>
      </c>
      <c r="F20">
        <v>30</v>
      </c>
      <c r="G20">
        <v>900</v>
      </c>
      <c r="H20">
        <v>144</v>
      </c>
      <c r="I20">
        <v>6814</v>
      </c>
      <c r="J20">
        <v>0</v>
      </c>
      <c r="K20">
        <v>0</v>
      </c>
      <c r="L20">
        <v>8</v>
      </c>
      <c r="M20">
        <v>1</v>
      </c>
      <c r="N20" t="s">
        <v>29</v>
      </c>
      <c r="O20" s="1">
        <f>result[[#This Row],[n_killed_mutants_cumulativa]]/result[[#This Row],[tot_mutants]]</f>
        <v>0.125</v>
      </c>
    </row>
    <row r="21" spans="1:16" hidden="1" x14ac:dyDescent="0.25">
      <c r="A21" t="s">
        <v>28</v>
      </c>
      <c r="B21" t="s">
        <v>20</v>
      </c>
      <c r="C21" t="s">
        <v>16</v>
      </c>
      <c r="D21">
        <v>21431</v>
      </c>
      <c r="E21">
        <v>64</v>
      </c>
      <c r="F21">
        <v>40</v>
      </c>
      <c r="G21">
        <v>1600</v>
      </c>
      <c r="H21">
        <v>193</v>
      </c>
      <c r="I21">
        <v>12120</v>
      </c>
      <c r="J21">
        <v>0</v>
      </c>
      <c r="K21">
        <v>0</v>
      </c>
      <c r="L21">
        <v>8</v>
      </c>
      <c r="M21">
        <v>1</v>
      </c>
      <c r="N21" t="s">
        <v>29</v>
      </c>
      <c r="O21" s="1">
        <f>result[[#This Row],[n_killed_mutants_cumulativa]]/result[[#This Row],[tot_mutants]]</f>
        <v>0.125</v>
      </c>
    </row>
    <row r="22" spans="1:16" hidden="1" x14ac:dyDescent="0.25">
      <c r="A22" t="s">
        <v>28</v>
      </c>
      <c r="B22" t="s">
        <v>21</v>
      </c>
      <c r="C22" t="s">
        <v>16</v>
      </c>
      <c r="D22">
        <v>31332</v>
      </c>
      <c r="E22">
        <v>74</v>
      </c>
      <c r="F22">
        <v>50</v>
      </c>
      <c r="G22">
        <v>2500</v>
      </c>
      <c r="H22">
        <v>238</v>
      </c>
      <c r="I22">
        <v>18854</v>
      </c>
      <c r="J22">
        <v>0</v>
      </c>
      <c r="K22">
        <v>0</v>
      </c>
      <c r="L22">
        <v>8</v>
      </c>
      <c r="M22">
        <v>1</v>
      </c>
      <c r="N22" t="s">
        <v>29</v>
      </c>
      <c r="O22" s="1">
        <f>result[[#This Row],[n_killed_mutants_cumulativa]]/result[[#This Row],[tot_mutants]]</f>
        <v>0.125</v>
      </c>
    </row>
    <row r="23" spans="1:16" hidden="1" x14ac:dyDescent="0.25">
      <c r="A23" t="s">
        <v>28</v>
      </c>
      <c r="B23" t="s">
        <v>24</v>
      </c>
      <c r="C23" t="s">
        <v>16</v>
      </c>
      <c r="D23">
        <v>43262</v>
      </c>
      <c r="E23">
        <v>94</v>
      </c>
      <c r="F23">
        <v>60</v>
      </c>
      <c r="G23">
        <v>3600</v>
      </c>
      <c r="H23">
        <v>280</v>
      </c>
      <c r="I23">
        <v>27180</v>
      </c>
      <c r="J23">
        <v>0</v>
      </c>
      <c r="K23">
        <v>0</v>
      </c>
      <c r="L23">
        <v>8</v>
      </c>
      <c r="M23">
        <v>1</v>
      </c>
      <c r="N23" t="s">
        <v>29</v>
      </c>
      <c r="O23" s="1">
        <f>result[[#This Row],[n_killed_mutants_cumulativa]]/result[[#This Row],[tot_mutants]]</f>
        <v>0.125</v>
      </c>
    </row>
    <row r="24" spans="1:16" hidden="1" x14ac:dyDescent="0.25">
      <c r="A24" t="s">
        <v>28</v>
      </c>
      <c r="B24" t="s">
        <v>25</v>
      </c>
      <c r="C24" t="s">
        <v>16</v>
      </c>
      <c r="D24">
        <v>57877</v>
      </c>
      <c r="E24">
        <v>121</v>
      </c>
      <c r="F24">
        <v>70</v>
      </c>
      <c r="G24">
        <v>4900</v>
      </c>
      <c r="H24">
        <v>332</v>
      </c>
      <c r="I24">
        <v>36894</v>
      </c>
      <c r="J24">
        <v>0</v>
      </c>
      <c r="K24">
        <v>0</v>
      </c>
      <c r="L24">
        <v>8</v>
      </c>
      <c r="M24">
        <v>1</v>
      </c>
      <c r="N24" t="s">
        <v>29</v>
      </c>
      <c r="O24" s="1">
        <f>result[[#This Row],[n_killed_mutants_cumulativa]]/result[[#This Row],[tot_mutants]]</f>
        <v>0.125</v>
      </c>
    </row>
    <row r="25" spans="1:16" hidden="1" x14ac:dyDescent="0.25">
      <c r="A25" t="s">
        <v>28</v>
      </c>
      <c r="B25" t="s">
        <v>26</v>
      </c>
      <c r="C25" t="s">
        <v>16</v>
      </c>
      <c r="D25">
        <v>76066</v>
      </c>
      <c r="E25">
        <v>146</v>
      </c>
      <c r="F25">
        <v>80</v>
      </c>
      <c r="G25">
        <v>6400</v>
      </c>
      <c r="H25">
        <v>386</v>
      </c>
      <c r="I25">
        <v>48848</v>
      </c>
      <c r="J25">
        <v>0</v>
      </c>
      <c r="K25">
        <v>0</v>
      </c>
      <c r="L25">
        <v>8</v>
      </c>
      <c r="M25">
        <v>1</v>
      </c>
      <c r="N25" t="s">
        <v>29</v>
      </c>
      <c r="O25" s="1">
        <f>result[[#This Row],[n_killed_mutants_cumulativa]]/result[[#This Row],[tot_mutants]]</f>
        <v>0.125</v>
      </c>
    </row>
    <row r="26" spans="1:16" hidden="1" x14ac:dyDescent="0.25">
      <c r="A26" t="s">
        <v>28</v>
      </c>
      <c r="B26" t="s">
        <v>27</v>
      </c>
      <c r="C26" t="s">
        <v>16</v>
      </c>
      <c r="D26">
        <v>95671</v>
      </c>
      <c r="E26">
        <v>172</v>
      </c>
      <c r="F26">
        <v>90</v>
      </c>
      <c r="G26">
        <v>8100</v>
      </c>
      <c r="H26">
        <v>424</v>
      </c>
      <c r="I26">
        <v>60762</v>
      </c>
      <c r="J26">
        <v>0</v>
      </c>
      <c r="K26">
        <v>0</v>
      </c>
      <c r="L26">
        <v>8</v>
      </c>
      <c r="M26">
        <v>1</v>
      </c>
      <c r="N26" t="s">
        <v>29</v>
      </c>
      <c r="O26" s="1">
        <f>result[[#This Row],[n_killed_mutants_cumulativa]]/result[[#This Row],[tot_mutants]]</f>
        <v>0.125</v>
      </c>
    </row>
    <row r="27" spans="1:16" hidden="1" x14ac:dyDescent="0.25">
      <c r="A27" t="s">
        <v>28</v>
      </c>
      <c r="B27" t="s">
        <v>30</v>
      </c>
      <c r="C27" t="s">
        <v>16</v>
      </c>
      <c r="D27">
        <v>118510</v>
      </c>
      <c r="E27">
        <v>206</v>
      </c>
      <c r="F27">
        <v>100</v>
      </c>
      <c r="G27">
        <v>10000</v>
      </c>
      <c r="H27">
        <v>471</v>
      </c>
      <c r="I27">
        <v>75012</v>
      </c>
      <c r="J27">
        <v>0</v>
      </c>
      <c r="K27">
        <v>0</v>
      </c>
      <c r="L27">
        <v>8</v>
      </c>
      <c r="M27">
        <v>1</v>
      </c>
      <c r="N27" t="s">
        <v>29</v>
      </c>
      <c r="O27" s="1">
        <f>result[[#This Row],[n_killed_mutants_cumulativa]]/result[[#This Row],[tot_mutants]]</f>
        <v>0.125</v>
      </c>
    </row>
    <row r="28" spans="1:16" hidden="1" x14ac:dyDescent="0.25">
      <c r="A28" t="s">
        <v>28</v>
      </c>
      <c r="B28" t="s">
        <v>31</v>
      </c>
      <c r="C28" t="s">
        <v>16</v>
      </c>
      <c r="D28">
        <v>145616</v>
      </c>
      <c r="E28">
        <v>312</v>
      </c>
      <c r="F28">
        <v>110</v>
      </c>
      <c r="G28">
        <v>12100</v>
      </c>
      <c r="H28">
        <v>518</v>
      </c>
      <c r="I28">
        <v>91928</v>
      </c>
      <c r="J28">
        <v>0</v>
      </c>
      <c r="K28">
        <v>0</v>
      </c>
      <c r="L28">
        <v>8</v>
      </c>
      <c r="M28">
        <v>1</v>
      </c>
      <c r="N28" t="s">
        <v>29</v>
      </c>
      <c r="O28" s="1">
        <f>result[[#This Row],[n_killed_mutants_cumulativa]]/result[[#This Row],[tot_mutants]]</f>
        <v>0.125</v>
      </c>
    </row>
    <row r="29" spans="1:16" x14ac:dyDescent="0.25">
      <c r="A29" t="s">
        <v>28</v>
      </c>
      <c r="B29" t="s">
        <v>22</v>
      </c>
      <c r="C29" t="s">
        <v>16</v>
      </c>
      <c r="D29">
        <v>617979</v>
      </c>
      <c r="E29">
        <v>1415</v>
      </c>
      <c r="F29">
        <v>660</v>
      </c>
      <c r="G29">
        <v>50600</v>
      </c>
      <c r="H29">
        <v>3126</v>
      </c>
      <c r="I29">
        <v>382272</v>
      </c>
      <c r="J29">
        <v>0</v>
      </c>
      <c r="K29">
        <v>0</v>
      </c>
      <c r="L29">
        <v>8</v>
      </c>
      <c r="M29">
        <v>1</v>
      </c>
      <c r="N29" t="s">
        <v>29</v>
      </c>
      <c r="O29" s="1">
        <f>result[[#This Row],[n_killed_mutants_cumulativa]]/result[[#This Row],[tot_mutants]]</f>
        <v>0.125</v>
      </c>
      <c r="P29" s="9" t="s">
        <v>374</v>
      </c>
    </row>
    <row r="30" spans="1:16" hidden="1" x14ac:dyDescent="0.25">
      <c r="A30" t="s">
        <v>32</v>
      </c>
      <c r="B30" t="s">
        <v>15</v>
      </c>
      <c r="C30" t="s">
        <v>16</v>
      </c>
      <c r="D30">
        <v>7821</v>
      </c>
      <c r="E30">
        <v>3559</v>
      </c>
      <c r="F30">
        <v>10</v>
      </c>
      <c r="G30">
        <v>100</v>
      </c>
      <c r="H30">
        <v>200</v>
      </c>
      <c r="I30">
        <v>422</v>
      </c>
      <c r="J30">
        <v>0</v>
      </c>
      <c r="K30">
        <v>0</v>
      </c>
      <c r="L30">
        <v>1</v>
      </c>
      <c r="M30">
        <v>0</v>
      </c>
      <c r="N30" t="s">
        <v>17</v>
      </c>
      <c r="O30" s="1">
        <f>result[[#This Row],[n_killed_mutants_cumulativa]]/result[[#This Row],[tot_mutants]]</f>
        <v>0</v>
      </c>
    </row>
    <row r="31" spans="1:16" hidden="1" x14ac:dyDescent="0.25">
      <c r="A31" t="s">
        <v>32</v>
      </c>
      <c r="B31" t="s">
        <v>18</v>
      </c>
      <c r="C31" t="s">
        <v>16</v>
      </c>
      <c r="D31">
        <v>24238</v>
      </c>
      <c r="E31">
        <v>18896</v>
      </c>
      <c r="F31">
        <v>20</v>
      </c>
      <c r="G31">
        <v>400</v>
      </c>
      <c r="H31">
        <v>800</v>
      </c>
      <c r="I31">
        <v>912</v>
      </c>
      <c r="J31">
        <v>0</v>
      </c>
      <c r="K31">
        <v>0</v>
      </c>
      <c r="L31">
        <v>1</v>
      </c>
      <c r="M31">
        <v>0</v>
      </c>
      <c r="N31" t="s">
        <v>17</v>
      </c>
      <c r="O31" s="1">
        <f>result[[#This Row],[n_killed_mutants_cumulativa]]/result[[#This Row],[tot_mutants]]</f>
        <v>0</v>
      </c>
    </row>
    <row r="32" spans="1:16" hidden="1" x14ac:dyDescent="0.25">
      <c r="A32" t="s">
        <v>32</v>
      </c>
      <c r="B32" t="s">
        <v>19</v>
      </c>
      <c r="C32" t="s">
        <v>16</v>
      </c>
      <c r="D32">
        <v>69450</v>
      </c>
      <c r="E32">
        <v>59995</v>
      </c>
      <c r="F32">
        <v>30</v>
      </c>
      <c r="G32">
        <v>900</v>
      </c>
      <c r="H32">
        <v>1800</v>
      </c>
      <c r="I32">
        <v>1466</v>
      </c>
      <c r="J32">
        <v>0</v>
      </c>
      <c r="K32">
        <v>0</v>
      </c>
      <c r="L32">
        <v>1</v>
      </c>
      <c r="M32">
        <v>0</v>
      </c>
      <c r="N32" t="s">
        <v>17</v>
      </c>
      <c r="O32" s="1">
        <f>result[[#This Row],[n_killed_mutants_cumulativa]]/result[[#This Row],[tot_mutants]]</f>
        <v>0</v>
      </c>
    </row>
    <row r="33" spans="1:16" hidden="1" x14ac:dyDescent="0.25">
      <c r="A33" t="s">
        <v>32</v>
      </c>
      <c r="B33" t="s">
        <v>20</v>
      </c>
      <c r="C33" t="s">
        <v>16</v>
      </c>
      <c r="D33">
        <v>152406</v>
      </c>
      <c r="E33">
        <v>137237</v>
      </c>
      <c r="F33">
        <v>40</v>
      </c>
      <c r="G33">
        <v>1600</v>
      </c>
      <c r="H33">
        <v>3200</v>
      </c>
      <c r="I33">
        <v>2264</v>
      </c>
      <c r="J33">
        <v>0</v>
      </c>
      <c r="K33">
        <v>0</v>
      </c>
      <c r="L33">
        <v>1</v>
      </c>
      <c r="M33">
        <v>0</v>
      </c>
      <c r="N33" t="s">
        <v>17</v>
      </c>
      <c r="O33" s="1">
        <f>result[[#This Row],[n_killed_mutants_cumulativa]]/result[[#This Row],[tot_mutants]]</f>
        <v>0</v>
      </c>
    </row>
    <row r="34" spans="1:16" hidden="1" x14ac:dyDescent="0.25">
      <c r="A34" t="s">
        <v>32</v>
      </c>
      <c r="B34" t="s">
        <v>21</v>
      </c>
      <c r="C34" t="s">
        <v>16</v>
      </c>
      <c r="D34">
        <v>287312</v>
      </c>
      <c r="E34">
        <v>265288</v>
      </c>
      <c r="F34">
        <v>50</v>
      </c>
      <c r="G34">
        <v>2500</v>
      </c>
      <c r="H34">
        <v>5000</v>
      </c>
      <c r="I34">
        <v>3032</v>
      </c>
      <c r="J34">
        <v>0</v>
      </c>
      <c r="K34">
        <v>0</v>
      </c>
      <c r="L34">
        <v>1</v>
      </c>
      <c r="M34">
        <v>0</v>
      </c>
      <c r="N34" t="s">
        <v>17</v>
      </c>
      <c r="O34" s="1">
        <f>result[[#This Row],[n_killed_mutants_cumulativa]]/result[[#This Row],[tot_mutants]]</f>
        <v>0</v>
      </c>
    </row>
    <row r="35" spans="1:16" hidden="1" x14ac:dyDescent="0.25">
      <c r="A35" t="s">
        <v>32</v>
      </c>
      <c r="B35" t="s">
        <v>24</v>
      </c>
      <c r="C35" t="s">
        <v>16</v>
      </c>
      <c r="D35">
        <v>485553</v>
      </c>
      <c r="E35">
        <v>454615</v>
      </c>
      <c r="F35">
        <v>60</v>
      </c>
      <c r="G35">
        <v>3600</v>
      </c>
      <c r="H35">
        <v>7200</v>
      </c>
      <c r="I35">
        <v>3906</v>
      </c>
      <c r="J35">
        <v>0</v>
      </c>
      <c r="K35">
        <v>0</v>
      </c>
      <c r="L35">
        <v>1</v>
      </c>
      <c r="M35">
        <v>0</v>
      </c>
      <c r="N35" t="s">
        <v>17</v>
      </c>
      <c r="O35" s="1">
        <f>result[[#This Row],[n_killed_mutants_cumulativa]]/result[[#This Row],[tot_mutants]]</f>
        <v>0</v>
      </c>
    </row>
    <row r="36" spans="1:16" hidden="1" x14ac:dyDescent="0.25">
      <c r="A36" t="s">
        <v>32</v>
      </c>
      <c r="B36" t="s">
        <v>22</v>
      </c>
      <c r="C36" t="s">
        <v>16</v>
      </c>
      <c r="D36">
        <v>1026780</v>
      </c>
      <c r="E36">
        <v>939590</v>
      </c>
      <c r="F36">
        <v>210</v>
      </c>
      <c r="G36">
        <v>9100</v>
      </c>
      <c r="H36">
        <v>18200</v>
      </c>
      <c r="I36">
        <v>12002</v>
      </c>
      <c r="J36">
        <v>0</v>
      </c>
      <c r="K36">
        <v>0</v>
      </c>
      <c r="L36">
        <v>1</v>
      </c>
      <c r="M36">
        <v>0</v>
      </c>
      <c r="N36" t="s">
        <v>17</v>
      </c>
      <c r="O36" s="1">
        <f>result[[#This Row],[n_killed_mutants_cumulativa]]/result[[#This Row],[tot_mutants]]</f>
        <v>0</v>
      </c>
      <c r="P36" s="9" t="s">
        <v>346</v>
      </c>
    </row>
    <row r="37" spans="1:16" hidden="1" x14ac:dyDescent="0.25">
      <c r="A37" t="s">
        <v>33</v>
      </c>
      <c r="B37" t="s">
        <v>15</v>
      </c>
      <c r="C37" t="s">
        <v>16</v>
      </c>
      <c r="D37">
        <v>8426</v>
      </c>
      <c r="E37">
        <v>3694</v>
      </c>
      <c r="F37">
        <v>10</v>
      </c>
      <c r="G37">
        <v>100</v>
      </c>
      <c r="H37">
        <v>0</v>
      </c>
      <c r="I37">
        <v>560</v>
      </c>
      <c r="J37">
        <v>0</v>
      </c>
      <c r="K37">
        <v>0</v>
      </c>
      <c r="L37">
        <v>1</v>
      </c>
      <c r="M37">
        <v>0</v>
      </c>
      <c r="N37" t="s">
        <v>17</v>
      </c>
      <c r="O37" s="1">
        <f>result[[#This Row],[n_killed_mutants_cumulativa]]/result[[#This Row],[tot_mutants]]</f>
        <v>0</v>
      </c>
    </row>
    <row r="38" spans="1:16" hidden="1" x14ac:dyDescent="0.25">
      <c r="A38" t="s">
        <v>33</v>
      </c>
      <c r="B38" t="s">
        <v>18</v>
      </c>
      <c r="C38" t="s">
        <v>16</v>
      </c>
      <c r="D38">
        <v>26400</v>
      </c>
      <c r="E38">
        <v>19600</v>
      </c>
      <c r="F38">
        <v>20</v>
      </c>
      <c r="G38">
        <v>400</v>
      </c>
      <c r="H38">
        <v>0</v>
      </c>
      <c r="I38">
        <v>1520</v>
      </c>
      <c r="J38">
        <v>0</v>
      </c>
      <c r="K38">
        <v>0</v>
      </c>
      <c r="L38">
        <v>1</v>
      </c>
      <c r="M38">
        <v>0</v>
      </c>
      <c r="N38" t="s">
        <v>17</v>
      </c>
      <c r="O38" s="1">
        <f>result[[#This Row],[n_killed_mutants_cumulativa]]/result[[#This Row],[tot_mutants]]</f>
        <v>0</v>
      </c>
    </row>
    <row r="39" spans="1:16" hidden="1" x14ac:dyDescent="0.25">
      <c r="A39" t="s">
        <v>33</v>
      </c>
      <c r="B39" t="s">
        <v>19</v>
      </c>
      <c r="C39" t="s">
        <v>16</v>
      </c>
      <c r="D39">
        <v>74815</v>
      </c>
      <c r="E39">
        <v>61420</v>
      </c>
      <c r="F39">
        <v>30</v>
      </c>
      <c r="G39">
        <v>900</v>
      </c>
      <c r="H39">
        <v>0</v>
      </c>
      <c r="I39">
        <v>2880</v>
      </c>
      <c r="J39">
        <v>0</v>
      </c>
      <c r="K39">
        <v>0</v>
      </c>
      <c r="L39">
        <v>1</v>
      </c>
      <c r="M39">
        <v>0</v>
      </c>
      <c r="N39" t="s">
        <v>17</v>
      </c>
      <c r="O39" s="1">
        <f>result[[#This Row],[n_killed_mutants_cumulativa]]/result[[#This Row],[tot_mutants]]</f>
        <v>0</v>
      </c>
    </row>
    <row r="40" spans="1:16" hidden="1" x14ac:dyDescent="0.25">
      <c r="A40" t="s">
        <v>33</v>
      </c>
      <c r="B40" t="s">
        <v>20</v>
      </c>
      <c r="C40" t="s">
        <v>16</v>
      </c>
      <c r="D40">
        <v>163571</v>
      </c>
      <c r="E40">
        <v>141237</v>
      </c>
      <c r="F40">
        <v>40</v>
      </c>
      <c r="G40">
        <v>1600</v>
      </c>
      <c r="H40">
        <v>0</v>
      </c>
      <c r="I40">
        <v>4640</v>
      </c>
      <c r="J40">
        <v>0</v>
      </c>
      <c r="K40">
        <v>0</v>
      </c>
      <c r="L40">
        <v>1</v>
      </c>
      <c r="M40">
        <v>0</v>
      </c>
      <c r="N40" t="s">
        <v>17</v>
      </c>
      <c r="O40" s="1">
        <f>result[[#This Row],[n_killed_mutants_cumulativa]]/result[[#This Row],[tot_mutants]]</f>
        <v>0</v>
      </c>
    </row>
    <row r="41" spans="1:16" hidden="1" x14ac:dyDescent="0.25">
      <c r="A41" t="s">
        <v>33</v>
      </c>
      <c r="B41" t="s">
        <v>21</v>
      </c>
      <c r="C41" t="s">
        <v>16</v>
      </c>
      <c r="D41">
        <v>304958</v>
      </c>
      <c r="E41">
        <v>271259</v>
      </c>
      <c r="F41">
        <v>50</v>
      </c>
      <c r="G41">
        <v>2500</v>
      </c>
      <c r="H41">
        <v>0</v>
      </c>
      <c r="I41">
        <v>6800</v>
      </c>
      <c r="J41">
        <v>0</v>
      </c>
      <c r="K41">
        <v>0</v>
      </c>
      <c r="L41">
        <v>1</v>
      </c>
      <c r="M41">
        <v>0</v>
      </c>
      <c r="N41" t="s">
        <v>17</v>
      </c>
      <c r="O41" s="1">
        <f>result[[#This Row],[n_killed_mutants_cumulativa]]/result[[#This Row],[tot_mutants]]</f>
        <v>0</v>
      </c>
    </row>
    <row r="42" spans="1:16" hidden="1" x14ac:dyDescent="0.25">
      <c r="A42" t="s">
        <v>33</v>
      </c>
      <c r="B42" t="s">
        <v>24</v>
      </c>
      <c r="C42" t="s">
        <v>16</v>
      </c>
      <c r="D42">
        <v>510967</v>
      </c>
      <c r="E42">
        <v>463368</v>
      </c>
      <c r="F42">
        <v>60</v>
      </c>
      <c r="G42">
        <v>3600</v>
      </c>
      <c r="H42">
        <v>0</v>
      </c>
      <c r="I42">
        <v>9360</v>
      </c>
      <c r="J42">
        <v>0</v>
      </c>
      <c r="K42">
        <v>0</v>
      </c>
      <c r="L42">
        <v>1</v>
      </c>
      <c r="M42">
        <v>0</v>
      </c>
      <c r="N42" t="s">
        <v>17</v>
      </c>
      <c r="O42" s="1">
        <f>result[[#This Row],[n_killed_mutants_cumulativa]]/result[[#This Row],[tot_mutants]]</f>
        <v>0</v>
      </c>
    </row>
    <row r="43" spans="1:16" hidden="1" x14ac:dyDescent="0.25">
      <c r="A43" t="s">
        <v>33</v>
      </c>
      <c r="B43" t="s">
        <v>22</v>
      </c>
      <c r="C43" t="s">
        <v>16</v>
      </c>
      <c r="D43">
        <v>1089137</v>
      </c>
      <c r="E43">
        <v>960578</v>
      </c>
      <c r="F43">
        <v>210</v>
      </c>
      <c r="G43">
        <v>9100</v>
      </c>
      <c r="H43">
        <v>0</v>
      </c>
      <c r="I43">
        <v>25760</v>
      </c>
      <c r="J43">
        <v>0</v>
      </c>
      <c r="K43">
        <v>0</v>
      </c>
      <c r="L43">
        <v>1</v>
      </c>
      <c r="M43">
        <v>0</v>
      </c>
      <c r="N43" t="s">
        <v>17</v>
      </c>
      <c r="O43" s="1">
        <f>result[[#This Row],[n_killed_mutants_cumulativa]]/result[[#This Row],[tot_mutants]]</f>
        <v>0</v>
      </c>
      <c r="P43" s="9" t="s">
        <v>346</v>
      </c>
    </row>
    <row r="44" spans="1:16" hidden="1" x14ac:dyDescent="0.25">
      <c r="A44" t="s">
        <v>34</v>
      </c>
      <c r="B44" t="s">
        <v>15</v>
      </c>
      <c r="C44" t="s">
        <v>16</v>
      </c>
      <c r="D44">
        <v>5959</v>
      </c>
      <c r="E44">
        <v>92</v>
      </c>
      <c r="F44">
        <v>10</v>
      </c>
      <c r="G44">
        <v>100</v>
      </c>
      <c r="H44">
        <v>48</v>
      </c>
      <c r="I44">
        <v>728</v>
      </c>
      <c r="J44">
        <v>0</v>
      </c>
      <c r="K44">
        <v>0</v>
      </c>
      <c r="L44">
        <v>9</v>
      </c>
      <c r="M44">
        <v>2</v>
      </c>
      <c r="N44" t="s">
        <v>35</v>
      </c>
      <c r="O44" s="1">
        <f>result[[#This Row],[n_killed_mutants_cumulativa]]/result[[#This Row],[tot_mutants]]</f>
        <v>0.22222222222222221</v>
      </c>
    </row>
    <row r="45" spans="1:16" hidden="1" x14ac:dyDescent="0.25">
      <c r="A45" t="s">
        <v>34</v>
      </c>
      <c r="B45" t="s">
        <v>18</v>
      </c>
      <c r="C45" t="s">
        <v>16</v>
      </c>
      <c r="D45">
        <v>7048</v>
      </c>
      <c r="E45">
        <v>31</v>
      </c>
      <c r="F45">
        <v>20</v>
      </c>
      <c r="G45">
        <v>400</v>
      </c>
      <c r="H45">
        <v>82</v>
      </c>
      <c r="I45">
        <v>2788</v>
      </c>
      <c r="J45">
        <v>0</v>
      </c>
      <c r="K45">
        <v>0</v>
      </c>
      <c r="L45">
        <v>9</v>
      </c>
      <c r="M45">
        <v>2</v>
      </c>
      <c r="N45" t="s">
        <v>35</v>
      </c>
      <c r="O45" s="1">
        <f>result[[#This Row],[n_killed_mutants_cumulativa]]/result[[#This Row],[tot_mutants]]</f>
        <v>0.22222222222222221</v>
      </c>
    </row>
    <row r="46" spans="1:16" hidden="1" x14ac:dyDescent="0.25">
      <c r="A46" t="s">
        <v>34</v>
      </c>
      <c r="B46" t="s">
        <v>19</v>
      </c>
      <c r="C46" t="s">
        <v>16</v>
      </c>
      <c r="D46">
        <v>12250</v>
      </c>
      <c r="E46">
        <v>34</v>
      </c>
      <c r="F46">
        <v>30</v>
      </c>
      <c r="G46">
        <v>900</v>
      </c>
      <c r="H46">
        <v>96</v>
      </c>
      <c r="I46">
        <v>5704</v>
      </c>
      <c r="J46">
        <v>0</v>
      </c>
      <c r="K46">
        <v>0</v>
      </c>
      <c r="L46">
        <v>9</v>
      </c>
      <c r="M46">
        <v>2</v>
      </c>
      <c r="N46" t="s">
        <v>35</v>
      </c>
      <c r="O46" s="1">
        <f>result[[#This Row],[n_killed_mutants_cumulativa]]/result[[#This Row],[tot_mutants]]</f>
        <v>0.22222222222222221</v>
      </c>
    </row>
    <row r="47" spans="1:16" hidden="1" x14ac:dyDescent="0.25">
      <c r="A47" t="s">
        <v>34</v>
      </c>
      <c r="B47" t="s">
        <v>20</v>
      </c>
      <c r="C47" t="s">
        <v>16</v>
      </c>
      <c r="D47">
        <v>18521</v>
      </c>
      <c r="E47">
        <v>50</v>
      </c>
      <c r="F47">
        <v>40</v>
      </c>
      <c r="G47">
        <v>1600</v>
      </c>
      <c r="H47">
        <v>170</v>
      </c>
      <c r="I47">
        <v>10231</v>
      </c>
      <c r="J47">
        <v>0</v>
      </c>
      <c r="K47">
        <v>0</v>
      </c>
      <c r="L47">
        <v>9</v>
      </c>
      <c r="M47">
        <v>2</v>
      </c>
      <c r="N47" t="s">
        <v>35</v>
      </c>
      <c r="O47" s="1">
        <f>result[[#This Row],[n_killed_mutants_cumulativa]]/result[[#This Row],[tot_mutants]]</f>
        <v>0.22222222222222221</v>
      </c>
    </row>
    <row r="48" spans="1:16" hidden="1" x14ac:dyDescent="0.25">
      <c r="A48" t="s">
        <v>34</v>
      </c>
      <c r="B48" t="s">
        <v>21</v>
      </c>
      <c r="C48" t="s">
        <v>16</v>
      </c>
      <c r="D48">
        <v>28226</v>
      </c>
      <c r="E48">
        <v>68</v>
      </c>
      <c r="F48">
        <v>50</v>
      </c>
      <c r="G48">
        <v>2500</v>
      </c>
      <c r="H48">
        <v>220</v>
      </c>
      <c r="I48">
        <v>16741</v>
      </c>
      <c r="J48">
        <v>0</v>
      </c>
      <c r="K48">
        <v>0</v>
      </c>
      <c r="L48">
        <v>9</v>
      </c>
      <c r="M48">
        <v>2</v>
      </c>
      <c r="N48" t="s">
        <v>35</v>
      </c>
      <c r="O48" s="1">
        <f>result[[#This Row],[n_killed_mutants_cumulativa]]/result[[#This Row],[tot_mutants]]</f>
        <v>0.22222222222222221</v>
      </c>
    </row>
    <row r="49" spans="1:16" hidden="1" x14ac:dyDescent="0.25">
      <c r="A49" t="s">
        <v>34</v>
      </c>
      <c r="B49" t="s">
        <v>24</v>
      </c>
      <c r="C49" t="s">
        <v>16</v>
      </c>
      <c r="D49">
        <v>39318</v>
      </c>
      <c r="E49">
        <v>123</v>
      </c>
      <c r="F49">
        <v>60</v>
      </c>
      <c r="G49">
        <v>3600</v>
      </c>
      <c r="H49">
        <v>290</v>
      </c>
      <c r="I49">
        <v>23612</v>
      </c>
      <c r="J49">
        <v>0</v>
      </c>
      <c r="K49">
        <v>0</v>
      </c>
      <c r="L49">
        <v>9</v>
      </c>
      <c r="M49">
        <v>2</v>
      </c>
      <c r="N49" t="s">
        <v>35</v>
      </c>
      <c r="O49" s="1">
        <f>result[[#This Row],[n_killed_mutants_cumulativa]]/result[[#This Row],[tot_mutants]]</f>
        <v>0.22222222222222221</v>
      </c>
    </row>
    <row r="50" spans="1:16" hidden="1" x14ac:dyDescent="0.25">
      <c r="A50" t="s">
        <v>34</v>
      </c>
      <c r="B50" t="s">
        <v>25</v>
      </c>
      <c r="C50" t="s">
        <v>16</v>
      </c>
      <c r="D50">
        <v>52836</v>
      </c>
      <c r="E50">
        <v>122</v>
      </c>
      <c r="F50">
        <v>70</v>
      </c>
      <c r="G50">
        <v>4900</v>
      </c>
      <c r="H50">
        <v>292</v>
      </c>
      <c r="I50">
        <v>32475</v>
      </c>
      <c r="J50">
        <v>0</v>
      </c>
      <c r="K50">
        <v>0</v>
      </c>
      <c r="L50">
        <v>9</v>
      </c>
      <c r="M50">
        <v>2</v>
      </c>
      <c r="N50" t="s">
        <v>35</v>
      </c>
      <c r="O50" s="1">
        <f>result[[#This Row],[n_killed_mutants_cumulativa]]/result[[#This Row],[tot_mutants]]</f>
        <v>0.22222222222222221</v>
      </c>
    </row>
    <row r="51" spans="1:16" hidden="1" x14ac:dyDescent="0.25">
      <c r="A51" t="s">
        <v>34</v>
      </c>
      <c r="B51" t="s">
        <v>26</v>
      </c>
      <c r="C51" t="s">
        <v>16</v>
      </c>
      <c r="D51">
        <v>68934</v>
      </c>
      <c r="E51">
        <v>153</v>
      </c>
      <c r="F51">
        <v>80</v>
      </c>
      <c r="G51">
        <v>6400</v>
      </c>
      <c r="H51">
        <v>372</v>
      </c>
      <c r="I51">
        <v>42773</v>
      </c>
      <c r="J51">
        <v>0</v>
      </c>
      <c r="K51">
        <v>0</v>
      </c>
      <c r="L51">
        <v>9</v>
      </c>
      <c r="M51">
        <v>2</v>
      </c>
      <c r="N51" t="s">
        <v>35</v>
      </c>
      <c r="O51" s="1">
        <f>result[[#This Row],[n_killed_mutants_cumulativa]]/result[[#This Row],[tot_mutants]]</f>
        <v>0.22222222222222221</v>
      </c>
    </row>
    <row r="52" spans="1:16" hidden="1" x14ac:dyDescent="0.25">
      <c r="A52" t="s">
        <v>34</v>
      </c>
      <c r="B52" t="s">
        <v>27</v>
      </c>
      <c r="C52" t="s">
        <v>16</v>
      </c>
      <c r="D52">
        <v>86299</v>
      </c>
      <c r="E52">
        <v>193</v>
      </c>
      <c r="F52">
        <v>90</v>
      </c>
      <c r="G52">
        <v>8100</v>
      </c>
      <c r="H52">
        <v>372</v>
      </c>
      <c r="I52">
        <v>53003</v>
      </c>
      <c r="J52">
        <v>0</v>
      </c>
      <c r="K52">
        <v>0</v>
      </c>
      <c r="L52">
        <v>9</v>
      </c>
      <c r="M52">
        <v>2</v>
      </c>
      <c r="N52" t="s">
        <v>35</v>
      </c>
      <c r="O52" s="1">
        <f>result[[#This Row],[n_killed_mutants_cumulativa]]/result[[#This Row],[tot_mutants]]</f>
        <v>0.22222222222222221</v>
      </c>
    </row>
    <row r="53" spans="1:16" hidden="1" x14ac:dyDescent="0.25">
      <c r="A53" t="s">
        <v>34</v>
      </c>
      <c r="B53" t="s">
        <v>30</v>
      </c>
      <c r="C53" t="s">
        <v>16</v>
      </c>
      <c r="D53">
        <v>108483</v>
      </c>
      <c r="E53">
        <v>225</v>
      </c>
      <c r="F53">
        <v>100</v>
      </c>
      <c r="G53">
        <v>10000</v>
      </c>
      <c r="H53">
        <v>398</v>
      </c>
      <c r="I53">
        <v>66125</v>
      </c>
      <c r="J53">
        <v>0</v>
      </c>
      <c r="K53">
        <v>0</v>
      </c>
      <c r="L53">
        <v>9</v>
      </c>
      <c r="M53">
        <v>2</v>
      </c>
      <c r="N53" t="s">
        <v>35</v>
      </c>
      <c r="O53" s="1">
        <f>result[[#This Row],[n_killed_mutants_cumulativa]]/result[[#This Row],[tot_mutants]]</f>
        <v>0.22222222222222221</v>
      </c>
    </row>
    <row r="54" spans="1:16" hidden="1" x14ac:dyDescent="0.25">
      <c r="A54" t="s">
        <v>34</v>
      </c>
      <c r="B54" t="s">
        <v>31</v>
      </c>
      <c r="C54" t="s">
        <v>16</v>
      </c>
      <c r="D54">
        <v>134215</v>
      </c>
      <c r="E54">
        <v>273</v>
      </c>
      <c r="F54">
        <v>110</v>
      </c>
      <c r="G54">
        <v>12100</v>
      </c>
      <c r="H54">
        <v>440</v>
      </c>
      <c r="I54">
        <v>79879</v>
      </c>
      <c r="J54">
        <v>0</v>
      </c>
      <c r="K54">
        <v>0</v>
      </c>
      <c r="L54">
        <v>9</v>
      </c>
      <c r="M54">
        <v>2</v>
      </c>
      <c r="N54" t="s">
        <v>35</v>
      </c>
      <c r="O54" s="1">
        <f>result[[#This Row],[n_killed_mutants_cumulativa]]/result[[#This Row],[tot_mutants]]</f>
        <v>0.22222222222222221</v>
      </c>
    </row>
    <row r="55" spans="1:16" hidden="1" x14ac:dyDescent="0.25">
      <c r="A55" t="s">
        <v>34</v>
      </c>
      <c r="B55" t="s">
        <v>36</v>
      </c>
      <c r="C55" t="s">
        <v>16</v>
      </c>
      <c r="D55">
        <v>162597</v>
      </c>
      <c r="E55">
        <v>336</v>
      </c>
      <c r="F55">
        <v>120</v>
      </c>
      <c r="G55">
        <v>14400</v>
      </c>
      <c r="H55">
        <v>540</v>
      </c>
      <c r="I55">
        <v>95876</v>
      </c>
      <c r="J55">
        <v>0</v>
      </c>
      <c r="K55">
        <v>0</v>
      </c>
      <c r="L55">
        <v>9</v>
      </c>
      <c r="M55">
        <v>2</v>
      </c>
      <c r="N55" t="s">
        <v>35</v>
      </c>
      <c r="O55" s="1">
        <f>result[[#This Row],[n_killed_mutants_cumulativa]]/result[[#This Row],[tot_mutants]]</f>
        <v>0.22222222222222221</v>
      </c>
    </row>
    <row r="56" spans="1:16" x14ac:dyDescent="0.25">
      <c r="A56" t="s">
        <v>34</v>
      </c>
      <c r="B56" t="s">
        <v>22</v>
      </c>
      <c r="C56" t="s">
        <v>16</v>
      </c>
      <c r="D56">
        <v>724686</v>
      </c>
      <c r="E56">
        <v>1700</v>
      </c>
      <c r="F56">
        <v>780</v>
      </c>
      <c r="G56">
        <v>65000</v>
      </c>
      <c r="H56">
        <v>3320</v>
      </c>
      <c r="I56">
        <v>429935</v>
      </c>
      <c r="J56">
        <v>0</v>
      </c>
      <c r="K56">
        <v>0</v>
      </c>
      <c r="L56">
        <v>9</v>
      </c>
      <c r="M56">
        <v>2</v>
      </c>
      <c r="N56" t="s">
        <v>35</v>
      </c>
      <c r="O56" s="1">
        <f>result[[#This Row],[n_killed_mutants_cumulativa]]/result[[#This Row],[tot_mutants]]</f>
        <v>0.22222222222222221</v>
      </c>
      <c r="P56" s="9" t="s">
        <v>375</v>
      </c>
    </row>
    <row r="57" spans="1:16" hidden="1" x14ac:dyDescent="0.25">
      <c r="A57" t="s">
        <v>37</v>
      </c>
      <c r="B57" t="s">
        <v>15</v>
      </c>
      <c r="C57" t="s">
        <v>16</v>
      </c>
      <c r="D57">
        <v>1746</v>
      </c>
      <c r="E57">
        <v>219</v>
      </c>
      <c r="F57">
        <v>0</v>
      </c>
      <c r="G57">
        <v>0</v>
      </c>
      <c r="H57">
        <v>0</v>
      </c>
      <c r="I57">
        <v>0</v>
      </c>
      <c r="J57">
        <v>0</v>
      </c>
      <c r="K57">
        <v>10</v>
      </c>
      <c r="L57">
        <v>1</v>
      </c>
      <c r="M57">
        <v>0</v>
      </c>
      <c r="N57" t="s">
        <v>17</v>
      </c>
      <c r="O57" s="1">
        <f>result[[#This Row],[n_killed_mutants_cumulativa]]/result[[#This Row],[tot_mutants]]</f>
        <v>0</v>
      </c>
    </row>
    <row r="58" spans="1:16" hidden="1" x14ac:dyDescent="0.25">
      <c r="A58" t="s">
        <v>37</v>
      </c>
      <c r="B58" t="s">
        <v>18</v>
      </c>
      <c r="C58" t="s">
        <v>16</v>
      </c>
      <c r="D58">
        <v>1215</v>
      </c>
      <c r="E58">
        <v>350</v>
      </c>
      <c r="F58">
        <v>0</v>
      </c>
      <c r="G58">
        <v>0</v>
      </c>
      <c r="H58">
        <v>0</v>
      </c>
      <c r="I58">
        <v>0</v>
      </c>
      <c r="J58">
        <v>0</v>
      </c>
      <c r="K58">
        <v>20</v>
      </c>
      <c r="L58">
        <v>1</v>
      </c>
      <c r="M58">
        <v>0</v>
      </c>
      <c r="N58" t="s">
        <v>17</v>
      </c>
      <c r="O58" s="1">
        <f>result[[#This Row],[n_killed_mutants_cumulativa]]/result[[#This Row],[tot_mutants]]</f>
        <v>0</v>
      </c>
    </row>
    <row r="59" spans="1:16" hidden="1" x14ac:dyDescent="0.25">
      <c r="A59" t="s">
        <v>37</v>
      </c>
      <c r="B59" t="s">
        <v>19</v>
      </c>
      <c r="C59" t="s">
        <v>16</v>
      </c>
      <c r="D59">
        <v>1191</v>
      </c>
      <c r="E59">
        <v>335</v>
      </c>
      <c r="F59">
        <v>0</v>
      </c>
      <c r="G59">
        <v>0</v>
      </c>
      <c r="H59">
        <v>0</v>
      </c>
      <c r="I59">
        <v>0</v>
      </c>
      <c r="J59">
        <v>0</v>
      </c>
      <c r="K59">
        <v>30</v>
      </c>
      <c r="L59">
        <v>1</v>
      </c>
      <c r="M59">
        <v>0</v>
      </c>
      <c r="N59" t="s">
        <v>17</v>
      </c>
      <c r="O59" s="1">
        <f>result[[#This Row],[n_killed_mutants_cumulativa]]/result[[#This Row],[tot_mutants]]</f>
        <v>0</v>
      </c>
    </row>
    <row r="60" spans="1:16" hidden="1" x14ac:dyDescent="0.25">
      <c r="A60" t="s">
        <v>37</v>
      </c>
      <c r="B60" t="s">
        <v>20</v>
      </c>
      <c r="C60" t="s">
        <v>16</v>
      </c>
      <c r="D60">
        <v>1411</v>
      </c>
      <c r="E60">
        <v>468</v>
      </c>
      <c r="F60">
        <v>0</v>
      </c>
      <c r="G60">
        <v>0</v>
      </c>
      <c r="H60">
        <v>0</v>
      </c>
      <c r="I60">
        <v>0</v>
      </c>
      <c r="J60">
        <v>0</v>
      </c>
      <c r="K60">
        <v>40</v>
      </c>
      <c r="L60">
        <v>1</v>
      </c>
      <c r="M60">
        <v>0</v>
      </c>
      <c r="N60" t="s">
        <v>17</v>
      </c>
      <c r="O60" s="1">
        <f>result[[#This Row],[n_killed_mutants_cumulativa]]/result[[#This Row],[tot_mutants]]</f>
        <v>0</v>
      </c>
    </row>
    <row r="61" spans="1:16" hidden="1" x14ac:dyDescent="0.25">
      <c r="A61" t="s">
        <v>37</v>
      </c>
      <c r="B61" t="s">
        <v>21</v>
      </c>
      <c r="C61" t="s">
        <v>16</v>
      </c>
      <c r="D61">
        <v>2011</v>
      </c>
      <c r="E61">
        <v>703</v>
      </c>
      <c r="F61">
        <v>0</v>
      </c>
      <c r="G61">
        <v>0</v>
      </c>
      <c r="H61">
        <v>0</v>
      </c>
      <c r="I61">
        <v>0</v>
      </c>
      <c r="J61">
        <v>0</v>
      </c>
      <c r="K61">
        <v>50</v>
      </c>
      <c r="L61">
        <v>1</v>
      </c>
      <c r="M61">
        <v>0</v>
      </c>
      <c r="N61" t="s">
        <v>17</v>
      </c>
      <c r="O61" s="1">
        <f>result[[#This Row],[n_killed_mutants_cumulativa]]/result[[#This Row],[tot_mutants]]</f>
        <v>0</v>
      </c>
    </row>
    <row r="62" spans="1:16" hidden="1" x14ac:dyDescent="0.25">
      <c r="A62" t="s">
        <v>37</v>
      </c>
      <c r="B62" t="s">
        <v>22</v>
      </c>
      <c r="C62" t="s">
        <v>16</v>
      </c>
      <c r="D62">
        <v>7574</v>
      </c>
      <c r="E62">
        <v>2075</v>
      </c>
      <c r="F62">
        <v>0</v>
      </c>
      <c r="G62">
        <v>0</v>
      </c>
      <c r="H62">
        <v>0</v>
      </c>
      <c r="I62">
        <v>0</v>
      </c>
      <c r="J62">
        <v>0</v>
      </c>
      <c r="K62">
        <v>150</v>
      </c>
      <c r="L62">
        <v>1</v>
      </c>
      <c r="M62">
        <v>0</v>
      </c>
      <c r="N62" t="s">
        <v>17</v>
      </c>
      <c r="O62" s="1">
        <f>result[[#This Row],[n_killed_mutants_cumulativa]]/result[[#This Row],[tot_mutants]]</f>
        <v>0</v>
      </c>
    </row>
    <row r="63" spans="1:16" hidden="1" x14ac:dyDescent="0.25">
      <c r="A63" t="s">
        <v>38</v>
      </c>
      <c r="B63" t="s">
        <v>15</v>
      </c>
      <c r="C63" t="s">
        <v>16</v>
      </c>
      <c r="D63">
        <v>8039</v>
      </c>
      <c r="E63">
        <v>395</v>
      </c>
      <c r="F63">
        <v>10</v>
      </c>
      <c r="G63">
        <v>100</v>
      </c>
      <c r="H63">
        <v>93</v>
      </c>
      <c r="I63">
        <v>649</v>
      </c>
      <c r="J63">
        <v>0</v>
      </c>
      <c r="K63">
        <v>0</v>
      </c>
      <c r="L63">
        <v>9</v>
      </c>
      <c r="M63">
        <v>2</v>
      </c>
      <c r="N63" t="s">
        <v>39</v>
      </c>
      <c r="O63" s="1">
        <f>result[[#This Row],[n_killed_mutants_cumulativa]]/result[[#This Row],[tot_mutants]]</f>
        <v>0.22222222222222221</v>
      </c>
    </row>
    <row r="64" spans="1:16" hidden="1" x14ac:dyDescent="0.25">
      <c r="A64" t="s">
        <v>38</v>
      </c>
      <c r="B64" t="s">
        <v>18</v>
      </c>
      <c r="C64" t="s">
        <v>16</v>
      </c>
      <c r="D64">
        <v>8739</v>
      </c>
      <c r="E64">
        <v>305</v>
      </c>
      <c r="F64">
        <v>20</v>
      </c>
      <c r="G64">
        <v>400</v>
      </c>
      <c r="H64">
        <v>194</v>
      </c>
      <c r="I64">
        <v>1524</v>
      </c>
      <c r="J64">
        <v>0</v>
      </c>
      <c r="K64">
        <v>0</v>
      </c>
      <c r="L64">
        <v>9</v>
      </c>
      <c r="M64">
        <v>2</v>
      </c>
      <c r="N64" t="s">
        <v>39</v>
      </c>
      <c r="O64" s="1">
        <f>result[[#This Row],[n_killed_mutants_cumulativa]]/result[[#This Row],[tot_mutants]]</f>
        <v>0.22222222222222221</v>
      </c>
    </row>
    <row r="65" spans="1:16" hidden="1" x14ac:dyDescent="0.25">
      <c r="A65" t="s">
        <v>38</v>
      </c>
      <c r="B65" t="s">
        <v>19</v>
      </c>
      <c r="C65" t="s">
        <v>16</v>
      </c>
      <c r="D65">
        <v>13152</v>
      </c>
      <c r="E65">
        <v>335</v>
      </c>
      <c r="F65">
        <v>30</v>
      </c>
      <c r="G65">
        <v>900</v>
      </c>
      <c r="H65">
        <v>291</v>
      </c>
      <c r="I65">
        <v>2582</v>
      </c>
      <c r="J65">
        <v>0</v>
      </c>
      <c r="K65">
        <v>0</v>
      </c>
      <c r="L65">
        <v>9</v>
      </c>
      <c r="M65">
        <v>2</v>
      </c>
      <c r="N65" t="s">
        <v>39</v>
      </c>
      <c r="O65" s="1">
        <f>result[[#This Row],[n_killed_mutants_cumulativa]]/result[[#This Row],[tot_mutants]]</f>
        <v>0.22222222222222221</v>
      </c>
    </row>
    <row r="66" spans="1:16" hidden="1" x14ac:dyDescent="0.25">
      <c r="A66" t="s">
        <v>38</v>
      </c>
      <c r="B66" t="s">
        <v>20</v>
      </c>
      <c r="C66" t="s">
        <v>16</v>
      </c>
      <c r="D66">
        <v>18778</v>
      </c>
      <c r="E66">
        <v>468</v>
      </c>
      <c r="F66">
        <v>40</v>
      </c>
      <c r="G66">
        <v>1600</v>
      </c>
      <c r="H66">
        <v>411</v>
      </c>
      <c r="I66">
        <v>3873</v>
      </c>
      <c r="J66">
        <v>0</v>
      </c>
      <c r="K66">
        <v>0</v>
      </c>
      <c r="L66">
        <v>9</v>
      </c>
      <c r="M66">
        <v>2</v>
      </c>
      <c r="N66" t="s">
        <v>39</v>
      </c>
      <c r="O66" s="1">
        <f>result[[#This Row],[n_killed_mutants_cumulativa]]/result[[#This Row],[tot_mutants]]</f>
        <v>0.22222222222222221</v>
      </c>
    </row>
    <row r="67" spans="1:16" hidden="1" x14ac:dyDescent="0.25">
      <c r="A67" t="s">
        <v>38</v>
      </c>
      <c r="B67" t="s">
        <v>21</v>
      </c>
      <c r="C67" t="s">
        <v>16</v>
      </c>
      <c r="D67">
        <v>24208</v>
      </c>
      <c r="E67">
        <v>677</v>
      </c>
      <c r="F67">
        <v>50</v>
      </c>
      <c r="G67">
        <v>2500</v>
      </c>
      <c r="H67">
        <v>524</v>
      </c>
      <c r="I67">
        <v>5335</v>
      </c>
      <c r="J67">
        <v>0</v>
      </c>
      <c r="K67">
        <v>0</v>
      </c>
      <c r="L67">
        <v>9</v>
      </c>
      <c r="M67">
        <v>2</v>
      </c>
      <c r="N67" t="s">
        <v>39</v>
      </c>
      <c r="O67" s="1">
        <f>result[[#This Row],[n_killed_mutants_cumulativa]]/result[[#This Row],[tot_mutants]]</f>
        <v>0.22222222222222221</v>
      </c>
    </row>
    <row r="68" spans="1:16" hidden="1" x14ac:dyDescent="0.25">
      <c r="A68" t="s">
        <v>38</v>
      </c>
      <c r="B68" t="s">
        <v>24</v>
      </c>
      <c r="C68" t="s">
        <v>16</v>
      </c>
      <c r="D68">
        <v>30371</v>
      </c>
      <c r="E68">
        <v>918</v>
      </c>
      <c r="F68">
        <v>60</v>
      </c>
      <c r="G68">
        <v>3600</v>
      </c>
      <c r="H68">
        <v>602</v>
      </c>
      <c r="I68">
        <v>6990</v>
      </c>
      <c r="J68">
        <v>0</v>
      </c>
      <c r="K68">
        <v>0</v>
      </c>
      <c r="L68">
        <v>9</v>
      </c>
      <c r="M68">
        <v>2</v>
      </c>
      <c r="N68" t="s">
        <v>39</v>
      </c>
      <c r="O68" s="1">
        <f>result[[#This Row],[n_killed_mutants_cumulativa]]/result[[#This Row],[tot_mutants]]</f>
        <v>0.22222222222222221</v>
      </c>
    </row>
    <row r="69" spans="1:16" hidden="1" x14ac:dyDescent="0.25">
      <c r="A69" t="s">
        <v>38</v>
      </c>
      <c r="B69" t="s">
        <v>25</v>
      </c>
      <c r="C69" t="s">
        <v>16</v>
      </c>
      <c r="D69">
        <v>38774</v>
      </c>
      <c r="E69">
        <v>1304</v>
      </c>
      <c r="F69">
        <v>70</v>
      </c>
      <c r="G69">
        <v>4900</v>
      </c>
      <c r="H69">
        <v>696</v>
      </c>
      <c r="I69">
        <v>8834</v>
      </c>
      <c r="J69">
        <v>0</v>
      </c>
      <c r="K69">
        <v>0</v>
      </c>
      <c r="L69">
        <v>9</v>
      </c>
      <c r="M69">
        <v>2</v>
      </c>
      <c r="N69" t="s">
        <v>39</v>
      </c>
      <c r="O69" s="1">
        <f>result[[#This Row],[n_killed_mutants_cumulativa]]/result[[#This Row],[tot_mutants]]</f>
        <v>0.22222222222222221</v>
      </c>
    </row>
    <row r="70" spans="1:16" hidden="1" x14ac:dyDescent="0.25">
      <c r="A70" t="s">
        <v>38</v>
      </c>
      <c r="B70" t="s">
        <v>26</v>
      </c>
      <c r="C70" t="s">
        <v>16</v>
      </c>
      <c r="D70">
        <v>47315</v>
      </c>
      <c r="E70">
        <v>1623</v>
      </c>
      <c r="F70">
        <v>80</v>
      </c>
      <c r="G70">
        <v>6400</v>
      </c>
      <c r="H70">
        <v>801</v>
      </c>
      <c r="I70">
        <v>10900</v>
      </c>
      <c r="J70">
        <v>0</v>
      </c>
      <c r="K70">
        <v>0</v>
      </c>
      <c r="L70">
        <v>9</v>
      </c>
      <c r="M70">
        <v>2</v>
      </c>
      <c r="N70" t="s">
        <v>39</v>
      </c>
      <c r="O70" s="1">
        <f>result[[#This Row],[n_killed_mutants_cumulativa]]/result[[#This Row],[tot_mutants]]</f>
        <v>0.22222222222222221</v>
      </c>
    </row>
    <row r="71" spans="1:16" hidden="1" x14ac:dyDescent="0.25">
      <c r="A71" t="s">
        <v>38</v>
      </c>
      <c r="B71" t="s">
        <v>27</v>
      </c>
      <c r="C71" t="s">
        <v>16</v>
      </c>
      <c r="D71">
        <v>56697</v>
      </c>
      <c r="E71">
        <v>1878</v>
      </c>
      <c r="F71">
        <v>90</v>
      </c>
      <c r="G71">
        <v>8100</v>
      </c>
      <c r="H71">
        <v>859</v>
      </c>
      <c r="I71">
        <v>13140</v>
      </c>
      <c r="J71">
        <v>0</v>
      </c>
      <c r="K71">
        <v>0</v>
      </c>
      <c r="L71">
        <v>9</v>
      </c>
      <c r="M71">
        <v>2</v>
      </c>
      <c r="N71" t="s">
        <v>39</v>
      </c>
      <c r="O71" s="1">
        <f>result[[#This Row],[n_killed_mutants_cumulativa]]/result[[#This Row],[tot_mutants]]</f>
        <v>0.22222222222222221</v>
      </c>
    </row>
    <row r="72" spans="1:16" hidden="1" x14ac:dyDescent="0.25">
      <c r="A72" t="s">
        <v>38</v>
      </c>
      <c r="B72" t="s">
        <v>30</v>
      </c>
      <c r="C72" t="s">
        <v>16</v>
      </c>
      <c r="D72">
        <v>67619</v>
      </c>
      <c r="E72">
        <v>2275</v>
      </c>
      <c r="F72">
        <v>100</v>
      </c>
      <c r="G72">
        <v>10000</v>
      </c>
      <c r="H72">
        <v>991</v>
      </c>
      <c r="I72">
        <v>15617</v>
      </c>
      <c r="J72">
        <v>0</v>
      </c>
      <c r="K72">
        <v>0</v>
      </c>
      <c r="L72">
        <v>9</v>
      </c>
      <c r="M72">
        <v>2</v>
      </c>
      <c r="N72" t="s">
        <v>39</v>
      </c>
      <c r="O72" s="1">
        <f>result[[#This Row],[n_killed_mutants_cumulativa]]/result[[#This Row],[tot_mutants]]</f>
        <v>0.22222222222222221</v>
      </c>
    </row>
    <row r="73" spans="1:16" hidden="1" x14ac:dyDescent="0.25">
      <c r="A73" t="s">
        <v>38</v>
      </c>
      <c r="B73" t="s">
        <v>31</v>
      </c>
      <c r="C73" t="s">
        <v>16</v>
      </c>
      <c r="D73">
        <v>80722</v>
      </c>
      <c r="E73">
        <v>2758</v>
      </c>
      <c r="F73">
        <v>110</v>
      </c>
      <c r="G73">
        <v>12100</v>
      </c>
      <c r="H73">
        <v>1131</v>
      </c>
      <c r="I73">
        <v>18338</v>
      </c>
      <c r="J73">
        <v>0</v>
      </c>
      <c r="K73">
        <v>0</v>
      </c>
      <c r="L73">
        <v>9</v>
      </c>
      <c r="M73">
        <v>2</v>
      </c>
      <c r="N73" t="s">
        <v>39</v>
      </c>
      <c r="O73" s="1">
        <f>result[[#This Row],[n_killed_mutants_cumulativa]]/result[[#This Row],[tot_mutants]]</f>
        <v>0.22222222222222221</v>
      </c>
    </row>
    <row r="74" spans="1:16" hidden="1" x14ac:dyDescent="0.25">
      <c r="A74" t="s">
        <v>38</v>
      </c>
      <c r="B74" t="s">
        <v>36</v>
      </c>
      <c r="C74" t="s">
        <v>16</v>
      </c>
      <c r="D74">
        <v>99072</v>
      </c>
      <c r="E74">
        <v>3263</v>
      </c>
      <c r="F74">
        <v>120</v>
      </c>
      <c r="G74">
        <v>14400</v>
      </c>
      <c r="H74">
        <v>1191</v>
      </c>
      <c r="I74">
        <v>21145</v>
      </c>
      <c r="J74">
        <v>0</v>
      </c>
      <c r="K74">
        <v>0</v>
      </c>
      <c r="L74">
        <v>9</v>
      </c>
      <c r="M74">
        <v>2</v>
      </c>
      <c r="N74" t="s">
        <v>39</v>
      </c>
      <c r="O74" s="1">
        <f>result[[#This Row],[n_killed_mutants_cumulativa]]/result[[#This Row],[tot_mutants]]</f>
        <v>0.22222222222222221</v>
      </c>
    </row>
    <row r="75" spans="1:16" hidden="1" x14ac:dyDescent="0.25">
      <c r="A75" t="s">
        <v>38</v>
      </c>
      <c r="B75" t="s">
        <v>40</v>
      </c>
      <c r="C75" t="s">
        <v>16</v>
      </c>
      <c r="D75">
        <v>116474</v>
      </c>
      <c r="E75">
        <v>4298</v>
      </c>
      <c r="F75">
        <v>130</v>
      </c>
      <c r="G75">
        <v>16900</v>
      </c>
      <c r="H75">
        <v>1328</v>
      </c>
      <c r="I75">
        <v>24226</v>
      </c>
      <c r="J75">
        <v>0</v>
      </c>
      <c r="K75">
        <v>0</v>
      </c>
      <c r="L75">
        <v>9</v>
      </c>
      <c r="M75">
        <v>2</v>
      </c>
      <c r="N75" t="s">
        <v>39</v>
      </c>
      <c r="O75" s="1">
        <f>result[[#This Row],[n_killed_mutants_cumulativa]]/result[[#This Row],[tot_mutants]]</f>
        <v>0.22222222222222221</v>
      </c>
    </row>
    <row r="76" spans="1:16" x14ac:dyDescent="0.25">
      <c r="A76" t="s">
        <v>38</v>
      </c>
      <c r="B76" t="s">
        <v>22</v>
      </c>
      <c r="C76" t="s">
        <v>16</v>
      </c>
      <c r="D76">
        <v>609960</v>
      </c>
      <c r="E76">
        <v>20497</v>
      </c>
      <c r="F76">
        <v>910</v>
      </c>
      <c r="G76">
        <v>81900</v>
      </c>
      <c r="H76">
        <v>9112</v>
      </c>
      <c r="I76">
        <v>133153</v>
      </c>
      <c r="J76">
        <v>0</v>
      </c>
      <c r="K76">
        <v>0</v>
      </c>
      <c r="L76">
        <v>9</v>
      </c>
      <c r="M76">
        <v>2</v>
      </c>
      <c r="N76" t="s">
        <v>39</v>
      </c>
      <c r="O76" s="1">
        <f>result[[#This Row],[n_killed_mutants_cumulativa]]/result[[#This Row],[tot_mutants]]</f>
        <v>0.22222222222222221</v>
      </c>
      <c r="P76" s="9" t="s">
        <v>374</v>
      </c>
    </row>
    <row r="77" spans="1:16" hidden="1" x14ac:dyDescent="0.25">
      <c r="A77" t="s">
        <v>41</v>
      </c>
      <c r="B77" t="s">
        <v>15</v>
      </c>
      <c r="C77" t="s">
        <v>16</v>
      </c>
      <c r="D77">
        <v>4971</v>
      </c>
      <c r="E77">
        <v>1708</v>
      </c>
      <c r="F77">
        <v>0</v>
      </c>
      <c r="G77">
        <v>0</v>
      </c>
      <c r="H77">
        <v>0</v>
      </c>
      <c r="I77">
        <v>0</v>
      </c>
      <c r="J77">
        <v>0</v>
      </c>
      <c r="K77">
        <v>10</v>
      </c>
      <c r="L77">
        <v>5</v>
      </c>
      <c r="M77">
        <v>0</v>
      </c>
      <c r="N77" t="s">
        <v>17</v>
      </c>
      <c r="O77" s="1">
        <f>result[[#This Row],[n_killed_mutants_cumulativa]]/result[[#This Row],[tot_mutants]]</f>
        <v>0</v>
      </c>
    </row>
    <row r="78" spans="1:16" hidden="1" x14ac:dyDescent="0.25">
      <c r="A78" t="s">
        <v>41</v>
      </c>
      <c r="B78" t="s">
        <v>18</v>
      </c>
      <c r="C78" t="s">
        <v>16</v>
      </c>
      <c r="D78">
        <v>7208</v>
      </c>
      <c r="E78">
        <v>3991</v>
      </c>
      <c r="F78">
        <v>0</v>
      </c>
      <c r="G78">
        <v>0</v>
      </c>
      <c r="H78">
        <v>0</v>
      </c>
      <c r="I78">
        <v>0</v>
      </c>
      <c r="J78">
        <v>0</v>
      </c>
      <c r="K78">
        <v>20</v>
      </c>
      <c r="L78">
        <v>5</v>
      </c>
      <c r="M78">
        <v>0</v>
      </c>
      <c r="N78" t="s">
        <v>17</v>
      </c>
      <c r="O78" s="1">
        <f>result[[#This Row],[n_killed_mutants_cumulativa]]/result[[#This Row],[tot_mutants]]</f>
        <v>0</v>
      </c>
    </row>
    <row r="79" spans="1:16" hidden="1" x14ac:dyDescent="0.25">
      <c r="A79" t="s">
        <v>41</v>
      </c>
      <c r="B79" t="s">
        <v>19</v>
      </c>
      <c r="C79" t="s">
        <v>16</v>
      </c>
      <c r="D79">
        <v>11959</v>
      </c>
      <c r="E79">
        <v>7557</v>
      </c>
      <c r="F79">
        <v>0</v>
      </c>
      <c r="G79">
        <v>0</v>
      </c>
      <c r="H79">
        <v>0</v>
      </c>
      <c r="I79">
        <v>0</v>
      </c>
      <c r="J79">
        <v>0</v>
      </c>
      <c r="K79">
        <v>30</v>
      </c>
      <c r="L79">
        <v>5</v>
      </c>
      <c r="M79">
        <v>0</v>
      </c>
      <c r="N79" t="s">
        <v>17</v>
      </c>
      <c r="O79" s="1">
        <f>result[[#This Row],[n_killed_mutants_cumulativa]]/result[[#This Row],[tot_mutants]]</f>
        <v>0</v>
      </c>
    </row>
    <row r="80" spans="1:16" hidden="1" x14ac:dyDescent="0.25">
      <c r="A80" t="s">
        <v>41</v>
      </c>
      <c r="B80" t="s">
        <v>20</v>
      </c>
      <c r="C80" t="s">
        <v>16</v>
      </c>
      <c r="D80">
        <v>12847</v>
      </c>
      <c r="E80">
        <v>12807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5</v>
      </c>
      <c r="M80">
        <v>0</v>
      </c>
      <c r="N80" t="s">
        <v>17</v>
      </c>
      <c r="O80" s="1">
        <f>result[[#This Row],[n_killed_mutants_cumulativa]]/result[[#This Row],[tot_mutants]]</f>
        <v>0</v>
      </c>
    </row>
    <row r="81" spans="1:16" hidden="1" x14ac:dyDescent="0.25">
      <c r="A81" t="s">
        <v>41</v>
      </c>
      <c r="B81" t="s">
        <v>21</v>
      </c>
      <c r="C81" t="s">
        <v>16</v>
      </c>
      <c r="D81">
        <v>15437</v>
      </c>
      <c r="E81">
        <v>15396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5</v>
      </c>
      <c r="M81">
        <v>0</v>
      </c>
      <c r="N81" t="s">
        <v>17</v>
      </c>
      <c r="O81" s="1">
        <f>result[[#This Row],[n_killed_mutants_cumulativa]]/result[[#This Row],[tot_mutants]]</f>
        <v>0</v>
      </c>
    </row>
    <row r="82" spans="1:16" hidden="1" x14ac:dyDescent="0.25">
      <c r="A82" t="s">
        <v>41</v>
      </c>
      <c r="B82" t="s">
        <v>22</v>
      </c>
      <c r="C82" t="s">
        <v>16</v>
      </c>
      <c r="D82">
        <v>52422</v>
      </c>
      <c r="E82">
        <v>41459</v>
      </c>
      <c r="F82">
        <v>0</v>
      </c>
      <c r="G82">
        <v>0</v>
      </c>
      <c r="H82">
        <v>0</v>
      </c>
      <c r="I82">
        <v>0</v>
      </c>
      <c r="J82">
        <v>0</v>
      </c>
      <c r="K82">
        <v>60</v>
      </c>
      <c r="L82">
        <v>5</v>
      </c>
      <c r="M82">
        <v>0</v>
      </c>
      <c r="N82" t="s">
        <v>17</v>
      </c>
      <c r="O82" s="1">
        <f>result[[#This Row],[n_killed_mutants_cumulativa]]/result[[#This Row],[tot_mutants]]</f>
        <v>0</v>
      </c>
    </row>
    <row r="83" spans="1:16" hidden="1" x14ac:dyDescent="0.25">
      <c r="A83" t="s">
        <v>42</v>
      </c>
      <c r="B83" t="s">
        <v>15</v>
      </c>
      <c r="C83" t="s">
        <v>16</v>
      </c>
      <c r="D83">
        <v>4526</v>
      </c>
      <c r="E83">
        <v>660</v>
      </c>
      <c r="F83">
        <v>10</v>
      </c>
      <c r="G83">
        <v>100</v>
      </c>
      <c r="H83">
        <v>200</v>
      </c>
      <c r="I83">
        <v>450</v>
      </c>
      <c r="J83">
        <v>0</v>
      </c>
      <c r="K83">
        <v>0</v>
      </c>
      <c r="L83">
        <v>1</v>
      </c>
      <c r="M83">
        <v>0</v>
      </c>
      <c r="N83" t="s">
        <v>17</v>
      </c>
      <c r="O83" s="1">
        <f>result[[#This Row],[n_killed_mutants_cumulativa]]/result[[#This Row],[tot_mutants]]</f>
        <v>0</v>
      </c>
    </row>
    <row r="84" spans="1:16" hidden="1" x14ac:dyDescent="0.25">
      <c r="A84" t="s">
        <v>42</v>
      </c>
      <c r="B84" t="s">
        <v>18</v>
      </c>
      <c r="C84" t="s">
        <v>16</v>
      </c>
      <c r="D84">
        <v>5611</v>
      </c>
      <c r="E84">
        <v>677</v>
      </c>
      <c r="F84">
        <v>20</v>
      </c>
      <c r="G84">
        <v>400</v>
      </c>
      <c r="H84">
        <v>800</v>
      </c>
      <c r="I84">
        <v>1096</v>
      </c>
      <c r="J84">
        <v>0</v>
      </c>
      <c r="K84">
        <v>0</v>
      </c>
      <c r="L84">
        <v>1</v>
      </c>
      <c r="M84">
        <v>0</v>
      </c>
      <c r="N84" t="s">
        <v>17</v>
      </c>
      <c r="O84" s="1">
        <f>result[[#This Row],[n_killed_mutants_cumulativa]]/result[[#This Row],[tot_mutants]]</f>
        <v>0</v>
      </c>
    </row>
    <row r="85" spans="1:16" hidden="1" x14ac:dyDescent="0.25">
      <c r="A85" t="s">
        <v>42</v>
      </c>
      <c r="B85" t="s">
        <v>19</v>
      </c>
      <c r="C85" t="s">
        <v>16</v>
      </c>
      <c r="D85">
        <v>9252</v>
      </c>
      <c r="E85">
        <v>1121</v>
      </c>
      <c r="F85">
        <v>30</v>
      </c>
      <c r="G85">
        <v>900</v>
      </c>
      <c r="H85">
        <v>1800</v>
      </c>
      <c r="I85">
        <v>1980</v>
      </c>
      <c r="J85">
        <v>0</v>
      </c>
      <c r="K85">
        <v>0</v>
      </c>
      <c r="L85">
        <v>1</v>
      </c>
      <c r="M85">
        <v>0</v>
      </c>
      <c r="N85" t="s">
        <v>17</v>
      </c>
      <c r="O85" s="1">
        <f>result[[#This Row],[n_killed_mutants_cumulativa]]/result[[#This Row],[tot_mutants]]</f>
        <v>0</v>
      </c>
    </row>
    <row r="86" spans="1:16" hidden="1" x14ac:dyDescent="0.25">
      <c r="A86" t="s">
        <v>42</v>
      </c>
      <c r="B86" t="s">
        <v>20</v>
      </c>
      <c r="C86" t="s">
        <v>16</v>
      </c>
      <c r="D86">
        <v>14358</v>
      </c>
      <c r="E86">
        <v>1853</v>
      </c>
      <c r="F86">
        <v>40</v>
      </c>
      <c r="G86">
        <v>1600</v>
      </c>
      <c r="H86">
        <v>3200</v>
      </c>
      <c r="I86">
        <v>3028</v>
      </c>
      <c r="J86">
        <v>0</v>
      </c>
      <c r="K86">
        <v>0</v>
      </c>
      <c r="L86">
        <v>1</v>
      </c>
      <c r="M86">
        <v>0</v>
      </c>
      <c r="N86" t="s">
        <v>17</v>
      </c>
      <c r="O86" s="1">
        <f>result[[#This Row],[n_killed_mutants_cumulativa]]/result[[#This Row],[tot_mutants]]</f>
        <v>0</v>
      </c>
    </row>
    <row r="87" spans="1:16" hidden="1" x14ac:dyDescent="0.25">
      <c r="A87" t="s">
        <v>42</v>
      </c>
      <c r="B87" t="s">
        <v>21</v>
      </c>
      <c r="C87" t="s">
        <v>16</v>
      </c>
      <c r="D87">
        <v>20866</v>
      </c>
      <c r="E87">
        <v>2767</v>
      </c>
      <c r="F87">
        <v>50</v>
      </c>
      <c r="G87">
        <v>2500</v>
      </c>
      <c r="H87">
        <v>5000</v>
      </c>
      <c r="I87">
        <v>4178</v>
      </c>
      <c r="J87">
        <v>0</v>
      </c>
      <c r="K87">
        <v>0</v>
      </c>
      <c r="L87">
        <v>1</v>
      </c>
      <c r="M87">
        <v>0</v>
      </c>
      <c r="N87" t="s">
        <v>17</v>
      </c>
      <c r="O87" s="1">
        <f>result[[#This Row],[n_killed_mutants_cumulativa]]/result[[#This Row],[tot_mutants]]</f>
        <v>0</v>
      </c>
    </row>
    <row r="88" spans="1:16" hidden="1" x14ac:dyDescent="0.25">
      <c r="A88" t="s">
        <v>42</v>
      </c>
      <c r="B88" t="s">
        <v>24</v>
      </c>
      <c r="C88" t="s">
        <v>16</v>
      </c>
      <c r="D88">
        <v>28666</v>
      </c>
      <c r="E88">
        <v>3908</v>
      </c>
      <c r="F88">
        <v>60</v>
      </c>
      <c r="G88">
        <v>3600</v>
      </c>
      <c r="H88">
        <v>7200</v>
      </c>
      <c r="I88">
        <v>5738</v>
      </c>
      <c r="J88">
        <v>0</v>
      </c>
      <c r="K88">
        <v>0</v>
      </c>
      <c r="L88">
        <v>1</v>
      </c>
      <c r="M88">
        <v>0</v>
      </c>
      <c r="N88" t="s">
        <v>17</v>
      </c>
      <c r="O88" s="1">
        <f>result[[#This Row],[n_killed_mutants_cumulativa]]/result[[#This Row],[tot_mutants]]</f>
        <v>0</v>
      </c>
    </row>
    <row r="89" spans="1:16" hidden="1" x14ac:dyDescent="0.25">
      <c r="A89" t="s">
        <v>42</v>
      </c>
      <c r="B89" t="s">
        <v>25</v>
      </c>
      <c r="C89" t="s">
        <v>16</v>
      </c>
      <c r="D89">
        <v>37557</v>
      </c>
      <c r="E89">
        <v>5309</v>
      </c>
      <c r="F89">
        <v>70</v>
      </c>
      <c r="G89">
        <v>4900</v>
      </c>
      <c r="H89">
        <v>9800</v>
      </c>
      <c r="I89">
        <v>7516</v>
      </c>
      <c r="J89">
        <v>0</v>
      </c>
      <c r="K89">
        <v>0</v>
      </c>
      <c r="L89">
        <v>1</v>
      </c>
      <c r="M89">
        <v>0</v>
      </c>
      <c r="N89" t="s">
        <v>17</v>
      </c>
      <c r="O89" s="1">
        <f>result[[#This Row],[n_killed_mutants_cumulativa]]/result[[#This Row],[tot_mutants]]</f>
        <v>0</v>
      </c>
    </row>
    <row r="90" spans="1:16" hidden="1" x14ac:dyDescent="0.25">
      <c r="A90" t="s">
        <v>42</v>
      </c>
      <c r="B90" t="s">
        <v>26</v>
      </c>
      <c r="C90" t="s">
        <v>16</v>
      </c>
      <c r="D90">
        <v>48155</v>
      </c>
      <c r="E90">
        <v>6937</v>
      </c>
      <c r="F90">
        <v>80</v>
      </c>
      <c r="G90">
        <v>6400</v>
      </c>
      <c r="H90">
        <v>12800</v>
      </c>
      <c r="I90">
        <v>9336</v>
      </c>
      <c r="J90">
        <v>0</v>
      </c>
      <c r="K90">
        <v>0</v>
      </c>
      <c r="L90">
        <v>1</v>
      </c>
      <c r="M90">
        <v>0</v>
      </c>
      <c r="N90" t="s">
        <v>17</v>
      </c>
      <c r="O90" s="1">
        <f>result[[#This Row],[n_killed_mutants_cumulativa]]/result[[#This Row],[tot_mutants]]</f>
        <v>0</v>
      </c>
    </row>
    <row r="91" spans="1:16" hidden="1" x14ac:dyDescent="0.25">
      <c r="A91" t="s">
        <v>42</v>
      </c>
      <c r="B91" t="s">
        <v>27</v>
      </c>
      <c r="C91" t="s">
        <v>16</v>
      </c>
      <c r="D91">
        <v>59795</v>
      </c>
      <c r="E91">
        <v>8682</v>
      </c>
      <c r="F91">
        <v>90</v>
      </c>
      <c r="G91">
        <v>8100</v>
      </c>
      <c r="H91">
        <v>16200</v>
      </c>
      <c r="I91">
        <v>11454</v>
      </c>
      <c r="J91">
        <v>0</v>
      </c>
      <c r="K91">
        <v>0</v>
      </c>
      <c r="L91">
        <v>1</v>
      </c>
      <c r="M91">
        <v>0</v>
      </c>
      <c r="N91" t="s">
        <v>17</v>
      </c>
      <c r="O91" s="1">
        <f>result[[#This Row],[n_killed_mutants_cumulativa]]/result[[#This Row],[tot_mutants]]</f>
        <v>0</v>
      </c>
    </row>
    <row r="92" spans="1:16" hidden="1" x14ac:dyDescent="0.25">
      <c r="A92" t="s">
        <v>42</v>
      </c>
      <c r="B92" t="s">
        <v>30</v>
      </c>
      <c r="C92" t="s">
        <v>16</v>
      </c>
      <c r="D92">
        <v>73061</v>
      </c>
      <c r="E92">
        <v>10708</v>
      </c>
      <c r="F92">
        <v>100</v>
      </c>
      <c r="G92">
        <v>10000</v>
      </c>
      <c r="H92">
        <v>20000</v>
      </c>
      <c r="I92">
        <v>13804</v>
      </c>
      <c r="J92">
        <v>0</v>
      </c>
      <c r="K92">
        <v>0</v>
      </c>
      <c r="L92">
        <v>1</v>
      </c>
      <c r="M92">
        <v>0</v>
      </c>
      <c r="N92" t="s">
        <v>17</v>
      </c>
      <c r="O92" s="1">
        <f>result[[#This Row],[n_killed_mutants_cumulativa]]/result[[#This Row],[tot_mutants]]</f>
        <v>0</v>
      </c>
    </row>
    <row r="93" spans="1:16" hidden="1" x14ac:dyDescent="0.25">
      <c r="A93" t="s">
        <v>42</v>
      </c>
      <c r="B93" t="s">
        <v>31</v>
      </c>
      <c r="C93" t="s">
        <v>16</v>
      </c>
      <c r="D93">
        <v>87941</v>
      </c>
      <c r="E93">
        <v>12909</v>
      </c>
      <c r="F93">
        <v>110</v>
      </c>
      <c r="G93">
        <v>12100</v>
      </c>
      <c r="H93">
        <v>24200</v>
      </c>
      <c r="I93">
        <v>16192</v>
      </c>
      <c r="J93">
        <v>0</v>
      </c>
      <c r="K93">
        <v>0</v>
      </c>
      <c r="L93">
        <v>1</v>
      </c>
      <c r="M93">
        <v>0</v>
      </c>
      <c r="N93" t="s">
        <v>17</v>
      </c>
      <c r="O93" s="1">
        <f>result[[#This Row],[n_killed_mutants_cumulativa]]/result[[#This Row],[tot_mutants]]</f>
        <v>0</v>
      </c>
    </row>
    <row r="94" spans="1:16" hidden="1" x14ac:dyDescent="0.25">
      <c r="A94" t="s">
        <v>42</v>
      </c>
      <c r="B94" t="s">
        <v>36</v>
      </c>
      <c r="C94" t="s">
        <v>16</v>
      </c>
      <c r="D94">
        <v>103690</v>
      </c>
      <c r="E94">
        <v>15500</v>
      </c>
      <c r="F94">
        <v>120</v>
      </c>
      <c r="G94">
        <v>14400</v>
      </c>
      <c r="H94">
        <v>28800</v>
      </c>
      <c r="I94">
        <v>18770</v>
      </c>
      <c r="J94">
        <v>0</v>
      </c>
      <c r="K94">
        <v>0</v>
      </c>
      <c r="L94">
        <v>1</v>
      </c>
      <c r="M94">
        <v>0</v>
      </c>
      <c r="N94" t="s">
        <v>17</v>
      </c>
      <c r="O94" s="1">
        <f>result[[#This Row],[n_killed_mutants_cumulativa]]/result[[#This Row],[tot_mutants]]</f>
        <v>0</v>
      </c>
    </row>
    <row r="95" spans="1:16" hidden="1" x14ac:dyDescent="0.25">
      <c r="A95" t="s">
        <v>42</v>
      </c>
      <c r="B95" t="s">
        <v>40</v>
      </c>
      <c r="C95" t="s">
        <v>16</v>
      </c>
      <c r="D95">
        <v>120956</v>
      </c>
      <c r="E95">
        <v>17960</v>
      </c>
      <c r="F95">
        <v>130</v>
      </c>
      <c r="G95">
        <v>16900</v>
      </c>
      <c r="H95">
        <v>33800</v>
      </c>
      <c r="I95">
        <v>21562</v>
      </c>
      <c r="J95">
        <v>0</v>
      </c>
      <c r="K95">
        <v>0</v>
      </c>
      <c r="L95">
        <v>1</v>
      </c>
      <c r="M95">
        <v>0</v>
      </c>
      <c r="N95" t="s">
        <v>17</v>
      </c>
      <c r="O95" s="1">
        <f>result[[#This Row],[n_killed_mutants_cumulativa]]/result[[#This Row],[tot_mutants]]</f>
        <v>0</v>
      </c>
    </row>
    <row r="96" spans="1:16" hidden="1" x14ac:dyDescent="0.25">
      <c r="A96" t="s">
        <v>42</v>
      </c>
      <c r="B96" t="s">
        <v>22</v>
      </c>
      <c r="C96" t="s">
        <v>16</v>
      </c>
      <c r="D96">
        <v>614434</v>
      </c>
      <c r="E96">
        <v>88991</v>
      </c>
      <c r="F96">
        <v>910</v>
      </c>
      <c r="G96">
        <v>81900</v>
      </c>
      <c r="H96">
        <v>163800</v>
      </c>
      <c r="I96">
        <v>115104</v>
      </c>
      <c r="J96">
        <v>0</v>
      </c>
      <c r="K96">
        <v>0</v>
      </c>
      <c r="L96">
        <v>1</v>
      </c>
      <c r="M96">
        <v>0</v>
      </c>
      <c r="N96" t="s">
        <v>17</v>
      </c>
      <c r="O96" s="1">
        <f>result[[#This Row],[n_killed_mutants_cumulativa]]/result[[#This Row],[tot_mutants]]</f>
        <v>0</v>
      </c>
      <c r="P96" s="9" t="s">
        <v>346</v>
      </c>
    </row>
    <row r="97" spans="1:15" hidden="1" x14ac:dyDescent="0.25">
      <c r="A97" t="s">
        <v>43</v>
      </c>
      <c r="B97" t="s">
        <v>15</v>
      </c>
      <c r="C97" t="s">
        <v>16</v>
      </c>
      <c r="D97">
        <v>2801</v>
      </c>
      <c r="E97">
        <v>986</v>
      </c>
      <c r="F97">
        <v>0</v>
      </c>
      <c r="G97">
        <v>0</v>
      </c>
      <c r="H97">
        <v>0</v>
      </c>
      <c r="I97">
        <v>0</v>
      </c>
      <c r="J97">
        <v>0</v>
      </c>
      <c r="K97">
        <v>10</v>
      </c>
      <c r="L97">
        <v>13</v>
      </c>
      <c r="M97">
        <v>0</v>
      </c>
      <c r="N97" t="s">
        <v>17</v>
      </c>
      <c r="O97" s="1">
        <f>result[[#This Row],[n_killed_mutants_cumulativa]]/result[[#This Row],[tot_mutants]]</f>
        <v>0</v>
      </c>
    </row>
    <row r="98" spans="1:15" hidden="1" x14ac:dyDescent="0.25">
      <c r="A98" t="s">
        <v>43</v>
      </c>
      <c r="B98" t="s">
        <v>18</v>
      </c>
      <c r="C98" t="s">
        <v>16</v>
      </c>
      <c r="D98">
        <v>4162</v>
      </c>
      <c r="E98">
        <v>2930</v>
      </c>
      <c r="F98">
        <v>0</v>
      </c>
      <c r="G98">
        <v>0</v>
      </c>
      <c r="H98">
        <v>0</v>
      </c>
      <c r="I98">
        <v>0</v>
      </c>
      <c r="J98">
        <v>0</v>
      </c>
      <c r="K98">
        <v>20</v>
      </c>
      <c r="L98">
        <v>13</v>
      </c>
      <c r="M98">
        <v>0</v>
      </c>
      <c r="N98" t="s">
        <v>17</v>
      </c>
      <c r="O98" s="1">
        <f>result[[#This Row],[n_killed_mutants_cumulativa]]/result[[#This Row],[tot_mutants]]</f>
        <v>0</v>
      </c>
    </row>
    <row r="99" spans="1:15" hidden="1" x14ac:dyDescent="0.25">
      <c r="A99" t="s">
        <v>43</v>
      </c>
      <c r="B99" t="s">
        <v>19</v>
      </c>
      <c r="C99" t="s">
        <v>16</v>
      </c>
      <c r="D99">
        <v>9405</v>
      </c>
      <c r="E99">
        <v>8232</v>
      </c>
      <c r="F99">
        <v>0</v>
      </c>
      <c r="G99">
        <v>0</v>
      </c>
      <c r="H99">
        <v>0</v>
      </c>
      <c r="I99">
        <v>0</v>
      </c>
      <c r="J99">
        <v>0</v>
      </c>
      <c r="K99">
        <v>30</v>
      </c>
      <c r="L99">
        <v>13</v>
      </c>
      <c r="M99">
        <v>0</v>
      </c>
      <c r="N99" t="s">
        <v>17</v>
      </c>
      <c r="O99" s="1">
        <f>result[[#This Row],[n_killed_mutants_cumulativa]]/result[[#This Row],[tot_mutants]]</f>
        <v>0</v>
      </c>
    </row>
    <row r="100" spans="1:15" hidden="1" x14ac:dyDescent="0.25">
      <c r="A100" t="s">
        <v>43</v>
      </c>
      <c r="B100" t="s">
        <v>20</v>
      </c>
      <c r="C100" t="s">
        <v>16</v>
      </c>
      <c r="D100">
        <v>20836</v>
      </c>
      <c r="E100">
        <v>19146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40</v>
      </c>
      <c r="L100">
        <v>13</v>
      </c>
      <c r="M100">
        <v>0</v>
      </c>
      <c r="N100" t="s">
        <v>17</v>
      </c>
      <c r="O100" s="1">
        <f>result[[#This Row],[n_killed_mutants_cumulativa]]/result[[#This Row],[tot_mutants]]</f>
        <v>0</v>
      </c>
    </row>
    <row r="101" spans="1:15" hidden="1" x14ac:dyDescent="0.25">
      <c r="A101" t="s">
        <v>43</v>
      </c>
      <c r="B101" t="s">
        <v>21</v>
      </c>
      <c r="C101" t="s">
        <v>16</v>
      </c>
      <c r="D101">
        <v>37059</v>
      </c>
      <c r="E101">
        <v>35040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50</v>
      </c>
      <c r="L101">
        <v>13</v>
      </c>
      <c r="M101">
        <v>0</v>
      </c>
      <c r="N101" t="s">
        <v>17</v>
      </c>
      <c r="O101" s="1">
        <f>result[[#This Row],[n_killed_mutants_cumulativa]]/result[[#This Row],[tot_mutants]]</f>
        <v>0</v>
      </c>
    </row>
    <row r="102" spans="1:15" hidden="1" x14ac:dyDescent="0.25">
      <c r="A102" t="s">
        <v>43</v>
      </c>
      <c r="B102" t="s">
        <v>22</v>
      </c>
      <c r="C102" t="s">
        <v>16</v>
      </c>
      <c r="D102">
        <v>74263</v>
      </c>
      <c r="E102">
        <v>66334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150</v>
      </c>
      <c r="L102">
        <v>13</v>
      </c>
      <c r="M102">
        <v>0</v>
      </c>
      <c r="N102" t="s">
        <v>17</v>
      </c>
      <c r="O102" s="1">
        <f>result[[#This Row],[n_killed_mutants_cumulativa]]/result[[#This Row],[tot_mutants]]</f>
        <v>0</v>
      </c>
    </row>
    <row r="103" spans="1:15" hidden="1" x14ac:dyDescent="0.25">
      <c r="A103" t="s">
        <v>44</v>
      </c>
      <c r="B103" t="s">
        <v>15</v>
      </c>
      <c r="C103" t="s">
        <v>16</v>
      </c>
      <c r="D103">
        <v>5244</v>
      </c>
      <c r="E103">
        <v>159</v>
      </c>
      <c r="F103">
        <v>10</v>
      </c>
      <c r="G103">
        <v>100</v>
      </c>
      <c r="H103">
        <v>65</v>
      </c>
      <c r="I103">
        <v>266</v>
      </c>
      <c r="J103">
        <v>0</v>
      </c>
      <c r="K103">
        <v>0</v>
      </c>
      <c r="L103">
        <v>9</v>
      </c>
      <c r="M103">
        <v>1</v>
      </c>
      <c r="N103" t="s">
        <v>45</v>
      </c>
      <c r="O103" s="1">
        <f>result[[#This Row],[n_killed_mutants_cumulativa]]/result[[#This Row],[tot_mutants]]</f>
        <v>0.1111111111111111</v>
      </c>
    </row>
    <row r="104" spans="1:15" hidden="1" x14ac:dyDescent="0.25">
      <c r="A104" t="s">
        <v>44</v>
      </c>
      <c r="B104" t="s">
        <v>18</v>
      </c>
      <c r="C104" t="s">
        <v>16</v>
      </c>
      <c r="D104">
        <v>6091</v>
      </c>
      <c r="E104">
        <v>88</v>
      </c>
      <c r="F104">
        <v>20</v>
      </c>
      <c r="G104">
        <v>400</v>
      </c>
      <c r="H104">
        <v>229</v>
      </c>
      <c r="I104">
        <v>898</v>
      </c>
      <c r="J104">
        <v>0</v>
      </c>
      <c r="K104">
        <v>0</v>
      </c>
      <c r="L104">
        <v>9</v>
      </c>
      <c r="M104">
        <v>1</v>
      </c>
      <c r="N104" t="s">
        <v>45</v>
      </c>
      <c r="O104" s="1">
        <f>result[[#This Row],[n_killed_mutants_cumulativa]]/result[[#This Row],[tot_mutants]]</f>
        <v>0.1111111111111111</v>
      </c>
    </row>
    <row r="105" spans="1:15" hidden="1" x14ac:dyDescent="0.25">
      <c r="A105" t="s">
        <v>44</v>
      </c>
      <c r="B105" t="s">
        <v>19</v>
      </c>
      <c r="C105" t="s">
        <v>16</v>
      </c>
      <c r="D105">
        <v>8966</v>
      </c>
      <c r="E105">
        <v>118</v>
      </c>
      <c r="F105">
        <v>30</v>
      </c>
      <c r="G105">
        <v>900</v>
      </c>
      <c r="H105">
        <v>508</v>
      </c>
      <c r="I105">
        <v>1918</v>
      </c>
      <c r="J105">
        <v>0</v>
      </c>
      <c r="K105">
        <v>0</v>
      </c>
      <c r="L105">
        <v>9</v>
      </c>
      <c r="M105">
        <v>1</v>
      </c>
      <c r="N105" t="s">
        <v>45</v>
      </c>
      <c r="O105" s="1">
        <f>result[[#This Row],[n_killed_mutants_cumulativa]]/result[[#This Row],[tot_mutants]]</f>
        <v>0.1111111111111111</v>
      </c>
    </row>
    <row r="106" spans="1:15" hidden="1" x14ac:dyDescent="0.25">
      <c r="A106" t="s">
        <v>44</v>
      </c>
      <c r="B106" t="s">
        <v>20</v>
      </c>
      <c r="C106" t="s">
        <v>16</v>
      </c>
      <c r="D106">
        <v>14322</v>
      </c>
      <c r="E106">
        <v>221</v>
      </c>
      <c r="F106">
        <v>40</v>
      </c>
      <c r="G106">
        <v>1600</v>
      </c>
      <c r="H106">
        <v>833</v>
      </c>
      <c r="I106">
        <v>3396</v>
      </c>
      <c r="J106">
        <v>0</v>
      </c>
      <c r="K106">
        <v>0</v>
      </c>
      <c r="L106">
        <v>9</v>
      </c>
      <c r="M106">
        <v>1</v>
      </c>
      <c r="N106" t="s">
        <v>45</v>
      </c>
      <c r="O106" s="1">
        <f>result[[#This Row],[n_killed_mutants_cumulativa]]/result[[#This Row],[tot_mutants]]</f>
        <v>0.1111111111111111</v>
      </c>
    </row>
    <row r="107" spans="1:15" hidden="1" x14ac:dyDescent="0.25">
      <c r="A107" t="s">
        <v>44</v>
      </c>
      <c r="B107" t="s">
        <v>21</v>
      </c>
      <c r="C107" t="s">
        <v>16</v>
      </c>
      <c r="D107">
        <v>20355</v>
      </c>
      <c r="E107">
        <v>252</v>
      </c>
      <c r="F107">
        <v>50</v>
      </c>
      <c r="G107">
        <v>2500</v>
      </c>
      <c r="H107">
        <v>1309</v>
      </c>
      <c r="I107">
        <v>5250</v>
      </c>
      <c r="J107">
        <v>0</v>
      </c>
      <c r="K107">
        <v>0</v>
      </c>
      <c r="L107">
        <v>9</v>
      </c>
      <c r="M107">
        <v>1</v>
      </c>
      <c r="N107" t="s">
        <v>45</v>
      </c>
      <c r="O107" s="1">
        <f>result[[#This Row],[n_killed_mutants_cumulativa]]/result[[#This Row],[tot_mutants]]</f>
        <v>0.1111111111111111</v>
      </c>
    </row>
    <row r="108" spans="1:15" hidden="1" x14ac:dyDescent="0.25">
      <c r="A108" t="s">
        <v>44</v>
      </c>
      <c r="B108" t="s">
        <v>24</v>
      </c>
      <c r="C108" t="s">
        <v>16</v>
      </c>
      <c r="D108">
        <v>26687</v>
      </c>
      <c r="E108">
        <v>341</v>
      </c>
      <c r="F108">
        <v>60</v>
      </c>
      <c r="G108">
        <v>3600</v>
      </c>
      <c r="H108">
        <v>1859</v>
      </c>
      <c r="I108">
        <v>7502</v>
      </c>
      <c r="J108">
        <v>0</v>
      </c>
      <c r="K108">
        <v>0</v>
      </c>
      <c r="L108">
        <v>9</v>
      </c>
      <c r="M108">
        <v>1</v>
      </c>
      <c r="N108" t="s">
        <v>45</v>
      </c>
      <c r="O108" s="1">
        <f>result[[#This Row],[n_killed_mutants_cumulativa]]/result[[#This Row],[tot_mutants]]</f>
        <v>0.1111111111111111</v>
      </c>
    </row>
    <row r="109" spans="1:15" hidden="1" x14ac:dyDescent="0.25">
      <c r="A109" t="s">
        <v>44</v>
      </c>
      <c r="B109" t="s">
        <v>25</v>
      </c>
      <c r="C109" t="s">
        <v>16</v>
      </c>
      <c r="D109">
        <v>35069</v>
      </c>
      <c r="E109">
        <v>563</v>
      </c>
      <c r="F109">
        <v>70</v>
      </c>
      <c r="G109">
        <v>4900</v>
      </c>
      <c r="H109">
        <v>2591</v>
      </c>
      <c r="I109">
        <v>10184</v>
      </c>
      <c r="J109">
        <v>0</v>
      </c>
      <c r="K109">
        <v>0</v>
      </c>
      <c r="L109">
        <v>9</v>
      </c>
      <c r="M109">
        <v>1</v>
      </c>
      <c r="N109" t="s">
        <v>45</v>
      </c>
      <c r="O109" s="1">
        <f>result[[#This Row],[n_killed_mutants_cumulativa]]/result[[#This Row],[tot_mutants]]</f>
        <v>0.1111111111111111</v>
      </c>
    </row>
    <row r="110" spans="1:15" hidden="1" x14ac:dyDescent="0.25">
      <c r="A110" t="s">
        <v>44</v>
      </c>
      <c r="B110" t="s">
        <v>26</v>
      </c>
      <c r="C110" t="s">
        <v>16</v>
      </c>
      <c r="D110">
        <v>44802</v>
      </c>
      <c r="E110">
        <v>602</v>
      </c>
      <c r="F110">
        <v>80</v>
      </c>
      <c r="G110">
        <v>6400</v>
      </c>
      <c r="H110">
        <v>3259</v>
      </c>
      <c r="I110">
        <v>13226</v>
      </c>
      <c r="J110">
        <v>0</v>
      </c>
      <c r="K110">
        <v>0</v>
      </c>
      <c r="L110">
        <v>9</v>
      </c>
      <c r="M110">
        <v>1</v>
      </c>
      <c r="N110" t="s">
        <v>45</v>
      </c>
      <c r="O110" s="1">
        <f>result[[#This Row],[n_killed_mutants_cumulativa]]/result[[#This Row],[tot_mutants]]</f>
        <v>0.1111111111111111</v>
      </c>
    </row>
    <row r="111" spans="1:15" hidden="1" x14ac:dyDescent="0.25">
      <c r="A111" t="s">
        <v>44</v>
      </c>
      <c r="B111" t="s">
        <v>27</v>
      </c>
      <c r="C111" t="s">
        <v>16</v>
      </c>
      <c r="D111">
        <v>56225</v>
      </c>
      <c r="E111">
        <v>760</v>
      </c>
      <c r="F111">
        <v>90</v>
      </c>
      <c r="G111">
        <v>8100</v>
      </c>
      <c r="H111">
        <v>4160</v>
      </c>
      <c r="I111">
        <v>16726</v>
      </c>
      <c r="J111">
        <v>0</v>
      </c>
      <c r="K111">
        <v>0</v>
      </c>
      <c r="L111">
        <v>9</v>
      </c>
      <c r="M111">
        <v>1</v>
      </c>
      <c r="N111" t="s">
        <v>45</v>
      </c>
      <c r="O111" s="1">
        <f>result[[#This Row],[n_killed_mutants_cumulativa]]/result[[#This Row],[tot_mutants]]</f>
        <v>0.1111111111111111</v>
      </c>
    </row>
    <row r="112" spans="1:15" hidden="1" x14ac:dyDescent="0.25">
      <c r="A112" t="s">
        <v>44</v>
      </c>
      <c r="B112" t="s">
        <v>30</v>
      </c>
      <c r="C112" t="s">
        <v>16</v>
      </c>
      <c r="D112">
        <v>69831</v>
      </c>
      <c r="E112">
        <v>957</v>
      </c>
      <c r="F112">
        <v>100</v>
      </c>
      <c r="G112">
        <v>10000</v>
      </c>
      <c r="H112">
        <v>5243</v>
      </c>
      <c r="I112">
        <v>20432</v>
      </c>
      <c r="J112">
        <v>0</v>
      </c>
      <c r="K112">
        <v>0</v>
      </c>
      <c r="L112">
        <v>9</v>
      </c>
      <c r="M112">
        <v>1</v>
      </c>
      <c r="N112" t="s">
        <v>45</v>
      </c>
      <c r="O112" s="1">
        <f>result[[#This Row],[n_killed_mutants_cumulativa]]/result[[#This Row],[tot_mutants]]</f>
        <v>0.1111111111111111</v>
      </c>
    </row>
    <row r="113" spans="1:16" hidden="1" x14ac:dyDescent="0.25">
      <c r="A113" t="s">
        <v>44</v>
      </c>
      <c r="B113" t="s">
        <v>31</v>
      </c>
      <c r="C113" t="s">
        <v>16</v>
      </c>
      <c r="D113">
        <v>85106</v>
      </c>
      <c r="E113">
        <v>1162</v>
      </c>
      <c r="F113">
        <v>110</v>
      </c>
      <c r="G113">
        <v>12100</v>
      </c>
      <c r="H113">
        <v>6275</v>
      </c>
      <c r="I113">
        <v>24634</v>
      </c>
      <c r="J113">
        <v>0</v>
      </c>
      <c r="K113">
        <v>0</v>
      </c>
      <c r="L113">
        <v>9</v>
      </c>
      <c r="M113">
        <v>1</v>
      </c>
      <c r="N113" t="s">
        <v>45</v>
      </c>
      <c r="O113" s="1">
        <f>result[[#This Row],[n_killed_mutants_cumulativa]]/result[[#This Row],[tot_mutants]]</f>
        <v>0.1111111111111111</v>
      </c>
    </row>
    <row r="114" spans="1:16" hidden="1" x14ac:dyDescent="0.25">
      <c r="A114" t="s">
        <v>44</v>
      </c>
      <c r="B114" t="s">
        <v>36</v>
      </c>
      <c r="C114" t="s">
        <v>16</v>
      </c>
      <c r="D114">
        <v>108939</v>
      </c>
      <c r="E114">
        <v>1379</v>
      </c>
      <c r="F114">
        <v>120</v>
      </c>
      <c r="G114">
        <v>14400</v>
      </c>
      <c r="H114">
        <v>7380</v>
      </c>
      <c r="I114">
        <v>29508</v>
      </c>
      <c r="J114">
        <v>0</v>
      </c>
      <c r="K114">
        <v>0</v>
      </c>
      <c r="L114">
        <v>9</v>
      </c>
      <c r="M114">
        <v>1</v>
      </c>
      <c r="N114" t="s">
        <v>45</v>
      </c>
      <c r="O114" s="1">
        <f>result[[#This Row],[n_killed_mutants_cumulativa]]/result[[#This Row],[tot_mutants]]</f>
        <v>0.1111111111111111</v>
      </c>
    </row>
    <row r="115" spans="1:16" hidden="1" x14ac:dyDescent="0.25">
      <c r="A115" t="s">
        <v>44</v>
      </c>
      <c r="B115" t="s">
        <v>40</v>
      </c>
      <c r="C115" t="s">
        <v>16</v>
      </c>
      <c r="D115">
        <v>130023</v>
      </c>
      <c r="E115">
        <v>1600</v>
      </c>
      <c r="F115">
        <v>130</v>
      </c>
      <c r="G115">
        <v>16900</v>
      </c>
      <c r="H115">
        <v>8585</v>
      </c>
      <c r="I115">
        <v>34440</v>
      </c>
      <c r="J115">
        <v>0</v>
      </c>
      <c r="K115">
        <v>0</v>
      </c>
      <c r="L115">
        <v>9</v>
      </c>
      <c r="M115">
        <v>1</v>
      </c>
      <c r="N115" t="s">
        <v>45</v>
      </c>
      <c r="O115" s="1">
        <f>result[[#This Row],[n_killed_mutants_cumulativa]]/result[[#This Row],[tot_mutants]]</f>
        <v>0.1111111111111111</v>
      </c>
    </row>
    <row r="116" spans="1:16" x14ac:dyDescent="0.25">
      <c r="A116" t="s">
        <v>44</v>
      </c>
      <c r="B116" t="s">
        <v>22</v>
      </c>
      <c r="C116" t="s">
        <v>16</v>
      </c>
      <c r="D116">
        <v>611660</v>
      </c>
      <c r="E116">
        <v>8202</v>
      </c>
      <c r="F116">
        <v>910</v>
      </c>
      <c r="G116">
        <v>81900</v>
      </c>
      <c r="H116">
        <v>42296</v>
      </c>
      <c r="I116">
        <v>168380</v>
      </c>
      <c r="J116">
        <v>0</v>
      </c>
      <c r="K116">
        <v>0</v>
      </c>
      <c r="L116">
        <v>9</v>
      </c>
      <c r="M116">
        <v>1</v>
      </c>
      <c r="N116" t="s">
        <v>45</v>
      </c>
      <c r="O116" s="1">
        <f>result[[#This Row],[n_killed_mutants_cumulativa]]/result[[#This Row],[tot_mutants]]</f>
        <v>0.1111111111111111</v>
      </c>
      <c r="P116" s="9" t="s">
        <v>359</v>
      </c>
    </row>
    <row r="117" spans="1:16" hidden="1" x14ac:dyDescent="0.25">
      <c r="A117" t="s">
        <v>46</v>
      </c>
      <c r="B117" t="s">
        <v>15</v>
      </c>
      <c r="C117" t="s">
        <v>16</v>
      </c>
      <c r="D117">
        <v>2706</v>
      </c>
      <c r="E117">
        <v>209</v>
      </c>
      <c r="F117">
        <v>10</v>
      </c>
      <c r="G117">
        <v>100</v>
      </c>
      <c r="H117">
        <v>100</v>
      </c>
      <c r="I117">
        <v>229</v>
      </c>
      <c r="J117">
        <v>0</v>
      </c>
      <c r="K117">
        <v>0</v>
      </c>
      <c r="L117">
        <v>1</v>
      </c>
      <c r="M117">
        <v>0</v>
      </c>
      <c r="N117" t="s">
        <v>17</v>
      </c>
      <c r="O117" s="1">
        <f>result[[#This Row],[n_killed_mutants_cumulativa]]/result[[#This Row],[tot_mutants]]</f>
        <v>0</v>
      </c>
    </row>
    <row r="118" spans="1:16" hidden="1" x14ac:dyDescent="0.25">
      <c r="A118" t="s">
        <v>46</v>
      </c>
      <c r="B118" t="s">
        <v>18</v>
      </c>
      <c r="C118" t="s">
        <v>16</v>
      </c>
      <c r="D118">
        <v>2289</v>
      </c>
      <c r="E118">
        <v>173</v>
      </c>
      <c r="F118">
        <v>20</v>
      </c>
      <c r="G118">
        <v>400</v>
      </c>
      <c r="H118">
        <v>400</v>
      </c>
      <c r="I118">
        <v>840</v>
      </c>
      <c r="J118">
        <v>0</v>
      </c>
      <c r="K118">
        <v>0</v>
      </c>
      <c r="L118">
        <v>1</v>
      </c>
      <c r="M118">
        <v>0</v>
      </c>
      <c r="N118" t="s">
        <v>17</v>
      </c>
      <c r="O118" s="1">
        <f>result[[#This Row],[n_killed_mutants_cumulativa]]/result[[#This Row],[tot_mutants]]</f>
        <v>0</v>
      </c>
    </row>
    <row r="119" spans="1:16" hidden="1" x14ac:dyDescent="0.25">
      <c r="A119" t="s">
        <v>46</v>
      </c>
      <c r="B119" t="s">
        <v>19</v>
      </c>
      <c r="C119" t="s">
        <v>16</v>
      </c>
      <c r="D119">
        <v>3399</v>
      </c>
      <c r="E119">
        <v>224</v>
      </c>
      <c r="F119">
        <v>30</v>
      </c>
      <c r="G119">
        <v>900</v>
      </c>
      <c r="H119">
        <v>859</v>
      </c>
      <c r="I119">
        <v>1724</v>
      </c>
      <c r="J119">
        <v>0</v>
      </c>
      <c r="K119">
        <v>0</v>
      </c>
      <c r="L119">
        <v>1</v>
      </c>
      <c r="M119">
        <v>0</v>
      </c>
      <c r="N119" t="s">
        <v>17</v>
      </c>
      <c r="O119" s="1">
        <f>result[[#This Row],[n_killed_mutants_cumulativa]]/result[[#This Row],[tot_mutants]]</f>
        <v>0</v>
      </c>
    </row>
    <row r="120" spans="1:16" hidden="1" x14ac:dyDescent="0.25">
      <c r="A120" t="s">
        <v>46</v>
      </c>
      <c r="B120" t="s">
        <v>20</v>
      </c>
      <c r="C120" t="s">
        <v>16</v>
      </c>
      <c r="D120">
        <v>3701</v>
      </c>
      <c r="E120">
        <v>224</v>
      </c>
      <c r="F120">
        <v>40</v>
      </c>
      <c r="G120">
        <v>1600</v>
      </c>
      <c r="H120">
        <v>1247</v>
      </c>
      <c r="I120">
        <v>2751</v>
      </c>
      <c r="J120">
        <v>0</v>
      </c>
      <c r="K120">
        <v>0</v>
      </c>
      <c r="L120">
        <v>1</v>
      </c>
      <c r="M120">
        <v>0</v>
      </c>
      <c r="N120" t="s">
        <v>17</v>
      </c>
      <c r="O120" s="1">
        <f>result[[#This Row],[n_killed_mutants_cumulativa]]/result[[#This Row],[tot_mutants]]</f>
        <v>0</v>
      </c>
    </row>
    <row r="121" spans="1:16" hidden="1" x14ac:dyDescent="0.25">
      <c r="A121" t="s">
        <v>46</v>
      </c>
      <c r="B121" t="s">
        <v>21</v>
      </c>
      <c r="C121" t="s">
        <v>16</v>
      </c>
      <c r="D121">
        <v>4832</v>
      </c>
      <c r="E121">
        <v>232</v>
      </c>
      <c r="F121">
        <v>50</v>
      </c>
      <c r="G121">
        <v>2500</v>
      </c>
      <c r="H121">
        <v>1491</v>
      </c>
      <c r="I121">
        <v>3950</v>
      </c>
      <c r="J121">
        <v>0</v>
      </c>
      <c r="K121">
        <v>0</v>
      </c>
      <c r="L121">
        <v>1</v>
      </c>
      <c r="M121">
        <v>0</v>
      </c>
      <c r="N121" t="s">
        <v>17</v>
      </c>
      <c r="O121" s="1">
        <f>result[[#This Row],[n_killed_mutants_cumulativa]]/result[[#This Row],[tot_mutants]]</f>
        <v>0</v>
      </c>
    </row>
    <row r="122" spans="1:16" hidden="1" x14ac:dyDescent="0.25">
      <c r="A122" t="s">
        <v>46</v>
      </c>
      <c r="B122" t="s">
        <v>24</v>
      </c>
      <c r="C122" t="s">
        <v>16</v>
      </c>
      <c r="D122">
        <v>6535</v>
      </c>
      <c r="E122">
        <v>299</v>
      </c>
      <c r="F122">
        <v>60</v>
      </c>
      <c r="G122">
        <v>3600</v>
      </c>
      <c r="H122">
        <v>1746</v>
      </c>
      <c r="I122">
        <v>5340</v>
      </c>
      <c r="J122">
        <v>0</v>
      </c>
      <c r="K122">
        <v>0</v>
      </c>
      <c r="L122">
        <v>1</v>
      </c>
      <c r="M122">
        <v>0</v>
      </c>
      <c r="N122" t="s">
        <v>17</v>
      </c>
      <c r="O122" s="1">
        <f>result[[#This Row],[n_killed_mutants_cumulativa]]/result[[#This Row],[tot_mutants]]</f>
        <v>0</v>
      </c>
    </row>
    <row r="123" spans="1:16" hidden="1" x14ac:dyDescent="0.25">
      <c r="A123" t="s">
        <v>46</v>
      </c>
      <c r="B123" t="s">
        <v>25</v>
      </c>
      <c r="C123" t="s">
        <v>16</v>
      </c>
      <c r="D123">
        <v>7635</v>
      </c>
      <c r="E123">
        <v>337</v>
      </c>
      <c r="F123">
        <v>70</v>
      </c>
      <c r="G123">
        <v>4900</v>
      </c>
      <c r="H123">
        <v>2102</v>
      </c>
      <c r="I123">
        <v>6930</v>
      </c>
      <c r="J123">
        <v>0</v>
      </c>
      <c r="K123">
        <v>0</v>
      </c>
      <c r="L123">
        <v>1</v>
      </c>
      <c r="M123">
        <v>0</v>
      </c>
      <c r="N123" t="s">
        <v>17</v>
      </c>
      <c r="O123" s="1">
        <f>result[[#This Row],[n_killed_mutants_cumulativa]]/result[[#This Row],[tot_mutants]]</f>
        <v>0</v>
      </c>
    </row>
    <row r="124" spans="1:16" hidden="1" x14ac:dyDescent="0.25">
      <c r="A124" t="s">
        <v>46</v>
      </c>
      <c r="B124" t="s">
        <v>26</v>
      </c>
      <c r="C124" t="s">
        <v>16</v>
      </c>
      <c r="D124">
        <v>9699</v>
      </c>
      <c r="E124">
        <v>410</v>
      </c>
      <c r="F124">
        <v>80</v>
      </c>
      <c r="G124">
        <v>6400</v>
      </c>
      <c r="H124">
        <v>2482</v>
      </c>
      <c r="I124">
        <v>8720</v>
      </c>
      <c r="J124">
        <v>0</v>
      </c>
      <c r="K124">
        <v>0</v>
      </c>
      <c r="L124">
        <v>1</v>
      </c>
      <c r="M124">
        <v>0</v>
      </c>
      <c r="N124" t="s">
        <v>17</v>
      </c>
      <c r="O124" s="1">
        <f>result[[#This Row],[n_killed_mutants_cumulativa]]/result[[#This Row],[tot_mutants]]</f>
        <v>0</v>
      </c>
    </row>
    <row r="125" spans="1:16" hidden="1" x14ac:dyDescent="0.25">
      <c r="A125" t="s">
        <v>46</v>
      </c>
      <c r="B125" t="s">
        <v>27</v>
      </c>
      <c r="C125" t="s">
        <v>16</v>
      </c>
      <c r="D125">
        <v>11529</v>
      </c>
      <c r="E125">
        <v>504</v>
      </c>
      <c r="F125">
        <v>90</v>
      </c>
      <c r="G125">
        <v>8100</v>
      </c>
      <c r="H125">
        <v>2663</v>
      </c>
      <c r="I125">
        <v>10710</v>
      </c>
      <c r="J125">
        <v>0</v>
      </c>
      <c r="K125">
        <v>0</v>
      </c>
      <c r="L125">
        <v>1</v>
      </c>
      <c r="M125">
        <v>0</v>
      </c>
      <c r="N125" t="s">
        <v>17</v>
      </c>
      <c r="O125" s="1">
        <f>result[[#This Row],[n_killed_mutants_cumulativa]]/result[[#This Row],[tot_mutants]]</f>
        <v>0</v>
      </c>
    </row>
    <row r="126" spans="1:16" hidden="1" x14ac:dyDescent="0.25">
      <c r="A126" t="s">
        <v>46</v>
      </c>
      <c r="B126" t="s">
        <v>30</v>
      </c>
      <c r="C126" t="s">
        <v>16</v>
      </c>
      <c r="D126">
        <v>13756</v>
      </c>
      <c r="E126">
        <v>591</v>
      </c>
      <c r="F126">
        <v>100</v>
      </c>
      <c r="G126">
        <v>10000</v>
      </c>
      <c r="H126">
        <v>3079</v>
      </c>
      <c r="I126">
        <v>12900</v>
      </c>
      <c r="J126">
        <v>0</v>
      </c>
      <c r="K126">
        <v>0</v>
      </c>
      <c r="L126">
        <v>1</v>
      </c>
      <c r="M126">
        <v>0</v>
      </c>
      <c r="N126" t="s">
        <v>17</v>
      </c>
      <c r="O126" s="1">
        <f>result[[#This Row],[n_killed_mutants_cumulativa]]/result[[#This Row],[tot_mutants]]</f>
        <v>0</v>
      </c>
    </row>
    <row r="127" spans="1:16" hidden="1" x14ac:dyDescent="0.25">
      <c r="A127" t="s">
        <v>46</v>
      </c>
      <c r="B127" t="s">
        <v>31</v>
      </c>
      <c r="C127" t="s">
        <v>16</v>
      </c>
      <c r="D127">
        <v>16588</v>
      </c>
      <c r="E127">
        <v>667</v>
      </c>
      <c r="F127">
        <v>110</v>
      </c>
      <c r="G127">
        <v>12100</v>
      </c>
      <c r="H127">
        <v>3250</v>
      </c>
      <c r="I127">
        <v>15290</v>
      </c>
      <c r="J127">
        <v>0</v>
      </c>
      <c r="K127">
        <v>0</v>
      </c>
      <c r="L127">
        <v>1</v>
      </c>
      <c r="M127">
        <v>0</v>
      </c>
      <c r="N127" t="s">
        <v>17</v>
      </c>
      <c r="O127" s="1">
        <f>result[[#This Row],[n_killed_mutants_cumulativa]]/result[[#This Row],[tot_mutants]]</f>
        <v>0</v>
      </c>
    </row>
    <row r="128" spans="1:16" hidden="1" x14ac:dyDescent="0.25">
      <c r="A128" t="s">
        <v>46</v>
      </c>
      <c r="B128" t="s">
        <v>36</v>
      </c>
      <c r="C128" t="s">
        <v>16</v>
      </c>
      <c r="D128">
        <v>19245</v>
      </c>
      <c r="E128">
        <v>764</v>
      </c>
      <c r="F128">
        <v>120</v>
      </c>
      <c r="G128">
        <v>14400</v>
      </c>
      <c r="H128">
        <v>3540</v>
      </c>
      <c r="I128">
        <v>17880</v>
      </c>
      <c r="J128">
        <v>0</v>
      </c>
      <c r="K128">
        <v>0</v>
      </c>
      <c r="L128">
        <v>1</v>
      </c>
      <c r="M128">
        <v>0</v>
      </c>
      <c r="N128" t="s">
        <v>17</v>
      </c>
      <c r="O128" s="1">
        <f>result[[#This Row],[n_killed_mutants_cumulativa]]/result[[#This Row],[tot_mutants]]</f>
        <v>0</v>
      </c>
    </row>
    <row r="129" spans="1:16" hidden="1" x14ac:dyDescent="0.25">
      <c r="A129" t="s">
        <v>46</v>
      </c>
      <c r="B129" t="s">
        <v>40</v>
      </c>
      <c r="C129" t="s">
        <v>16</v>
      </c>
      <c r="D129">
        <v>22449</v>
      </c>
      <c r="E129">
        <v>852</v>
      </c>
      <c r="F129">
        <v>130</v>
      </c>
      <c r="G129">
        <v>16900</v>
      </c>
      <c r="H129">
        <v>3899</v>
      </c>
      <c r="I129">
        <v>20670</v>
      </c>
      <c r="J129">
        <v>0</v>
      </c>
      <c r="K129">
        <v>0</v>
      </c>
      <c r="L129">
        <v>1</v>
      </c>
      <c r="M129">
        <v>0</v>
      </c>
      <c r="N129" t="s">
        <v>17</v>
      </c>
      <c r="O129" s="1">
        <f>result[[#This Row],[n_killed_mutants_cumulativa]]/result[[#This Row],[tot_mutants]]</f>
        <v>0</v>
      </c>
    </row>
    <row r="130" spans="1:16" hidden="1" x14ac:dyDescent="0.25">
      <c r="A130" t="s">
        <v>46</v>
      </c>
      <c r="B130" t="s">
        <v>47</v>
      </c>
      <c r="C130" t="s">
        <v>16</v>
      </c>
      <c r="D130">
        <v>25691</v>
      </c>
      <c r="E130">
        <v>961</v>
      </c>
      <c r="F130">
        <v>140</v>
      </c>
      <c r="G130">
        <v>19600</v>
      </c>
      <c r="H130">
        <v>4251</v>
      </c>
      <c r="I130">
        <v>23660</v>
      </c>
      <c r="J130">
        <v>0</v>
      </c>
      <c r="K130">
        <v>0</v>
      </c>
      <c r="L130">
        <v>1</v>
      </c>
      <c r="M130">
        <v>0</v>
      </c>
      <c r="N130" t="s">
        <v>17</v>
      </c>
      <c r="O130" s="1">
        <f>result[[#This Row],[n_killed_mutants_cumulativa]]/result[[#This Row],[tot_mutants]]</f>
        <v>0</v>
      </c>
    </row>
    <row r="131" spans="1:16" hidden="1" x14ac:dyDescent="0.25">
      <c r="A131" t="s">
        <v>46</v>
      </c>
      <c r="B131" t="s">
        <v>48</v>
      </c>
      <c r="C131" t="s">
        <v>16</v>
      </c>
      <c r="D131">
        <v>29916</v>
      </c>
      <c r="E131">
        <v>1075</v>
      </c>
      <c r="F131">
        <v>150</v>
      </c>
      <c r="G131">
        <v>22500</v>
      </c>
      <c r="H131">
        <v>4594</v>
      </c>
      <c r="I131">
        <v>26850</v>
      </c>
      <c r="J131">
        <v>0</v>
      </c>
      <c r="K131">
        <v>0</v>
      </c>
      <c r="L131">
        <v>1</v>
      </c>
      <c r="M131">
        <v>0</v>
      </c>
      <c r="N131" t="s">
        <v>17</v>
      </c>
      <c r="O131" s="1">
        <f>result[[#This Row],[n_killed_mutants_cumulativa]]/result[[#This Row],[tot_mutants]]</f>
        <v>0</v>
      </c>
    </row>
    <row r="132" spans="1:16" hidden="1" x14ac:dyDescent="0.25">
      <c r="A132" t="s">
        <v>46</v>
      </c>
      <c r="B132" t="s">
        <v>49</v>
      </c>
      <c r="C132" t="s">
        <v>16</v>
      </c>
      <c r="D132">
        <v>34736</v>
      </c>
      <c r="E132">
        <v>1202</v>
      </c>
      <c r="F132">
        <v>160</v>
      </c>
      <c r="G132">
        <v>25600</v>
      </c>
      <c r="H132">
        <v>4892</v>
      </c>
      <c r="I132">
        <v>30240</v>
      </c>
      <c r="J132">
        <v>0</v>
      </c>
      <c r="K132">
        <v>0</v>
      </c>
      <c r="L132">
        <v>1</v>
      </c>
      <c r="M132">
        <v>0</v>
      </c>
      <c r="N132" t="s">
        <v>17</v>
      </c>
      <c r="O132" s="1">
        <f>result[[#This Row],[n_killed_mutants_cumulativa]]/result[[#This Row],[tot_mutants]]</f>
        <v>0</v>
      </c>
    </row>
    <row r="133" spans="1:16" hidden="1" x14ac:dyDescent="0.25">
      <c r="A133" t="s">
        <v>46</v>
      </c>
      <c r="B133" t="s">
        <v>50</v>
      </c>
      <c r="C133" t="s">
        <v>16</v>
      </c>
      <c r="D133">
        <v>38640</v>
      </c>
      <c r="E133">
        <v>1389</v>
      </c>
      <c r="F133">
        <v>170</v>
      </c>
      <c r="G133">
        <v>28900</v>
      </c>
      <c r="H133">
        <v>5154</v>
      </c>
      <c r="I133">
        <v>33830</v>
      </c>
      <c r="J133">
        <v>0</v>
      </c>
      <c r="K133">
        <v>0</v>
      </c>
      <c r="L133">
        <v>1</v>
      </c>
      <c r="M133">
        <v>0</v>
      </c>
      <c r="N133" t="s">
        <v>17</v>
      </c>
      <c r="O133" s="1">
        <f>result[[#This Row],[n_killed_mutants_cumulativa]]/result[[#This Row],[tot_mutants]]</f>
        <v>0</v>
      </c>
    </row>
    <row r="134" spans="1:16" hidden="1" x14ac:dyDescent="0.25">
      <c r="A134" t="s">
        <v>46</v>
      </c>
      <c r="B134" t="s">
        <v>51</v>
      </c>
      <c r="C134" t="s">
        <v>16</v>
      </c>
      <c r="D134">
        <v>45225</v>
      </c>
      <c r="E134">
        <v>1464</v>
      </c>
      <c r="F134">
        <v>180</v>
      </c>
      <c r="G134">
        <v>32400</v>
      </c>
      <c r="H134">
        <v>5400</v>
      </c>
      <c r="I134">
        <v>37620</v>
      </c>
      <c r="J134">
        <v>0</v>
      </c>
      <c r="K134">
        <v>0</v>
      </c>
      <c r="L134">
        <v>1</v>
      </c>
      <c r="M134">
        <v>0</v>
      </c>
      <c r="N134" t="s">
        <v>17</v>
      </c>
      <c r="O134" s="1">
        <f>result[[#This Row],[n_killed_mutants_cumulativa]]/result[[#This Row],[tot_mutants]]</f>
        <v>0</v>
      </c>
    </row>
    <row r="135" spans="1:16" hidden="1" x14ac:dyDescent="0.25">
      <c r="A135" t="s">
        <v>46</v>
      </c>
      <c r="B135" t="s">
        <v>52</v>
      </c>
      <c r="C135" t="s">
        <v>16</v>
      </c>
      <c r="D135">
        <v>50706</v>
      </c>
      <c r="E135">
        <v>1656</v>
      </c>
      <c r="F135">
        <v>190</v>
      </c>
      <c r="G135">
        <v>36100</v>
      </c>
      <c r="H135">
        <v>5694</v>
      </c>
      <c r="I135">
        <v>41610</v>
      </c>
      <c r="J135">
        <v>0</v>
      </c>
      <c r="K135">
        <v>0</v>
      </c>
      <c r="L135">
        <v>1</v>
      </c>
      <c r="M135">
        <v>0</v>
      </c>
      <c r="N135" t="s">
        <v>17</v>
      </c>
      <c r="O135" s="1">
        <f>result[[#This Row],[n_killed_mutants_cumulativa]]/result[[#This Row],[tot_mutants]]</f>
        <v>0</v>
      </c>
    </row>
    <row r="136" spans="1:16" hidden="1" x14ac:dyDescent="0.25">
      <c r="A136" t="s">
        <v>46</v>
      </c>
      <c r="B136" t="s">
        <v>53</v>
      </c>
      <c r="C136" t="s">
        <v>16</v>
      </c>
      <c r="D136">
        <v>57402</v>
      </c>
      <c r="E136">
        <v>1775</v>
      </c>
      <c r="F136">
        <v>200</v>
      </c>
      <c r="G136">
        <v>40000</v>
      </c>
      <c r="H136">
        <v>6046</v>
      </c>
      <c r="I136">
        <v>45800</v>
      </c>
      <c r="J136">
        <v>0</v>
      </c>
      <c r="K136">
        <v>0</v>
      </c>
      <c r="L136">
        <v>1</v>
      </c>
      <c r="M136">
        <v>0</v>
      </c>
      <c r="N136" t="s">
        <v>17</v>
      </c>
      <c r="O136" s="1">
        <f>result[[#This Row],[n_killed_mutants_cumulativa]]/result[[#This Row],[tot_mutants]]</f>
        <v>0</v>
      </c>
    </row>
    <row r="137" spans="1:16" hidden="1" x14ac:dyDescent="0.25">
      <c r="A137" t="s">
        <v>46</v>
      </c>
      <c r="B137" t="s">
        <v>22</v>
      </c>
      <c r="C137" t="s">
        <v>16</v>
      </c>
      <c r="D137">
        <v>406679</v>
      </c>
      <c r="E137">
        <v>15008</v>
      </c>
      <c r="F137">
        <v>2100</v>
      </c>
      <c r="G137">
        <v>287000</v>
      </c>
      <c r="H137">
        <v>62889</v>
      </c>
      <c r="I137">
        <v>347544</v>
      </c>
      <c r="J137">
        <v>0</v>
      </c>
      <c r="K137">
        <v>0</v>
      </c>
      <c r="L137">
        <v>1</v>
      </c>
      <c r="M137">
        <v>0</v>
      </c>
      <c r="N137" t="s">
        <v>17</v>
      </c>
      <c r="O137" s="1">
        <f>result[[#This Row],[n_killed_mutants_cumulativa]]/result[[#This Row],[tot_mutants]]</f>
        <v>0</v>
      </c>
      <c r="P137" s="9" t="s">
        <v>346</v>
      </c>
    </row>
    <row r="138" spans="1:16" hidden="1" x14ac:dyDescent="0.25">
      <c r="A138" t="s">
        <v>54</v>
      </c>
      <c r="B138" t="s">
        <v>15</v>
      </c>
      <c r="C138" t="s">
        <v>16</v>
      </c>
      <c r="D138">
        <v>1898</v>
      </c>
      <c r="E138">
        <v>127</v>
      </c>
      <c r="F138">
        <v>10</v>
      </c>
      <c r="G138">
        <v>100</v>
      </c>
      <c r="H138">
        <v>160</v>
      </c>
      <c r="I138">
        <v>170</v>
      </c>
      <c r="J138">
        <v>0</v>
      </c>
      <c r="K138">
        <v>0</v>
      </c>
      <c r="L138">
        <v>1</v>
      </c>
      <c r="M138">
        <v>1</v>
      </c>
      <c r="N138" t="s">
        <v>55</v>
      </c>
      <c r="O138" s="1">
        <f>result[[#This Row],[n_killed_mutants_cumulativa]]/result[[#This Row],[tot_mutants]]</f>
        <v>1</v>
      </c>
    </row>
    <row r="139" spans="1:16" x14ac:dyDescent="0.25">
      <c r="A139" t="s">
        <v>54</v>
      </c>
      <c r="B139" t="s">
        <v>22</v>
      </c>
      <c r="C139" t="s">
        <v>16</v>
      </c>
      <c r="D139">
        <v>1898</v>
      </c>
      <c r="E139">
        <v>127</v>
      </c>
      <c r="F139">
        <v>10</v>
      </c>
      <c r="G139">
        <v>100</v>
      </c>
      <c r="H139">
        <v>160</v>
      </c>
      <c r="I139">
        <v>170</v>
      </c>
      <c r="J139">
        <v>0</v>
      </c>
      <c r="K139">
        <v>0</v>
      </c>
      <c r="L139">
        <v>1</v>
      </c>
      <c r="M139">
        <v>1</v>
      </c>
      <c r="N139" t="s">
        <v>55</v>
      </c>
      <c r="O139" s="1">
        <f>result[[#This Row],[n_killed_mutants_cumulativa]]/result[[#This Row],[tot_mutants]]</f>
        <v>1</v>
      </c>
      <c r="P139" s="9" t="s">
        <v>360</v>
      </c>
    </row>
    <row r="140" spans="1:16" hidden="1" x14ac:dyDescent="0.25">
      <c r="A140" t="s">
        <v>56</v>
      </c>
      <c r="B140" t="s">
        <v>15</v>
      </c>
      <c r="C140" t="s">
        <v>16</v>
      </c>
      <c r="D140">
        <v>4743</v>
      </c>
      <c r="E140">
        <v>133</v>
      </c>
      <c r="F140">
        <v>10</v>
      </c>
      <c r="G140">
        <v>100</v>
      </c>
      <c r="H140">
        <v>79</v>
      </c>
      <c r="I140">
        <v>296</v>
      </c>
      <c r="J140">
        <v>0</v>
      </c>
      <c r="K140">
        <v>0</v>
      </c>
      <c r="L140">
        <v>7</v>
      </c>
      <c r="M140">
        <v>1</v>
      </c>
      <c r="N140" t="s">
        <v>57</v>
      </c>
      <c r="O140" s="1">
        <f>result[[#This Row],[n_killed_mutants_cumulativa]]/result[[#This Row],[tot_mutants]]</f>
        <v>0.14285714285714285</v>
      </c>
    </row>
    <row r="141" spans="1:16" hidden="1" x14ac:dyDescent="0.25">
      <c r="A141" t="s">
        <v>56</v>
      </c>
      <c r="B141" t="s">
        <v>18</v>
      </c>
      <c r="C141" t="s">
        <v>16</v>
      </c>
      <c r="D141">
        <v>5059</v>
      </c>
      <c r="E141">
        <v>58</v>
      </c>
      <c r="F141">
        <v>20</v>
      </c>
      <c r="G141">
        <v>400</v>
      </c>
      <c r="H141">
        <v>250</v>
      </c>
      <c r="I141">
        <v>1188</v>
      </c>
      <c r="J141">
        <v>0</v>
      </c>
      <c r="K141">
        <v>0</v>
      </c>
      <c r="L141">
        <v>7</v>
      </c>
      <c r="M141">
        <v>1</v>
      </c>
      <c r="N141" t="s">
        <v>57</v>
      </c>
      <c r="O141" s="1">
        <f>result[[#This Row],[n_killed_mutants_cumulativa]]/result[[#This Row],[tot_mutants]]</f>
        <v>0.14285714285714285</v>
      </c>
    </row>
    <row r="142" spans="1:16" hidden="1" x14ac:dyDescent="0.25">
      <c r="A142" t="s">
        <v>56</v>
      </c>
      <c r="B142" t="s">
        <v>19</v>
      </c>
      <c r="C142" t="s">
        <v>16</v>
      </c>
      <c r="D142">
        <v>8393</v>
      </c>
      <c r="E142">
        <v>70</v>
      </c>
      <c r="F142">
        <v>30</v>
      </c>
      <c r="G142">
        <v>900</v>
      </c>
      <c r="H142">
        <v>513</v>
      </c>
      <c r="I142">
        <v>2670</v>
      </c>
      <c r="J142">
        <v>0</v>
      </c>
      <c r="K142">
        <v>0</v>
      </c>
      <c r="L142">
        <v>7</v>
      </c>
      <c r="M142">
        <v>1</v>
      </c>
      <c r="N142" t="s">
        <v>57</v>
      </c>
      <c r="O142" s="1">
        <f>result[[#This Row],[n_killed_mutants_cumulativa]]/result[[#This Row],[tot_mutants]]</f>
        <v>0.14285714285714285</v>
      </c>
    </row>
    <row r="143" spans="1:16" hidden="1" x14ac:dyDescent="0.25">
      <c r="A143" t="s">
        <v>56</v>
      </c>
      <c r="B143" t="s">
        <v>20</v>
      </c>
      <c r="C143" t="s">
        <v>16</v>
      </c>
      <c r="D143">
        <v>11893</v>
      </c>
      <c r="E143">
        <v>101</v>
      </c>
      <c r="F143">
        <v>40</v>
      </c>
      <c r="G143">
        <v>1600</v>
      </c>
      <c r="H143">
        <v>886</v>
      </c>
      <c r="I143">
        <v>4740</v>
      </c>
      <c r="J143">
        <v>0</v>
      </c>
      <c r="K143">
        <v>0</v>
      </c>
      <c r="L143">
        <v>7</v>
      </c>
      <c r="M143">
        <v>1</v>
      </c>
      <c r="N143" t="s">
        <v>57</v>
      </c>
      <c r="O143" s="1">
        <f>result[[#This Row],[n_killed_mutants_cumulativa]]/result[[#This Row],[tot_mutants]]</f>
        <v>0.14285714285714285</v>
      </c>
    </row>
    <row r="144" spans="1:16" hidden="1" x14ac:dyDescent="0.25">
      <c r="A144" t="s">
        <v>56</v>
      </c>
      <c r="B144" t="s">
        <v>21</v>
      </c>
      <c r="C144" t="s">
        <v>16</v>
      </c>
      <c r="D144">
        <v>16828</v>
      </c>
      <c r="E144">
        <v>142</v>
      </c>
      <c r="F144">
        <v>50</v>
      </c>
      <c r="G144">
        <v>2500</v>
      </c>
      <c r="H144">
        <v>1375</v>
      </c>
      <c r="I144">
        <v>7428</v>
      </c>
      <c r="J144">
        <v>0</v>
      </c>
      <c r="K144">
        <v>0</v>
      </c>
      <c r="L144">
        <v>7</v>
      </c>
      <c r="M144">
        <v>1</v>
      </c>
      <c r="N144" t="s">
        <v>57</v>
      </c>
      <c r="O144" s="1">
        <f>result[[#This Row],[n_killed_mutants_cumulativa]]/result[[#This Row],[tot_mutants]]</f>
        <v>0.14285714285714285</v>
      </c>
    </row>
    <row r="145" spans="1:16" hidden="1" x14ac:dyDescent="0.25">
      <c r="A145" t="s">
        <v>56</v>
      </c>
      <c r="B145" t="s">
        <v>24</v>
      </c>
      <c r="C145" t="s">
        <v>16</v>
      </c>
      <c r="D145">
        <v>22643</v>
      </c>
      <c r="E145">
        <v>186</v>
      </c>
      <c r="F145">
        <v>60</v>
      </c>
      <c r="G145">
        <v>3600</v>
      </c>
      <c r="H145">
        <v>1914</v>
      </c>
      <c r="I145">
        <v>10768</v>
      </c>
      <c r="J145">
        <v>0</v>
      </c>
      <c r="K145">
        <v>0</v>
      </c>
      <c r="L145">
        <v>7</v>
      </c>
      <c r="M145">
        <v>1</v>
      </c>
      <c r="N145" t="s">
        <v>57</v>
      </c>
      <c r="O145" s="1">
        <f>result[[#This Row],[n_killed_mutants_cumulativa]]/result[[#This Row],[tot_mutants]]</f>
        <v>0.14285714285714285</v>
      </c>
    </row>
    <row r="146" spans="1:16" hidden="1" x14ac:dyDescent="0.25">
      <c r="A146" t="s">
        <v>56</v>
      </c>
      <c r="B146" t="s">
        <v>25</v>
      </c>
      <c r="C146" t="s">
        <v>16</v>
      </c>
      <c r="D146">
        <v>30191</v>
      </c>
      <c r="E146">
        <v>218</v>
      </c>
      <c r="F146">
        <v>70</v>
      </c>
      <c r="G146">
        <v>4900</v>
      </c>
      <c r="H146">
        <v>2609</v>
      </c>
      <c r="I146">
        <v>14636</v>
      </c>
      <c r="J146">
        <v>0</v>
      </c>
      <c r="K146">
        <v>0</v>
      </c>
      <c r="L146">
        <v>7</v>
      </c>
      <c r="M146">
        <v>1</v>
      </c>
      <c r="N146" t="s">
        <v>57</v>
      </c>
      <c r="O146" s="1">
        <f>result[[#This Row],[n_killed_mutants_cumulativa]]/result[[#This Row],[tot_mutants]]</f>
        <v>0.14285714285714285</v>
      </c>
    </row>
    <row r="147" spans="1:16" hidden="1" x14ac:dyDescent="0.25">
      <c r="A147" t="s">
        <v>56</v>
      </c>
      <c r="B147" t="s">
        <v>26</v>
      </c>
      <c r="C147" t="s">
        <v>16</v>
      </c>
      <c r="D147">
        <v>38444</v>
      </c>
      <c r="E147">
        <v>285</v>
      </c>
      <c r="F147">
        <v>80</v>
      </c>
      <c r="G147">
        <v>6400</v>
      </c>
      <c r="H147">
        <v>3467</v>
      </c>
      <c r="I147">
        <v>19122</v>
      </c>
      <c r="J147">
        <v>0</v>
      </c>
      <c r="K147">
        <v>0</v>
      </c>
      <c r="L147">
        <v>7</v>
      </c>
      <c r="M147">
        <v>1</v>
      </c>
      <c r="N147" t="s">
        <v>57</v>
      </c>
      <c r="O147" s="1">
        <f>result[[#This Row],[n_killed_mutants_cumulativa]]/result[[#This Row],[tot_mutants]]</f>
        <v>0.14285714285714285</v>
      </c>
    </row>
    <row r="148" spans="1:16" hidden="1" x14ac:dyDescent="0.25">
      <c r="A148" t="s">
        <v>56</v>
      </c>
      <c r="B148" t="s">
        <v>27</v>
      </c>
      <c r="C148" t="s">
        <v>16</v>
      </c>
      <c r="D148">
        <v>48649</v>
      </c>
      <c r="E148">
        <v>416</v>
      </c>
      <c r="F148">
        <v>90</v>
      </c>
      <c r="G148">
        <v>8100</v>
      </c>
      <c r="H148">
        <v>4233</v>
      </c>
      <c r="I148">
        <v>24220</v>
      </c>
      <c r="J148">
        <v>0</v>
      </c>
      <c r="K148">
        <v>0</v>
      </c>
      <c r="L148">
        <v>7</v>
      </c>
      <c r="M148">
        <v>1</v>
      </c>
      <c r="N148" t="s">
        <v>57</v>
      </c>
      <c r="O148" s="1">
        <f>result[[#This Row],[n_killed_mutants_cumulativa]]/result[[#This Row],[tot_mutants]]</f>
        <v>0.14285714285714285</v>
      </c>
    </row>
    <row r="149" spans="1:16" hidden="1" x14ac:dyDescent="0.25">
      <c r="A149" t="s">
        <v>56</v>
      </c>
      <c r="B149" t="s">
        <v>30</v>
      </c>
      <c r="C149" t="s">
        <v>16</v>
      </c>
      <c r="D149">
        <v>60697</v>
      </c>
      <c r="E149">
        <v>434</v>
      </c>
      <c r="F149">
        <v>100</v>
      </c>
      <c r="G149">
        <v>10000</v>
      </c>
      <c r="H149">
        <v>5178</v>
      </c>
      <c r="I149">
        <v>29872</v>
      </c>
      <c r="J149">
        <v>0</v>
      </c>
      <c r="K149">
        <v>0</v>
      </c>
      <c r="L149">
        <v>7</v>
      </c>
      <c r="M149">
        <v>1</v>
      </c>
      <c r="N149" t="s">
        <v>57</v>
      </c>
      <c r="O149" s="1">
        <f>result[[#This Row],[n_killed_mutants_cumulativa]]/result[[#This Row],[tot_mutants]]</f>
        <v>0.14285714285714285</v>
      </c>
    </row>
    <row r="150" spans="1:16" hidden="1" x14ac:dyDescent="0.25">
      <c r="A150" t="s">
        <v>56</v>
      </c>
      <c r="B150" t="s">
        <v>31</v>
      </c>
      <c r="C150" t="s">
        <v>16</v>
      </c>
      <c r="D150">
        <v>73862</v>
      </c>
      <c r="E150">
        <v>535</v>
      </c>
      <c r="F150">
        <v>110</v>
      </c>
      <c r="G150">
        <v>12100</v>
      </c>
      <c r="H150">
        <v>6391</v>
      </c>
      <c r="I150">
        <v>36210</v>
      </c>
      <c r="J150">
        <v>0</v>
      </c>
      <c r="K150">
        <v>0</v>
      </c>
      <c r="L150">
        <v>7</v>
      </c>
      <c r="M150">
        <v>1</v>
      </c>
      <c r="N150" t="s">
        <v>57</v>
      </c>
      <c r="O150" s="1">
        <f>result[[#This Row],[n_killed_mutants_cumulativa]]/result[[#This Row],[tot_mutants]]</f>
        <v>0.14285714285714285</v>
      </c>
    </row>
    <row r="151" spans="1:16" hidden="1" x14ac:dyDescent="0.25">
      <c r="A151" t="s">
        <v>56</v>
      </c>
      <c r="B151" t="s">
        <v>36</v>
      </c>
      <c r="C151" t="s">
        <v>16</v>
      </c>
      <c r="D151">
        <v>88579</v>
      </c>
      <c r="E151">
        <v>631</v>
      </c>
      <c r="F151">
        <v>120</v>
      </c>
      <c r="G151">
        <v>14400</v>
      </c>
      <c r="H151">
        <v>7410</v>
      </c>
      <c r="I151">
        <v>43080</v>
      </c>
      <c r="J151">
        <v>0</v>
      </c>
      <c r="K151">
        <v>0</v>
      </c>
      <c r="L151">
        <v>7</v>
      </c>
      <c r="M151">
        <v>1</v>
      </c>
      <c r="N151" t="s">
        <v>57</v>
      </c>
      <c r="O151" s="1">
        <f>result[[#This Row],[n_killed_mutants_cumulativa]]/result[[#This Row],[tot_mutants]]</f>
        <v>0.14285714285714285</v>
      </c>
    </row>
    <row r="152" spans="1:16" hidden="1" x14ac:dyDescent="0.25">
      <c r="A152" t="s">
        <v>56</v>
      </c>
      <c r="B152" t="s">
        <v>40</v>
      </c>
      <c r="C152" t="s">
        <v>16</v>
      </c>
      <c r="D152">
        <v>105276</v>
      </c>
      <c r="E152">
        <v>720</v>
      </c>
      <c r="F152">
        <v>130</v>
      </c>
      <c r="G152">
        <v>16900</v>
      </c>
      <c r="H152">
        <v>8648</v>
      </c>
      <c r="I152">
        <v>50552</v>
      </c>
      <c r="J152">
        <v>0</v>
      </c>
      <c r="K152">
        <v>0</v>
      </c>
      <c r="L152">
        <v>7</v>
      </c>
      <c r="M152">
        <v>1</v>
      </c>
      <c r="N152" t="s">
        <v>57</v>
      </c>
      <c r="O152" s="1">
        <f>result[[#This Row],[n_killed_mutants_cumulativa]]/result[[#This Row],[tot_mutants]]</f>
        <v>0.14285714285714285</v>
      </c>
    </row>
    <row r="153" spans="1:16" hidden="1" x14ac:dyDescent="0.25">
      <c r="A153" t="s">
        <v>56</v>
      </c>
      <c r="B153" t="s">
        <v>47</v>
      </c>
      <c r="C153" t="s">
        <v>16</v>
      </c>
      <c r="D153">
        <v>123561</v>
      </c>
      <c r="E153">
        <v>866</v>
      </c>
      <c r="F153">
        <v>140</v>
      </c>
      <c r="G153">
        <v>19600</v>
      </c>
      <c r="H153">
        <v>10144</v>
      </c>
      <c r="I153">
        <v>58646</v>
      </c>
      <c r="J153">
        <v>0</v>
      </c>
      <c r="K153">
        <v>0</v>
      </c>
      <c r="L153">
        <v>7</v>
      </c>
      <c r="M153">
        <v>1</v>
      </c>
      <c r="N153" t="s">
        <v>57</v>
      </c>
      <c r="O153" s="1">
        <f>result[[#This Row],[n_killed_mutants_cumulativa]]/result[[#This Row],[tot_mutants]]</f>
        <v>0.14285714285714285</v>
      </c>
    </row>
    <row r="154" spans="1:16" x14ac:dyDescent="0.25">
      <c r="A154" t="s">
        <v>56</v>
      </c>
      <c r="B154" t="s">
        <v>22</v>
      </c>
      <c r="C154" t="s">
        <v>16</v>
      </c>
      <c r="D154">
        <v>638818</v>
      </c>
      <c r="E154">
        <v>4795</v>
      </c>
      <c r="F154">
        <v>1050</v>
      </c>
      <c r="G154">
        <v>101500</v>
      </c>
      <c r="H154">
        <v>53097</v>
      </c>
      <c r="I154">
        <v>303428</v>
      </c>
      <c r="J154">
        <v>0</v>
      </c>
      <c r="K154">
        <v>0</v>
      </c>
      <c r="L154">
        <v>7</v>
      </c>
      <c r="M154">
        <v>1</v>
      </c>
      <c r="N154" t="s">
        <v>57</v>
      </c>
      <c r="O154" s="1">
        <f>result[[#This Row],[n_killed_mutants_cumulativa]]/result[[#This Row],[tot_mutants]]</f>
        <v>0.14285714285714285</v>
      </c>
      <c r="P154" s="9" t="s">
        <v>359</v>
      </c>
    </row>
    <row r="155" spans="1:16" hidden="1" x14ac:dyDescent="0.25">
      <c r="A155" t="s">
        <v>58</v>
      </c>
      <c r="B155" t="s">
        <v>15</v>
      </c>
      <c r="C155" t="s">
        <v>16</v>
      </c>
      <c r="D155">
        <v>4853</v>
      </c>
      <c r="E155">
        <v>932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10</v>
      </c>
      <c r="L155">
        <v>2</v>
      </c>
      <c r="M155">
        <v>0</v>
      </c>
      <c r="N155" t="s">
        <v>17</v>
      </c>
      <c r="O155" s="1">
        <f>result[[#This Row],[n_killed_mutants_cumulativa]]/result[[#This Row],[tot_mutants]]</f>
        <v>0</v>
      </c>
    </row>
    <row r="156" spans="1:16" hidden="1" x14ac:dyDescent="0.25">
      <c r="A156" t="s">
        <v>58</v>
      </c>
      <c r="B156" t="s">
        <v>18</v>
      </c>
      <c r="C156" t="s">
        <v>16</v>
      </c>
      <c r="D156">
        <v>6041</v>
      </c>
      <c r="E156">
        <v>1573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20</v>
      </c>
      <c r="L156">
        <v>2</v>
      </c>
      <c r="M156">
        <v>0</v>
      </c>
      <c r="N156" t="s">
        <v>17</v>
      </c>
      <c r="O156" s="1">
        <f>result[[#This Row],[n_killed_mutants_cumulativa]]/result[[#This Row],[tot_mutants]]</f>
        <v>0</v>
      </c>
    </row>
    <row r="157" spans="1:16" hidden="1" x14ac:dyDescent="0.25">
      <c r="A157" t="s">
        <v>58</v>
      </c>
      <c r="B157" t="s">
        <v>19</v>
      </c>
      <c r="C157" t="s">
        <v>16</v>
      </c>
      <c r="D157">
        <v>8698</v>
      </c>
      <c r="E157">
        <v>2198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30</v>
      </c>
      <c r="L157">
        <v>2</v>
      </c>
      <c r="M157">
        <v>0</v>
      </c>
      <c r="N157" t="s">
        <v>17</v>
      </c>
      <c r="O157" s="1">
        <f>result[[#This Row],[n_killed_mutants_cumulativa]]/result[[#This Row],[tot_mutants]]</f>
        <v>0</v>
      </c>
    </row>
    <row r="158" spans="1:16" hidden="1" x14ac:dyDescent="0.25">
      <c r="A158" t="s">
        <v>58</v>
      </c>
      <c r="B158" t="s">
        <v>20</v>
      </c>
      <c r="C158" t="s">
        <v>16</v>
      </c>
      <c r="D158">
        <v>12273</v>
      </c>
      <c r="E158">
        <v>3830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40</v>
      </c>
      <c r="L158">
        <v>2</v>
      </c>
      <c r="M158">
        <v>0</v>
      </c>
      <c r="N158" t="s">
        <v>17</v>
      </c>
      <c r="O158" s="1">
        <f>result[[#This Row],[n_killed_mutants_cumulativa]]/result[[#This Row],[tot_mutants]]</f>
        <v>0</v>
      </c>
    </row>
    <row r="159" spans="1:16" hidden="1" x14ac:dyDescent="0.25">
      <c r="A159" t="s">
        <v>58</v>
      </c>
      <c r="B159" t="s">
        <v>21</v>
      </c>
      <c r="C159" t="s">
        <v>16</v>
      </c>
      <c r="D159">
        <v>16036</v>
      </c>
      <c r="E159">
        <v>5768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50</v>
      </c>
      <c r="L159">
        <v>2</v>
      </c>
      <c r="M159">
        <v>0</v>
      </c>
      <c r="N159" t="s">
        <v>17</v>
      </c>
      <c r="O159" s="1">
        <f>result[[#This Row],[n_killed_mutants_cumulativa]]/result[[#This Row],[tot_mutants]]</f>
        <v>0</v>
      </c>
    </row>
    <row r="160" spans="1:16" hidden="1" x14ac:dyDescent="0.25">
      <c r="A160" t="s">
        <v>58</v>
      </c>
      <c r="B160" t="s">
        <v>22</v>
      </c>
      <c r="C160" t="s">
        <v>16</v>
      </c>
      <c r="D160">
        <v>47901</v>
      </c>
      <c r="E160">
        <v>14301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150</v>
      </c>
      <c r="L160">
        <v>2</v>
      </c>
      <c r="M160">
        <v>0</v>
      </c>
      <c r="N160" t="s">
        <v>17</v>
      </c>
      <c r="O160" s="1">
        <f>result[[#This Row],[n_killed_mutants_cumulativa]]/result[[#This Row],[tot_mutants]]</f>
        <v>0</v>
      </c>
    </row>
    <row r="161" spans="1:15" hidden="1" x14ac:dyDescent="0.25">
      <c r="A161" t="s">
        <v>59</v>
      </c>
      <c r="B161" t="s">
        <v>15</v>
      </c>
      <c r="C161" t="s">
        <v>16</v>
      </c>
      <c r="D161">
        <v>3079</v>
      </c>
      <c r="E161">
        <v>677</v>
      </c>
      <c r="F161">
        <v>0</v>
      </c>
      <c r="G161">
        <v>0</v>
      </c>
      <c r="H161">
        <v>0</v>
      </c>
      <c r="I161">
        <v>0</v>
      </c>
      <c r="J161">
        <v>9</v>
      </c>
      <c r="K161">
        <v>1</v>
      </c>
      <c r="L161">
        <v>31</v>
      </c>
      <c r="M161">
        <v>0</v>
      </c>
      <c r="N161" t="s">
        <v>17</v>
      </c>
      <c r="O161" s="1">
        <f>result[[#This Row],[n_killed_mutants_cumulativa]]/result[[#This Row],[tot_mutants]]</f>
        <v>0</v>
      </c>
    </row>
    <row r="162" spans="1:15" hidden="1" x14ac:dyDescent="0.25">
      <c r="A162" t="s">
        <v>59</v>
      </c>
      <c r="B162" t="s">
        <v>18</v>
      </c>
      <c r="C162" t="s">
        <v>16</v>
      </c>
      <c r="D162">
        <v>2957</v>
      </c>
      <c r="E162">
        <v>1024</v>
      </c>
      <c r="F162">
        <v>0</v>
      </c>
      <c r="G162">
        <v>0</v>
      </c>
      <c r="H162">
        <v>0</v>
      </c>
      <c r="I162">
        <v>0</v>
      </c>
      <c r="J162">
        <v>17</v>
      </c>
      <c r="K162">
        <v>3</v>
      </c>
      <c r="L162">
        <v>31</v>
      </c>
      <c r="M162">
        <v>0</v>
      </c>
      <c r="N162" t="s">
        <v>17</v>
      </c>
      <c r="O162" s="1">
        <f>result[[#This Row],[n_killed_mutants_cumulativa]]/result[[#This Row],[tot_mutants]]</f>
        <v>0</v>
      </c>
    </row>
    <row r="163" spans="1:15" hidden="1" x14ac:dyDescent="0.25">
      <c r="A163" t="s">
        <v>59</v>
      </c>
      <c r="B163" t="s">
        <v>19</v>
      </c>
      <c r="C163" t="s">
        <v>16</v>
      </c>
      <c r="D163">
        <v>4174</v>
      </c>
      <c r="E163">
        <v>1723</v>
      </c>
      <c r="F163">
        <v>0</v>
      </c>
      <c r="G163">
        <v>0</v>
      </c>
      <c r="H163">
        <v>0</v>
      </c>
      <c r="I163">
        <v>0</v>
      </c>
      <c r="J163">
        <v>21</v>
      </c>
      <c r="K163">
        <v>9</v>
      </c>
      <c r="L163">
        <v>31</v>
      </c>
      <c r="M163">
        <v>0</v>
      </c>
      <c r="N163" t="s">
        <v>17</v>
      </c>
      <c r="O163" s="1">
        <f>result[[#This Row],[n_killed_mutants_cumulativa]]/result[[#This Row],[tot_mutants]]</f>
        <v>0</v>
      </c>
    </row>
    <row r="164" spans="1:15" hidden="1" x14ac:dyDescent="0.25">
      <c r="A164" t="s">
        <v>59</v>
      </c>
      <c r="B164" t="s">
        <v>20</v>
      </c>
      <c r="C164" t="s">
        <v>16</v>
      </c>
      <c r="D164">
        <v>5128</v>
      </c>
      <c r="E164">
        <v>2256</v>
      </c>
      <c r="F164">
        <v>0</v>
      </c>
      <c r="G164">
        <v>0</v>
      </c>
      <c r="H164">
        <v>0</v>
      </c>
      <c r="I164">
        <v>0</v>
      </c>
      <c r="J164">
        <v>28</v>
      </c>
      <c r="K164">
        <v>12</v>
      </c>
      <c r="L164">
        <v>31</v>
      </c>
      <c r="M164">
        <v>0</v>
      </c>
      <c r="N164" t="s">
        <v>17</v>
      </c>
      <c r="O164" s="1">
        <f>result[[#This Row],[n_killed_mutants_cumulativa]]/result[[#This Row],[tot_mutants]]</f>
        <v>0</v>
      </c>
    </row>
    <row r="165" spans="1:15" hidden="1" x14ac:dyDescent="0.25">
      <c r="A165" t="s">
        <v>59</v>
      </c>
      <c r="B165" t="s">
        <v>21</v>
      </c>
      <c r="C165" t="s">
        <v>16</v>
      </c>
      <c r="D165">
        <v>7333</v>
      </c>
      <c r="E165">
        <v>3711</v>
      </c>
      <c r="F165">
        <v>0</v>
      </c>
      <c r="G165">
        <v>0</v>
      </c>
      <c r="H165">
        <v>0</v>
      </c>
      <c r="I165">
        <v>0</v>
      </c>
      <c r="J165">
        <v>28</v>
      </c>
      <c r="K165">
        <v>22</v>
      </c>
      <c r="L165">
        <v>31</v>
      </c>
      <c r="M165">
        <v>0</v>
      </c>
      <c r="N165" t="s">
        <v>17</v>
      </c>
      <c r="O165" s="1">
        <f>result[[#This Row],[n_killed_mutants_cumulativa]]/result[[#This Row],[tot_mutants]]</f>
        <v>0</v>
      </c>
    </row>
    <row r="166" spans="1:15" hidden="1" x14ac:dyDescent="0.25">
      <c r="A166" t="s">
        <v>59</v>
      </c>
      <c r="B166" t="s">
        <v>22</v>
      </c>
      <c r="C166" t="s">
        <v>16</v>
      </c>
      <c r="D166">
        <v>22671</v>
      </c>
      <c r="E166">
        <v>9391</v>
      </c>
      <c r="F166">
        <v>0</v>
      </c>
      <c r="G166">
        <v>0</v>
      </c>
      <c r="H166">
        <v>0</v>
      </c>
      <c r="I166">
        <v>0</v>
      </c>
      <c r="J166">
        <v>103</v>
      </c>
      <c r="K166">
        <v>47</v>
      </c>
      <c r="L166">
        <v>31</v>
      </c>
      <c r="M166">
        <v>0</v>
      </c>
      <c r="N166" t="s">
        <v>17</v>
      </c>
      <c r="O166" s="1">
        <f>result[[#This Row],[n_killed_mutants_cumulativa]]/result[[#This Row],[tot_mutants]]</f>
        <v>0</v>
      </c>
    </row>
    <row r="167" spans="1:15" hidden="1" x14ac:dyDescent="0.25">
      <c r="A167" t="s">
        <v>60</v>
      </c>
      <c r="B167" t="s">
        <v>15</v>
      </c>
      <c r="C167" t="s">
        <v>16</v>
      </c>
      <c r="D167">
        <v>3935</v>
      </c>
      <c r="E167">
        <v>131</v>
      </c>
      <c r="F167">
        <v>10</v>
      </c>
      <c r="G167">
        <v>100</v>
      </c>
      <c r="H167">
        <v>100</v>
      </c>
      <c r="I167">
        <v>214</v>
      </c>
      <c r="J167">
        <v>0</v>
      </c>
      <c r="K167">
        <v>0</v>
      </c>
      <c r="L167">
        <v>5</v>
      </c>
      <c r="M167">
        <v>0</v>
      </c>
      <c r="N167" t="s">
        <v>17</v>
      </c>
      <c r="O167" s="1">
        <f>result[[#This Row],[n_killed_mutants_cumulativa]]/result[[#This Row],[tot_mutants]]</f>
        <v>0</v>
      </c>
    </row>
    <row r="168" spans="1:15" hidden="1" x14ac:dyDescent="0.25">
      <c r="A168" t="s">
        <v>60</v>
      </c>
      <c r="B168" t="s">
        <v>18</v>
      </c>
      <c r="C168" t="s">
        <v>16</v>
      </c>
      <c r="D168">
        <v>3743</v>
      </c>
      <c r="E168">
        <v>80</v>
      </c>
      <c r="F168">
        <v>20</v>
      </c>
      <c r="G168">
        <v>400</v>
      </c>
      <c r="H168">
        <v>400</v>
      </c>
      <c r="I168">
        <v>764</v>
      </c>
      <c r="J168">
        <v>0</v>
      </c>
      <c r="K168">
        <v>0</v>
      </c>
      <c r="L168">
        <v>5</v>
      </c>
      <c r="M168">
        <v>0</v>
      </c>
      <c r="N168" t="s">
        <v>17</v>
      </c>
      <c r="O168" s="1">
        <f>result[[#This Row],[n_killed_mutants_cumulativa]]/result[[#This Row],[tot_mutants]]</f>
        <v>0</v>
      </c>
    </row>
    <row r="169" spans="1:15" hidden="1" x14ac:dyDescent="0.25">
      <c r="A169" t="s">
        <v>60</v>
      </c>
      <c r="B169" t="s">
        <v>19</v>
      </c>
      <c r="C169" t="s">
        <v>16</v>
      </c>
      <c r="D169">
        <v>6447</v>
      </c>
      <c r="E169">
        <v>118</v>
      </c>
      <c r="F169">
        <v>30</v>
      </c>
      <c r="G169">
        <v>900</v>
      </c>
      <c r="H169">
        <v>900</v>
      </c>
      <c r="I169">
        <v>1676</v>
      </c>
      <c r="J169">
        <v>0</v>
      </c>
      <c r="K169">
        <v>0</v>
      </c>
      <c r="L169">
        <v>5</v>
      </c>
      <c r="M169">
        <v>0</v>
      </c>
      <c r="N169" t="s">
        <v>17</v>
      </c>
      <c r="O169" s="1">
        <f>result[[#This Row],[n_killed_mutants_cumulativa]]/result[[#This Row],[tot_mutants]]</f>
        <v>0</v>
      </c>
    </row>
    <row r="170" spans="1:15" hidden="1" x14ac:dyDescent="0.25">
      <c r="A170" t="s">
        <v>60</v>
      </c>
      <c r="B170" t="s">
        <v>20</v>
      </c>
      <c r="C170" t="s">
        <v>16</v>
      </c>
      <c r="D170">
        <v>8723</v>
      </c>
      <c r="E170">
        <v>160</v>
      </c>
      <c r="F170">
        <v>40</v>
      </c>
      <c r="G170">
        <v>1600</v>
      </c>
      <c r="H170">
        <v>1600</v>
      </c>
      <c r="I170">
        <v>2882</v>
      </c>
      <c r="J170">
        <v>0</v>
      </c>
      <c r="K170">
        <v>0</v>
      </c>
      <c r="L170">
        <v>5</v>
      </c>
      <c r="M170">
        <v>0</v>
      </c>
      <c r="N170" t="s">
        <v>17</v>
      </c>
      <c r="O170" s="1">
        <f>result[[#This Row],[n_killed_mutants_cumulativa]]/result[[#This Row],[tot_mutants]]</f>
        <v>0</v>
      </c>
    </row>
    <row r="171" spans="1:15" hidden="1" x14ac:dyDescent="0.25">
      <c r="A171" t="s">
        <v>60</v>
      </c>
      <c r="B171" t="s">
        <v>21</v>
      </c>
      <c r="C171" t="s">
        <v>16</v>
      </c>
      <c r="D171">
        <v>11804</v>
      </c>
      <c r="E171">
        <v>205</v>
      </c>
      <c r="F171">
        <v>50</v>
      </c>
      <c r="G171">
        <v>2500</v>
      </c>
      <c r="H171">
        <v>2500</v>
      </c>
      <c r="I171">
        <v>4448</v>
      </c>
      <c r="J171">
        <v>0</v>
      </c>
      <c r="K171">
        <v>0</v>
      </c>
      <c r="L171">
        <v>5</v>
      </c>
      <c r="M171">
        <v>0</v>
      </c>
      <c r="N171" t="s">
        <v>17</v>
      </c>
      <c r="O171" s="1">
        <f>result[[#This Row],[n_killed_mutants_cumulativa]]/result[[#This Row],[tot_mutants]]</f>
        <v>0</v>
      </c>
    </row>
    <row r="172" spans="1:15" hidden="1" x14ac:dyDescent="0.25">
      <c r="A172" t="s">
        <v>60</v>
      </c>
      <c r="B172" t="s">
        <v>24</v>
      </c>
      <c r="C172" t="s">
        <v>16</v>
      </c>
      <c r="D172">
        <v>16028</v>
      </c>
      <c r="E172">
        <v>269</v>
      </c>
      <c r="F172">
        <v>60</v>
      </c>
      <c r="G172">
        <v>3600</v>
      </c>
      <c r="H172">
        <v>3600</v>
      </c>
      <c r="I172">
        <v>6278</v>
      </c>
      <c r="J172">
        <v>0</v>
      </c>
      <c r="K172">
        <v>0</v>
      </c>
      <c r="L172">
        <v>5</v>
      </c>
      <c r="M172">
        <v>0</v>
      </c>
      <c r="N172" t="s">
        <v>17</v>
      </c>
      <c r="O172" s="1">
        <f>result[[#This Row],[n_killed_mutants_cumulativa]]/result[[#This Row],[tot_mutants]]</f>
        <v>0</v>
      </c>
    </row>
    <row r="173" spans="1:15" hidden="1" x14ac:dyDescent="0.25">
      <c r="A173" t="s">
        <v>60</v>
      </c>
      <c r="B173" t="s">
        <v>25</v>
      </c>
      <c r="C173" t="s">
        <v>16</v>
      </c>
      <c r="D173">
        <v>21164</v>
      </c>
      <c r="E173">
        <v>359</v>
      </c>
      <c r="F173">
        <v>70</v>
      </c>
      <c r="G173">
        <v>4900</v>
      </c>
      <c r="H173">
        <v>4900</v>
      </c>
      <c r="I173">
        <v>8554</v>
      </c>
      <c r="J173">
        <v>0</v>
      </c>
      <c r="K173">
        <v>0</v>
      </c>
      <c r="L173">
        <v>5</v>
      </c>
      <c r="M173">
        <v>0</v>
      </c>
      <c r="N173" t="s">
        <v>17</v>
      </c>
      <c r="O173" s="1">
        <f>result[[#This Row],[n_killed_mutants_cumulativa]]/result[[#This Row],[tot_mutants]]</f>
        <v>0</v>
      </c>
    </row>
    <row r="174" spans="1:15" hidden="1" x14ac:dyDescent="0.25">
      <c r="A174" t="s">
        <v>60</v>
      </c>
      <c r="B174" t="s">
        <v>26</v>
      </c>
      <c r="C174" t="s">
        <v>16</v>
      </c>
      <c r="D174">
        <v>27297</v>
      </c>
      <c r="E174">
        <v>470</v>
      </c>
      <c r="F174">
        <v>80</v>
      </c>
      <c r="G174">
        <v>6400</v>
      </c>
      <c r="H174">
        <v>6400</v>
      </c>
      <c r="I174">
        <v>11066</v>
      </c>
      <c r="J174">
        <v>0</v>
      </c>
      <c r="K174">
        <v>0</v>
      </c>
      <c r="L174">
        <v>5</v>
      </c>
      <c r="M174">
        <v>0</v>
      </c>
      <c r="N174" t="s">
        <v>17</v>
      </c>
      <c r="O174" s="1">
        <f>result[[#This Row],[n_killed_mutants_cumulativa]]/result[[#This Row],[tot_mutants]]</f>
        <v>0</v>
      </c>
    </row>
    <row r="175" spans="1:15" hidden="1" x14ac:dyDescent="0.25">
      <c r="A175" t="s">
        <v>60</v>
      </c>
      <c r="B175" t="s">
        <v>27</v>
      </c>
      <c r="C175" t="s">
        <v>16</v>
      </c>
      <c r="D175">
        <v>34164</v>
      </c>
      <c r="E175">
        <v>607</v>
      </c>
      <c r="F175">
        <v>90</v>
      </c>
      <c r="G175">
        <v>8100</v>
      </c>
      <c r="H175">
        <v>8100</v>
      </c>
      <c r="I175">
        <v>13890</v>
      </c>
      <c r="J175">
        <v>0</v>
      </c>
      <c r="K175">
        <v>0</v>
      </c>
      <c r="L175">
        <v>5</v>
      </c>
      <c r="M175">
        <v>0</v>
      </c>
      <c r="N175" t="s">
        <v>17</v>
      </c>
      <c r="O175" s="1">
        <f>result[[#This Row],[n_killed_mutants_cumulativa]]/result[[#This Row],[tot_mutants]]</f>
        <v>0</v>
      </c>
    </row>
    <row r="176" spans="1:15" hidden="1" x14ac:dyDescent="0.25">
      <c r="A176" t="s">
        <v>60</v>
      </c>
      <c r="B176" t="s">
        <v>30</v>
      </c>
      <c r="C176" t="s">
        <v>16</v>
      </c>
      <c r="D176">
        <v>42074</v>
      </c>
      <c r="E176">
        <v>730</v>
      </c>
      <c r="F176">
        <v>100</v>
      </c>
      <c r="G176">
        <v>10000</v>
      </c>
      <c r="H176">
        <v>10000</v>
      </c>
      <c r="I176">
        <v>17192</v>
      </c>
      <c r="J176">
        <v>0</v>
      </c>
      <c r="K176">
        <v>0</v>
      </c>
      <c r="L176">
        <v>5</v>
      </c>
      <c r="M176">
        <v>0</v>
      </c>
      <c r="N176" t="s">
        <v>17</v>
      </c>
      <c r="O176" s="1">
        <f>result[[#This Row],[n_killed_mutants_cumulativa]]/result[[#This Row],[tot_mutants]]</f>
        <v>0</v>
      </c>
    </row>
    <row r="177" spans="1:16" hidden="1" x14ac:dyDescent="0.25">
      <c r="A177" t="s">
        <v>60</v>
      </c>
      <c r="B177" t="s">
        <v>31</v>
      </c>
      <c r="C177" t="s">
        <v>16</v>
      </c>
      <c r="D177">
        <v>51316</v>
      </c>
      <c r="E177">
        <v>926</v>
      </c>
      <c r="F177">
        <v>110</v>
      </c>
      <c r="G177">
        <v>12100</v>
      </c>
      <c r="H177">
        <v>12100</v>
      </c>
      <c r="I177">
        <v>20802</v>
      </c>
      <c r="J177">
        <v>0</v>
      </c>
      <c r="K177">
        <v>0</v>
      </c>
      <c r="L177">
        <v>5</v>
      </c>
      <c r="M177">
        <v>0</v>
      </c>
      <c r="N177" t="s">
        <v>17</v>
      </c>
      <c r="O177" s="1">
        <f>result[[#This Row],[n_killed_mutants_cumulativa]]/result[[#This Row],[tot_mutants]]</f>
        <v>0</v>
      </c>
    </row>
    <row r="178" spans="1:16" hidden="1" x14ac:dyDescent="0.25">
      <c r="A178" t="s">
        <v>60</v>
      </c>
      <c r="B178" t="s">
        <v>36</v>
      </c>
      <c r="C178" t="s">
        <v>16</v>
      </c>
      <c r="D178">
        <v>62129</v>
      </c>
      <c r="E178">
        <v>1095</v>
      </c>
      <c r="F178">
        <v>120</v>
      </c>
      <c r="G178">
        <v>14400</v>
      </c>
      <c r="H178">
        <v>14400</v>
      </c>
      <c r="I178">
        <v>24590</v>
      </c>
      <c r="J178">
        <v>0</v>
      </c>
      <c r="K178">
        <v>0</v>
      </c>
      <c r="L178">
        <v>5</v>
      </c>
      <c r="M178">
        <v>0</v>
      </c>
      <c r="N178" t="s">
        <v>17</v>
      </c>
      <c r="O178" s="1">
        <f>result[[#This Row],[n_killed_mutants_cumulativa]]/result[[#This Row],[tot_mutants]]</f>
        <v>0</v>
      </c>
    </row>
    <row r="179" spans="1:16" hidden="1" x14ac:dyDescent="0.25">
      <c r="A179" t="s">
        <v>60</v>
      </c>
      <c r="B179" t="s">
        <v>40</v>
      </c>
      <c r="C179" t="s">
        <v>16</v>
      </c>
      <c r="D179">
        <v>73880</v>
      </c>
      <c r="E179">
        <v>1219</v>
      </c>
      <c r="F179">
        <v>130</v>
      </c>
      <c r="G179">
        <v>16900</v>
      </c>
      <c r="H179">
        <v>16900</v>
      </c>
      <c r="I179">
        <v>28722</v>
      </c>
      <c r="J179">
        <v>0</v>
      </c>
      <c r="K179">
        <v>0</v>
      </c>
      <c r="L179">
        <v>5</v>
      </c>
      <c r="M179">
        <v>0</v>
      </c>
      <c r="N179" t="s">
        <v>17</v>
      </c>
      <c r="O179" s="1">
        <f>result[[#This Row],[n_killed_mutants_cumulativa]]/result[[#This Row],[tot_mutants]]</f>
        <v>0</v>
      </c>
    </row>
    <row r="180" spans="1:16" hidden="1" x14ac:dyDescent="0.25">
      <c r="A180" t="s">
        <v>60</v>
      </c>
      <c r="B180" t="s">
        <v>47</v>
      </c>
      <c r="C180" t="s">
        <v>16</v>
      </c>
      <c r="D180">
        <v>87144</v>
      </c>
      <c r="E180">
        <v>1457</v>
      </c>
      <c r="F180">
        <v>140</v>
      </c>
      <c r="G180">
        <v>19600</v>
      </c>
      <c r="H180">
        <v>19600</v>
      </c>
      <c r="I180">
        <v>33322</v>
      </c>
      <c r="J180">
        <v>0</v>
      </c>
      <c r="K180">
        <v>0</v>
      </c>
      <c r="L180">
        <v>5</v>
      </c>
      <c r="M180">
        <v>0</v>
      </c>
      <c r="N180" t="s">
        <v>17</v>
      </c>
      <c r="O180" s="1">
        <f>result[[#This Row],[n_killed_mutants_cumulativa]]/result[[#This Row],[tot_mutants]]</f>
        <v>0</v>
      </c>
    </row>
    <row r="181" spans="1:16" hidden="1" x14ac:dyDescent="0.25">
      <c r="A181" t="s">
        <v>60</v>
      </c>
      <c r="B181" t="s">
        <v>48</v>
      </c>
      <c r="C181" t="s">
        <v>16</v>
      </c>
      <c r="D181">
        <v>101813</v>
      </c>
      <c r="E181">
        <v>1630</v>
      </c>
      <c r="F181">
        <v>150</v>
      </c>
      <c r="G181">
        <v>22500</v>
      </c>
      <c r="H181">
        <v>22500</v>
      </c>
      <c r="I181">
        <v>38244</v>
      </c>
      <c r="J181">
        <v>0</v>
      </c>
      <c r="K181">
        <v>0</v>
      </c>
      <c r="L181">
        <v>5</v>
      </c>
      <c r="M181">
        <v>0</v>
      </c>
      <c r="N181" t="s">
        <v>17</v>
      </c>
      <c r="O181" s="1">
        <f>result[[#This Row],[n_killed_mutants_cumulativa]]/result[[#This Row],[tot_mutants]]</f>
        <v>0</v>
      </c>
    </row>
    <row r="182" spans="1:16" hidden="1" x14ac:dyDescent="0.25">
      <c r="A182" t="s">
        <v>60</v>
      </c>
      <c r="B182" t="s">
        <v>49</v>
      </c>
      <c r="C182" t="s">
        <v>16</v>
      </c>
      <c r="D182">
        <v>118693</v>
      </c>
      <c r="E182">
        <v>1853</v>
      </c>
      <c r="F182">
        <v>160</v>
      </c>
      <c r="G182">
        <v>25600</v>
      </c>
      <c r="H182">
        <v>25600</v>
      </c>
      <c r="I182">
        <v>43340</v>
      </c>
      <c r="J182">
        <v>0</v>
      </c>
      <c r="K182">
        <v>0</v>
      </c>
      <c r="L182">
        <v>5</v>
      </c>
      <c r="M182">
        <v>0</v>
      </c>
      <c r="N182" t="s">
        <v>17</v>
      </c>
      <c r="O182" s="1">
        <f>result[[#This Row],[n_killed_mutants_cumulativa]]/result[[#This Row],[tot_mutants]]</f>
        <v>0</v>
      </c>
    </row>
    <row r="183" spans="1:16" hidden="1" x14ac:dyDescent="0.25">
      <c r="A183" t="s">
        <v>60</v>
      </c>
      <c r="B183" t="s">
        <v>22</v>
      </c>
      <c r="C183" t="s">
        <v>16</v>
      </c>
      <c r="D183">
        <v>670354</v>
      </c>
      <c r="E183">
        <v>11309</v>
      </c>
      <c r="F183">
        <v>1360</v>
      </c>
      <c r="G183">
        <v>149600</v>
      </c>
      <c r="H183">
        <v>149600</v>
      </c>
      <c r="I183">
        <v>255984</v>
      </c>
      <c r="J183">
        <v>0</v>
      </c>
      <c r="K183">
        <v>0</v>
      </c>
      <c r="L183">
        <v>5</v>
      </c>
      <c r="M183">
        <v>0</v>
      </c>
      <c r="N183" t="s">
        <v>17</v>
      </c>
      <c r="O183" s="1">
        <f>result[[#This Row],[n_killed_mutants_cumulativa]]/result[[#This Row],[tot_mutants]]</f>
        <v>0</v>
      </c>
      <c r="P183" s="9" t="s">
        <v>357</v>
      </c>
    </row>
    <row r="184" spans="1:16" hidden="1" x14ac:dyDescent="0.25">
      <c r="A184" t="s">
        <v>61</v>
      </c>
      <c r="B184" t="s">
        <v>15</v>
      </c>
      <c r="C184" t="s">
        <v>16</v>
      </c>
      <c r="D184">
        <v>3213</v>
      </c>
      <c r="E184">
        <v>902</v>
      </c>
      <c r="F184">
        <v>0</v>
      </c>
      <c r="G184">
        <v>0</v>
      </c>
      <c r="H184">
        <v>0</v>
      </c>
      <c r="I184">
        <v>0</v>
      </c>
      <c r="J184">
        <v>9</v>
      </c>
      <c r="K184">
        <v>0</v>
      </c>
      <c r="L184">
        <v>43</v>
      </c>
      <c r="M184">
        <v>0</v>
      </c>
      <c r="N184" t="s">
        <v>17</v>
      </c>
      <c r="O184" s="1">
        <f>result[[#This Row],[n_killed_mutants_cumulativa]]/result[[#This Row],[tot_mutants]]</f>
        <v>0</v>
      </c>
    </row>
    <row r="185" spans="1:16" hidden="1" x14ac:dyDescent="0.25">
      <c r="A185" t="s">
        <v>61</v>
      </c>
      <c r="B185" t="s">
        <v>18</v>
      </c>
      <c r="C185" t="s">
        <v>16</v>
      </c>
      <c r="D185">
        <v>2766</v>
      </c>
      <c r="E185">
        <v>1085</v>
      </c>
      <c r="F185">
        <v>0</v>
      </c>
      <c r="G185">
        <v>0</v>
      </c>
      <c r="H185">
        <v>0</v>
      </c>
      <c r="I185">
        <v>0</v>
      </c>
      <c r="J185">
        <v>18</v>
      </c>
      <c r="K185">
        <v>0</v>
      </c>
      <c r="L185">
        <v>43</v>
      </c>
      <c r="M185">
        <v>0</v>
      </c>
      <c r="N185" t="s">
        <v>17</v>
      </c>
      <c r="O185" s="1">
        <f>result[[#This Row],[n_killed_mutants_cumulativa]]/result[[#This Row],[tot_mutants]]</f>
        <v>0</v>
      </c>
    </row>
    <row r="186" spans="1:16" hidden="1" x14ac:dyDescent="0.25">
      <c r="A186" t="s">
        <v>61</v>
      </c>
      <c r="B186" t="s">
        <v>19</v>
      </c>
      <c r="C186" t="s">
        <v>16</v>
      </c>
      <c r="D186">
        <v>3065</v>
      </c>
      <c r="E186">
        <v>1388</v>
      </c>
      <c r="F186">
        <v>0</v>
      </c>
      <c r="G186">
        <v>0</v>
      </c>
      <c r="H186">
        <v>0</v>
      </c>
      <c r="I186">
        <v>0</v>
      </c>
      <c r="J186">
        <v>21</v>
      </c>
      <c r="K186">
        <v>0</v>
      </c>
      <c r="L186">
        <v>43</v>
      </c>
      <c r="M186">
        <v>0</v>
      </c>
      <c r="N186" t="s">
        <v>17</v>
      </c>
      <c r="O186" s="1">
        <f>result[[#This Row],[n_killed_mutants_cumulativa]]/result[[#This Row],[tot_mutants]]</f>
        <v>0</v>
      </c>
    </row>
    <row r="187" spans="1:16" hidden="1" x14ac:dyDescent="0.25">
      <c r="A187" t="s">
        <v>61</v>
      </c>
      <c r="B187" t="s">
        <v>20</v>
      </c>
      <c r="C187" t="s">
        <v>16</v>
      </c>
      <c r="D187">
        <v>4551</v>
      </c>
      <c r="E187">
        <v>2295</v>
      </c>
      <c r="F187">
        <v>0</v>
      </c>
      <c r="G187">
        <v>0</v>
      </c>
      <c r="H187">
        <v>0</v>
      </c>
      <c r="I187">
        <v>0</v>
      </c>
      <c r="J187">
        <v>29</v>
      </c>
      <c r="K187">
        <v>0</v>
      </c>
      <c r="L187">
        <v>43</v>
      </c>
      <c r="M187">
        <v>0</v>
      </c>
      <c r="N187" t="s">
        <v>17</v>
      </c>
      <c r="O187" s="1">
        <f>result[[#This Row],[n_killed_mutants_cumulativa]]/result[[#This Row],[tot_mutants]]</f>
        <v>0</v>
      </c>
    </row>
    <row r="188" spans="1:16" hidden="1" x14ac:dyDescent="0.25">
      <c r="A188" t="s">
        <v>61</v>
      </c>
      <c r="B188" t="s">
        <v>21</v>
      </c>
      <c r="C188" t="s">
        <v>16</v>
      </c>
      <c r="D188">
        <v>5704</v>
      </c>
      <c r="E188">
        <v>3324</v>
      </c>
      <c r="F188">
        <v>0</v>
      </c>
      <c r="G188">
        <v>0</v>
      </c>
      <c r="H188">
        <v>0</v>
      </c>
      <c r="I188">
        <v>0</v>
      </c>
      <c r="J188">
        <v>34</v>
      </c>
      <c r="K188">
        <v>0</v>
      </c>
      <c r="L188">
        <v>43</v>
      </c>
      <c r="M188">
        <v>0</v>
      </c>
      <c r="N188" t="s">
        <v>17</v>
      </c>
      <c r="O188" s="1">
        <f>result[[#This Row],[n_killed_mutants_cumulativa]]/result[[#This Row],[tot_mutants]]</f>
        <v>0</v>
      </c>
    </row>
    <row r="189" spans="1:16" hidden="1" x14ac:dyDescent="0.25">
      <c r="A189" t="s">
        <v>61</v>
      </c>
      <c r="B189" t="s">
        <v>22</v>
      </c>
      <c r="C189" t="s">
        <v>16</v>
      </c>
      <c r="D189">
        <v>19299</v>
      </c>
      <c r="E189">
        <v>8994</v>
      </c>
      <c r="F189">
        <v>0</v>
      </c>
      <c r="G189">
        <v>0</v>
      </c>
      <c r="H189">
        <v>0</v>
      </c>
      <c r="I189">
        <v>0</v>
      </c>
      <c r="J189">
        <v>111</v>
      </c>
      <c r="K189">
        <v>0</v>
      </c>
      <c r="L189">
        <v>43</v>
      </c>
      <c r="M189">
        <v>0</v>
      </c>
      <c r="N189" t="s">
        <v>17</v>
      </c>
      <c r="O189" s="1">
        <f>result[[#This Row],[n_killed_mutants_cumulativa]]/result[[#This Row],[tot_mutants]]</f>
        <v>0</v>
      </c>
    </row>
    <row r="190" spans="1:16" hidden="1" x14ac:dyDescent="0.25">
      <c r="A190" t="s">
        <v>62</v>
      </c>
      <c r="B190" t="s">
        <v>15</v>
      </c>
      <c r="C190" t="s">
        <v>16</v>
      </c>
      <c r="D190">
        <v>5051</v>
      </c>
      <c r="E190">
        <v>97</v>
      </c>
      <c r="F190">
        <v>10</v>
      </c>
      <c r="G190">
        <v>100</v>
      </c>
      <c r="H190">
        <v>100</v>
      </c>
      <c r="I190">
        <v>248</v>
      </c>
      <c r="J190">
        <v>0</v>
      </c>
      <c r="K190">
        <v>0</v>
      </c>
      <c r="L190">
        <v>9</v>
      </c>
      <c r="M190">
        <v>0</v>
      </c>
      <c r="N190" t="s">
        <v>17</v>
      </c>
      <c r="O190" s="1">
        <f>result[[#This Row],[n_killed_mutants_cumulativa]]/result[[#This Row],[tot_mutants]]</f>
        <v>0</v>
      </c>
    </row>
    <row r="191" spans="1:16" hidden="1" x14ac:dyDescent="0.25">
      <c r="A191" t="s">
        <v>62</v>
      </c>
      <c r="B191" t="s">
        <v>18</v>
      </c>
      <c r="C191" t="s">
        <v>16</v>
      </c>
      <c r="D191">
        <v>6125</v>
      </c>
      <c r="E191">
        <v>31</v>
      </c>
      <c r="F191">
        <v>20</v>
      </c>
      <c r="G191">
        <v>400</v>
      </c>
      <c r="H191">
        <v>400</v>
      </c>
      <c r="I191">
        <v>1082</v>
      </c>
      <c r="J191">
        <v>0</v>
      </c>
      <c r="K191">
        <v>0</v>
      </c>
      <c r="L191">
        <v>9</v>
      </c>
      <c r="M191">
        <v>0</v>
      </c>
      <c r="N191" t="s">
        <v>17</v>
      </c>
      <c r="O191" s="1">
        <f>result[[#This Row],[n_killed_mutants_cumulativa]]/result[[#This Row],[tot_mutants]]</f>
        <v>0</v>
      </c>
    </row>
    <row r="192" spans="1:16" hidden="1" x14ac:dyDescent="0.25">
      <c r="A192" t="s">
        <v>62</v>
      </c>
      <c r="B192" t="s">
        <v>19</v>
      </c>
      <c r="C192" t="s">
        <v>16</v>
      </c>
      <c r="D192">
        <v>10453</v>
      </c>
      <c r="E192">
        <v>44</v>
      </c>
      <c r="F192">
        <v>30</v>
      </c>
      <c r="G192">
        <v>900</v>
      </c>
      <c r="H192">
        <v>900</v>
      </c>
      <c r="I192">
        <v>2628</v>
      </c>
      <c r="J192">
        <v>0</v>
      </c>
      <c r="K192">
        <v>0</v>
      </c>
      <c r="L192">
        <v>9</v>
      </c>
      <c r="M192">
        <v>0</v>
      </c>
      <c r="N192" t="s">
        <v>17</v>
      </c>
      <c r="O192" s="1">
        <f>result[[#This Row],[n_killed_mutants_cumulativa]]/result[[#This Row],[tot_mutants]]</f>
        <v>0</v>
      </c>
    </row>
    <row r="193" spans="1:16" hidden="1" x14ac:dyDescent="0.25">
      <c r="A193" t="s">
        <v>62</v>
      </c>
      <c r="B193" t="s">
        <v>20</v>
      </c>
      <c r="C193" t="s">
        <v>16</v>
      </c>
      <c r="D193">
        <v>15529</v>
      </c>
      <c r="E193">
        <v>70</v>
      </c>
      <c r="F193">
        <v>40</v>
      </c>
      <c r="G193">
        <v>1600</v>
      </c>
      <c r="H193">
        <v>1600</v>
      </c>
      <c r="I193">
        <v>4534</v>
      </c>
      <c r="J193">
        <v>0</v>
      </c>
      <c r="K193">
        <v>0</v>
      </c>
      <c r="L193">
        <v>9</v>
      </c>
      <c r="M193">
        <v>0</v>
      </c>
      <c r="N193" t="s">
        <v>17</v>
      </c>
      <c r="O193" s="1">
        <f>result[[#This Row],[n_killed_mutants_cumulativa]]/result[[#This Row],[tot_mutants]]</f>
        <v>0</v>
      </c>
    </row>
    <row r="194" spans="1:16" hidden="1" x14ac:dyDescent="0.25">
      <c r="A194" t="s">
        <v>62</v>
      </c>
      <c r="B194" t="s">
        <v>21</v>
      </c>
      <c r="C194" t="s">
        <v>16</v>
      </c>
      <c r="D194">
        <v>22735</v>
      </c>
      <c r="E194">
        <v>143</v>
      </c>
      <c r="F194">
        <v>50</v>
      </c>
      <c r="G194">
        <v>2500</v>
      </c>
      <c r="H194">
        <v>2500</v>
      </c>
      <c r="I194">
        <v>7304</v>
      </c>
      <c r="J194">
        <v>0</v>
      </c>
      <c r="K194">
        <v>0</v>
      </c>
      <c r="L194">
        <v>9</v>
      </c>
      <c r="M194">
        <v>0</v>
      </c>
      <c r="N194" t="s">
        <v>17</v>
      </c>
      <c r="O194" s="1">
        <f>result[[#This Row],[n_killed_mutants_cumulativa]]/result[[#This Row],[tot_mutants]]</f>
        <v>0</v>
      </c>
    </row>
    <row r="195" spans="1:16" hidden="1" x14ac:dyDescent="0.25">
      <c r="A195" t="s">
        <v>62</v>
      </c>
      <c r="B195" t="s">
        <v>24</v>
      </c>
      <c r="C195" t="s">
        <v>16</v>
      </c>
      <c r="D195">
        <v>30745</v>
      </c>
      <c r="E195">
        <v>163</v>
      </c>
      <c r="F195">
        <v>60</v>
      </c>
      <c r="G195">
        <v>3600</v>
      </c>
      <c r="H195">
        <v>3600</v>
      </c>
      <c r="I195">
        <v>10432</v>
      </c>
      <c r="J195">
        <v>0</v>
      </c>
      <c r="K195">
        <v>0</v>
      </c>
      <c r="L195">
        <v>9</v>
      </c>
      <c r="M195">
        <v>0</v>
      </c>
      <c r="N195" t="s">
        <v>17</v>
      </c>
      <c r="O195" s="1">
        <f>result[[#This Row],[n_killed_mutants_cumulativa]]/result[[#This Row],[tot_mutants]]</f>
        <v>0</v>
      </c>
    </row>
    <row r="196" spans="1:16" hidden="1" x14ac:dyDescent="0.25">
      <c r="A196" t="s">
        <v>62</v>
      </c>
      <c r="B196" t="s">
        <v>25</v>
      </c>
      <c r="C196" t="s">
        <v>16</v>
      </c>
      <c r="D196">
        <v>41198</v>
      </c>
      <c r="E196">
        <v>161</v>
      </c>
      <c r="F196">
        <v>70</v>
      </c>
      <c r="G196">
        <v>4900</v>
      </c>
      <c r="H196">
        <v>4900</v>
      </c>
      <c r="I196">
        <v>14400</v>
      </c>
      <c r="J196">
        <v>0</v>
      </c>
      <c r="K196">
        <v>0</v>
      </c>
      <c r="L196">
        <v>9</v>
      </c>
      <c r="M196">
        <v>0</v>
      </c>
      <c r="N196" t="s">
        <v>17</v>
      </c>
      <c r="O196" s="1">
        <f>result[[#This Row],[n_killed_mutants_cumulativa]]/result[[#This Row],[tot_mutants]]</f>
        <v>0</v>
      </c>
    </row>
    <row r="197" spans="1:16" hidden="1" x14ac:dyDescent="0.25">
      <c r="A197" t="s">
        <v>62</v>
      </c>
      <c r="B197" t="s">
        <v>26</v>
      </c>
      <c r="C197" t="s">
        <v>16</v>
      </c>
      <c r="D197">
        <v>52839</v>
      </c>
      <c r="E197">
        <v>207</v>
      </c>
      <c r="F197">
        <v>80</v>
      </c>
      <c r="G197">
        <v>6400</v>
      </c>
      <c r="H197">
        <v>6400</v>
      </c>
      <c r="I197">
        <v>18804</v>
      </c>
      <c r="J197">
        <v>0</v>
      </c>
      <c r="K197">
        <v>0</v>
      </c>
      <c r="L197">
        <v>9</v>
      </c>
      <c r="M197">
        <v>0</v>
      </c>
      <c r="N197" t="s">
        <v>17</v>
      </c>
      <c r="O197" s="1">
        <f>result[[#This Row],[n_killed_mutants_cumulativa]]/result[[#This Row],[tot_mutants]]</f>
        <v>0</v>
      </c>
    </row>
    <row r="198" spans="1:16" hidden="1" x14ac:dyDescent="0.25">
      <c r="A198" t="s">
        <v>62</v>
      </c>
      <c r="B198" t="s">
        <v>27</v>
      </c>
      <c r="C198" t="s">
        <v>16</v>
      </c>
      <c r="D198">
        <v>66869</v>
      </c>
      <c r="E198">
        <v>268</v>
      </c>
      <c r="F198">
        <v>90</v>
      </c>
      <c r="G198">
        <v>8100</v>
      </c>
      <c r="H198">
        <v>8100</v>
      </c>
      <c r="I198">
        <v>23900</v>
      </c>
      <c r="J198">
        <v>0</v>
      </c>
      <c r="K198">
        <v>0</v>
      </c>
      <c r="L198">
        <v>9</v>
      </c>
      <c r="M198">
        <v>0</v>
      </c>
      <c r="N198" t="s">
        <v>17</v>
      </c>
      <c r="O198" s="1">
        <f>result[[#This Row],[n_killed_mutants_cumulativa]]/result[[#This Row],[tot_mutants]]</f>
        <v>0</v>
      </c>
    </row>
    <row r="199" spans="1:16" hidden="1" x14ac:dyDescent="0.25">
      <c r="A199" t="s">
        <v>62</v>
      </c>
      <c r="B199" t="s">
        <v>30</v>
      </c>
      <c r="C199" t="s">
        <v>16</v>
      </c>
      <c r="D199">
        <v>84631</v>
      </c>
      <c r="E199">
        <v>326</v>
      </c>
      <c r="F199">
        <v>100</v>
      </c>
      <c r="G199">
        <v>10000</v>
      </c>
      <c r="H199">
        <v>10000</v>
      </c>
      <c r="I199">
        <v>29540</v>
      </c>
      <c r="J199">
        <v>0</v>
      </c>
      <c r="K199">
        <v>0</v>
      </c>
      <c r="L199">
        <v>9</v>
      </c>
      <c r="M199">
        <v>0</v>
      </c>
      <c r="N199" t="s">
        <v>17</v>
      </c>
      <c r="O199" s="1">
        <f>result[[#This Row],[n_killed_mutants_cumulativa]]/result[[#This Row],[tot_mutants]]</f>
        <v>0</v>
      </c>
    </row>
    <row r="200" spans="1:16" hidden="1" x14ac:dyDescent="0.25">
      <c r="A200" t="s">
        <v>62</v>
      </c>
      <c r="B200" t="s">
        <v>31</v>
      </c>
      <c r="C200" t="s">
        <v>16</v>
      </c>
      <c r="D200">
        <v>103279</v>
      </c>
      <c r="E200">
        <v>480</v>
      </c>
      <c r="F200">
        <v>110</v>
      </c>
      <c r="G200">
        <v>12100</v>
      </c>
      <c r="H200">
        <v>12100</v>
      </c>
      <c r="I200">
        <v>35872</v>
      </c>
      <c r="J200">
        <v>0</v>
      </c>
      <c r="K200">
        <v>0</v>
      </c>
      <c r="L200">
        <v>9</v>
      </c>
      <c r="M200">
        <v>0</v>
      </c>
      <c r="N200" t="s">
        <v>17</v>
      </c>
      <c r="O200" s="1">
        <f>result[[#This Row],[n_killed_mutants_cumulativa]]/result[[#This Row],[tot_mutants]]</f>
        <v>0</v>
      </c>
    </row>
    <row r="201" spans="1:16" hidden="1" x14ac:dyDescent="0.25">
      <c r="A201" t="s">
        <v>62</v>
      </c>
      <c r="B201" t="s">
        <v>36</v>
      </c>
      <c r="C201" t="s">
        <v>16</v>
      </c>
      <c r="D201">
        <v>123911</v>
      </c>
      <c r="E201">
        <v>470</v>
      </c>
      <c r="F201">
        <v>120</v>
      </c>
      <c r="G201">
        <v>14400</v>
      </c>
      <c r="H201">
        <v>14400</v>
      </c>
      <c r="I201">
        <v>42618</v>
      </c>
      <c r="J201">
        <v>0</v>
      </c>
      <c r="K201">
        <v>0</v>
      </c>
      <c r="L201">
        <v>9</v>
      </c>
      <c r="M201">
        <v>0</v>
      </c>
      <c r="N201" t="s">
        <v>17</v>
      </c>
      <c r="O201" s="1">
        <f>result[[#This Row],[n_killed_mutants_cumulativa]]/result[[#This Row],[tot_mutants]]</f>
        <v>0</v>
      </c>
    </row>
    <row r="202" spans="1:16" hidden="1" x14ac:dyDescent="0.25">
      <c r="A202" t="s">
        <v>62</v>
      </c>
      <c r="B202" t="s">
        <v>40</v>
      </c>
      <c r="C202" t="s">
        <v>16</v>
      </c>
      <c r="D202">
        <v>147471</v>
      </c>
      <c r="E202">
        <v>534</v>
      </c>
      <c r="F202">
        <v>130</v>
      </c>
      <c r="G202">
        <v>16900</v>
      </c>
      <c r="H202">
        <v>16900</v>
      </c>
      <c r="I202">
        <v>49966</v>
      </c>
      <c r="J202">
        <v>0</v>
      </c>
      <c r="K202">
        <v>0</v>
      </c>
      <c r="L202">
        <v>9</v>
      </c>
      <c r="M202">
        <v>0</v>
      </c>
      <c r="N202" t="s">
        <v>17</v>
      </c>
      <c r="O202" s="1">
        <f>result[[#This Row],[n_killed_mutants_cumulativa]]/result[[#This Row],[tot_mutants]]</f>
        <v>0</v>
      </c>
    </row>
    <row r="203" spans="1:16" hidden="1" x14ac:dyDescent="0.25">
      <c r="A203" t="s">
        <v>62</v>
      </c>
      <c r="B203" t="s">
        <v>22</v>
      </c>
      <c r="C203" t="s">
        <v>16</v>
      </c>
      <c r="D203">
        <v>710836</v>
      </c>
      <c r="E203">
        <v>2994</v>
      </c>
      <c r="F203">
        <v>910</v>
      </c>
      <c r="G203">
        <v>81900</v>
      </c>
      <c r="H203">
        <v>81900</v>
      </c>
      <c r="I203">
        <v>241328</v>
      </c>
      <c r="J203">
        <v>0</v>
      </c>
      <c r="K203">
        <v>0</v>
      </c>
      <c r="L203">
        <v>9</v>
      </c>
      <c r="M203">
        <v>0</v>
      </c>
      <c r="N203" t="s">
        <v>17</v>
      </c>
      <c r="O203" s="1">
        <f>result[[#This Row],[n_killed_mutants_cumulativa]]/result[[#This Row],[tot_mutants]]</f>
        <v>0</v>
      </c>
      <c r="P203" s="9" t="s">
        <v>357</v>
      </c>
    </row>
    <row r="204" spans="1:16" hidden="1" x14ac:dyDescent="0.25">
      <c r="A204" t="s">
        <v>63</v>
      </c>
      <c r="B204" t="s">
        <v>15</v>
      </c>
      <c r="C204" t="s">
        <v>16</v>
      </c>
      <c r="D204">
        <v>1781</v>
      </c>
      <c r="E204">
        <v>186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10</v>
      </c>
      <c r="L204">
        <v>15</v>
      </c>
      <c r="M204">
        <v>0</v>
      </c>
      <c r="N204" t="s">
        <v>17</v>
      </c>
      <c r="O204" s="1">
        <f>result[[#This Row],[n_killed_mutants_cumulativa]]/result[[#This Row],[tot_mutants]]</f>
        <v>0</v>
      </c>
    </row>
    <row r="205" spans="1:16" hidden="1" x14ac:dyDescent="0.25">
      <c r="A205" t="s">
        <v>63</v>
      </c>
      <c r="B205" t="s">
        <v>18</v>
      </c>
      <c r="C205" t="s">
        <v>16</v>
      </c>
      <c r="D205">
        <v>1512</v>
      </c>
      <c r="E205">
        <v>313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20</v>
      </c>
      <c r="L205">
        <v>15</v>
      </c>
      <c r="M205">
        <v>0</v>
      </c>
      <c r="N205" t="s">
        <v>17</v>
      </c>
      <c r="O205" s="1">
        <f>result[[#This Row],[n_killed_mutants_cumulativa]]/result[[#This Row],[tot_mutants]]</f>
        <v>0</v>
      </c>
    </row>
    <row r="206" spans="1:16" hidden="1" x14ac:dyDescent="0.25">
      <c r="A206" t="s">
        <v>63</v>
      </c>
      <c r="B206" t="s">
        <v>19</v>
      </c>
      <c r="C206" t="s">
        <v>16</v>
      </c>
      <c r="D206">
        <v>1377</v>
      </c>
      <c r="E206">
        <v>301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30</v>
      </c>
      <c r="L206">
        <v>15</v>
      </c>
      <c r="M206">
        <v>0</v>
      </c>
      <c r="N206" t="s">
        <v>17</v>
      </c>
      <c r="O206" s="1">
        <f>result[[#This Row],[n_killed_mutants_cumulativa]]/result[[#This Row],[tot_mutants]]</f>
        <v>0</v>
      </c>
    </row>
    <row r="207" spans="1:16" hidden="1" x14ac:dyDescent="0.25">
      <c r="A207" t="s">
        <v>63</v>
      </c>
      <c r="B207" t="s">
        <v>20</v>
      </c>
      <c r="C207" t="s">
        <v>16</v>
      </c>
      <c r="D207">
        <v>1609</v>
      </c>
      <c r="E207">
        <v>399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40</v>
      </c>
      <c r="L207">
        <v>15</v>
      </c>
      <c r="M207">
        <v>0</v>
      </c>
      <c r="N207" t="s">
        <v>17</v>
      </c>
      <c r="O207" s="1">
        <f>result[[#This Row],[n_killed_mutants_cumulativa]]/result[[#This Row],[tot_mutants]]</f>
        <v>0</v>
      </c>
    </row>
    <row r="208" spans="1:16" hidden="1" x14ac:dyDescent="0.25">
      <c r="A208" t="s">
        <v>63</v>
      </c>
      <c r="B208" t="s">
        <v>21</v>
      </c>
      <c r="C208" t="s">
        <v>16</v>
      </c>
      <c r="D208">
        <v>2226</v>
      </c>
      <c r="E208">
        <v>565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50</v>
      </c>
      <c r="L208">
        <v>15</v>
      </c>
      <c r="M208">
        <v>0</v>
      </c>
      <c r="N208" t="s">
        <v>17</v>
      </c>
      <c r="O208" s="1">
        <f>result[[#This Row],[n_killed_mutants_cumulativa]]/result[[#This Row],[tot_mutants]]</f>
        <v>0</v>
      </c>
    </row>
    <row r="209" spans="1:15" hidden="1" x14ac:dyDescent="0.25">
      <c r="A209" t="s">
        <v>63</v>
      </c>
      <c r="B209" t="s">
        <v>22</v>
      </c>
      <c r="C209" t="s">
        <v>16</v>
      </c>
      <c r="D209">
        <v>8505</v>
      </c>
      <c r="E209">
        <v>1764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150</v>
      </c>
      <c r="L209">
        <v>15</v>
      </c>
      <c r="M209">
        <v>0</v>
      </c>
      <c r="N209" t="s">
        <v>17</v>
      </c>
      <c r="O209" s="1">
        <f>result[[#This Row],[n_killed_mutants_cumulativa]]/result[[#This Row],[tot_mutants]]</f>
        <v>0</v>
      </c>
    </row>
    <row r="210" spans="1:15" hidden="1" x14ac:dyDescent="0.25">
      <c r="A210" t="s">
        <v>64</v>
      </c>
      <c r="B210" t="s">
        <v>15</v>
      </c>
      <c r="C210" t="s">
        <v>16</v>
      </c>
      <c r="D210">
        <v>4198</v>
      </c>
      <c r="E210">
        <v>2807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10</v>
      </c>
      <c r="L210">
        <v>7</v>
      </c>
      <c r="M210">
        <v>0</v>
      </c>
      <c r="N210" t="s">
        <v>17</v>
      </c>
      <c r="O210" s="1">
        <f>result[[#This Row],[n_killed_mutants_cumulativa]]/result[[#This Row],[tot_mutants]]</f>
        <v>0</v>
      </c>
    </row>
    <row r="211" spans="1:15" hidden="1" x14ac:dyDescent="0.25">
      <c r="A211" t="s">
        <v>64</v>
      </c>
      <c r="B211" t="s">
        <v>18</v>
      </c>
      <c r="C211" t="s">
        <v>16</v>
      </c>
      <c r="D211">
        <v>11875</v>
      </c>
      <c r="E211">
        <v>11252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20</v>
      </c>
      <c r="L211">
        <v>7</v>
      </c>
      <c r="M211">
        <v>0</v>
      </c>
      <c r="N211" t="s">
        <v>17</v>
      </c>
      <c r="O211" s="1">
        <f>result[[#This Row],[n_killed_mutants_cumulativa]]/result[[#This Row],[tot_mutants]]</f>
        <v>0</v>
      </c>
    </row>
    <row r="212" spans="1:15" hidden="1" x14ac:dyDescent="0.25">
      <c r="A212" t="s">
        <v>64</v>
      </c>
      <c r="B212" t="s">
        <v>19</v>
      </c>
      <c r="C212" t="s">
        <v>16</v>
      </c>
      <c r="D212">
        <v>33981</v>
      </c>
      <c r="E212">
        <v>33195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30</v>
      </c>
      <c r="L212">
        <v>7</v>
      </c>
      <c r="M212">
        <v>0</v>
      </c>
      <c r="N212" t="s">
        <v>17</v>
      </c>
      <c r="O212" s="1">
        <f>result[[#This Row],[n_killed_mutants_cumulativa]]/result[[#This Row],[tot_mutants]]</f>
        <v>0</v>
      </c>
    </row>
    <row r="213" spans="1:15" hidden="1" x14ac:dyDescent="0.25">
      <c r="A213" t="s">
        <v>64</v>
      </c>
      <c r="B213" t="s">
        <v>20</v>
      </c>
      <c r="C213" t="s">
        <v>16</v>
      </c>
      <c r="D213">
        <v>78016</v>
      </c>
      <c r="E213">
        <v>76977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40</v>
      </c>
      <c r="L213">
        <v>7</v>
      </c>
      <c r="M213">
        <v>0</v>
      </c>
      <c r="N213" t="s">
        <v>17</v>
      </c>
      <c r="O213" s="1">
        <f>result[[#This Row],[n_killed_mutants_cumulativa]]/result[[#This Row],[tot_mutants]]</f>
        <v>0</v>
      </c>
    </row>
    <row r="214" spans="1:15" hidden="1" x14ac:dyDescent="0.25">
      <c r="A214" t="s">
        <v>64</v>
      </c>
      <c r="B214" t="s">
        <v>21</v>
      </c>
      <c r="C214" t="s">
        <v>16</v>
      </c>
      <c r="D214">
        <v>149608</v>
      </c>
      <c r="E214">
        <v>148387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50</v>
      </c>
      <c r="L214">
        <v>7</v>
      </c>
      <c r="M214">
        <v>0</v>
      </c>
      <c r="N214" t="s">
        <v>17</v>
      </c>
      <c r="O214" s="1">
        <f>result[[#This Row],[n_killed_mutants_cumulativa]]/result[[#This Row],[tot_mutants]]</f>
        <v>0</v>
      </c>
    </row>
    <row r="215" spans="1:15" hidden="1" x14ac:dyDescent="0.25">
      <c r="A215" t="s">
        <v>64</v>
      </c>
      <c r="B215" t="s">
        <v>22</v>
      </c>
      <c r="C215" t="s">
        <v>16</v>
      </c>
      <c r="D215">
        <v>277678</v>
      </c>
      <c r="E215">
        <v>272618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150</v>
      </c>
      <c r="L215">
        <v>7</v>
      </c>
      <c r="M215">
        <v>0</v>
      </c>
      <c r="N215" t="s">
        <v>17</v>
      </c>
      <c r="O215" s="1">
        <f>result[[#This Row],[n_killed_mutants_cumulativa]]/result[[#This Row],[tot_mutants]]</f>
        <v>0</v>
      </c>
    </row>
    <row r="216" spans="1:15" hidden="1" x14ac:dyDescent="0.25">
      <c r="A216" t="s">
        <v>65</v>
      </c>
      <c r="B216" t="s">
        <v>15</v>
      </c>
      <c r="C216" t="s">
        <v>16</v>
      </c>
      <c r="D216">
        <v>3374</v>
      </c>
      <c r="E216">
        <v>866</v>
      </c>
      <c r="F216">
        <v>0</v>
      </c>
      <c r="G216">
        <v>0</v>
      </c>
      <c r="H216">
        <v>0</v>
      </c>
      <c r="I216">
        <v>0</v>
      </c>
      <c r="J216">
        <v>9</v>
      </c>
      <c r="K216">
        <v>1</v>
      </c>
      <c r="L216">
        <v>31</v>
      </c>
      <c r="M216">
        <v>0</v>
      </c>
      <c r="N216" t="s">
        <v>17</v>
      </c>
      <c r="O216" s="1">
        <f>result[[#This Row],[n_killed_mutants_cumulativa]]/result[[#This Row],[tot_mutants]]</f>
        <v>0</v>
      </c>
    </row>
    <row r="217" spans="1:15" hidden="1" x14ac:dyDescent="0.25">
      <c r="A217" t="s">
        <v>65</v>
      </c>
      <c r="B217" t="s">
        <v>18</v>
      </c>
      <c r="C217" t="s">
        <v>16</v>
      </c>
      <c r="D217">
        <v>3346</v>
      </c>
      <c r="E217">
        <v>1588</v>
      </c>
      <c r="F217">
        <v>0</v>
      </c>
      <c r="G217">
        <v>0</v>
      </c>
      <c r="H217">
        <v>0</v>
      </c>
      <c r="I217">
        <v>0</v>
      </c>
      <c r="J217">
        <v>13</v>
      </c>
      <c r="K217">
        <v>7</v>
      </c>
      <c r="L217">
        <v>31</v>
      </c>
      <c r="M217">
        <v>0</v>
      </c>
      <c r="N217" t="s">
        <v>17</v>
      </c>
      <c r="O217" s="1">
        <f>result[[#This Row],[n_killed_mutants_cumulativa]]/result[[#This Row],[tot_mutants]]</f>
        <v>0</v>
      </c>
    </row>
    <row r="218" spans="1:15" hidden="1" x14ac:dyDescent="0.25">
      <c r="A218" t="s">
        <v>65</v>
      </c>
      <c r="B218" t="s">
        <v>19</v>
      </c>
      <c r="C218" t="s">
        <v>16</v>
      </c>
      <c r="D218">
        <v>4722</v>
      </c>
      <c r="E218">
        <v>2410</v>
      </c>
      <c r="F218">
        <v>0</v>
      </c>
      <c r="G218">
        <v>0</v>
      </c>
      <c r="H218">
        <v>0</v>
      </c>
      <c r="I218">
        <v>0</v>
      </c>
      <c r="J218">
        <v>19</v>
      </c>
      <c r="K218">
        <v>11</v>
      </c>
      <c r="L218">
        <v>31</v>
      </c>
      <c r="M218">
        <v>0</v>
      </c>
      <c r="N218" t="s">
        <v>17</v>
      </c>
      <c r="O218" s="1">
        <f>result[[#This Row],[n_killed_mutants_cumulativa]]/result[[#This Row],[tot_mutants]]</f>
        <v>0</v>
      </c>
    </row>
    <row r="219" spans="1:15" hidden="1" x14ac:dyDescent="0.25">
      <c r="A219" t="s">
        <v>65</v>
      </c>
      <c r="B219" t="s">
        <v>20</v>
      </c>
      <c r="C219" t="s">
        <v>16</v>
      </c>
      <c r="D219">
        <v>7289</v>
      </c>
      <c r="E219">
        <v>4165</v>
      </c>
      <c r="F219">
        <v>0</v>
      </c>
      <c r="G219">
        <v>0</v>
      </c>
      <c r="H219">
        <v>0</v>
      </c>
      <c r="I219">
        <v>0</v>
      </c>
      <c r="J219">
        <v>24</v>
      </c>
      <c r="K219">
        <v>16</v>
      </c>
      <c r="L219">
        <v>31</v>
      </c>
      <c r="M219">
        <v>0</v>
      </c>
      <c r="N219" t="s">
        <v>17</v>
      </c>
      <c r="O219" s="1">
        <f>result[[#This Row],[n_killed_mutants_cumulativa]]/result[[#This Row],[tot_mutants]]</f>
        <v>0</v>
      </c>
    </row>
    <row r="220" spans="1:15" hidden="1" x14ac:dyDescent="0.25">
      <c r="A220" t="s">
        <v>65</v>
      </c>
      <c r="B220" t="s">
        <v>21</v>
      </c>
      <c r="C220" t="s">
        <v>16</v>
      </c>
      <c r="D220">
        <v>10175</v>
      </c>
      <c r="E220">
        <v>6379</v>
      </c>
      <c r="F220">
        <v>0</v>
      </c>
      <c r="G220">
        <v>0</v>
      </c>
      <c r="H220">
        <v>0</v>
      </c>
      <c r="I220">
        <v>0</v>
      </c>
      <c r="J220">
        <v>25</v>
      </c>
      <c r="K220">
        <v>25</v>
      </c>
      <c r="L220">
        <v>31</v>
      </c>
      <c r="M220">
        <v>0</v>
      </c>
      <c r="N220" t="s">
        <v>17</v>
      </c>
      <c r="O220" s="1">
        <f>result[[#This Row],[n_killed_mutants_cumulativa]]/result[[#This Row],[tot_mutants]]</f>
        <v>0</v>
      </c>
    </row>
    <row r="221" spans="1:15" hidden="1" x14ac:dyDescent="0.25">
      <c r="A221" t="s">
        <v>65</v>
      </c>
      <c r="B221" t="s">
        <v>22</v>
      </c>
      <c r="C221" t="s">
        <v>16</v>
      </c>
      <c r="D221">
        <v>28906</v>
      </c>
      <c r="E221">
        <v>15408</v>
      </c>
      <c r="F221">
        <v>0</v>
      </c>
      <c r="G221">
        <v>0</v>
      </c>
      <c r="H221">
        <v>0</v>
      </c>
      <c r="I221">
        <v>0</v>
      </c>
      <c r="J221">
        <v>90</v>
      </c>
      <c r="K221">
        <v>60</v>
      </c>
      <c r="L221">
        <v>31</v>
      </c>
      <c r="M221">
        <v>0</v>
      </c>
      <c r="N221" t="s">
        <v>17</v>
      </c>
      <c r="O221" s="1">
        <f>result[[#This Row],[n_killed_mutants_cumulativa]]/result[[#This Row],[tot_mutants]]</f>
        <v>0</v>
      </c>
    </row>
    <row r="222" spans="1:15" hidden="1" x14ac:dyDescent="0.25">
      <c r="A222" t="s">
        <v>66</v>
      </c>
      <c r="B222" t="s">
        <v>15</v>
      </c>
      <c r="C222" t="s">
        <v>16</v>
      </c>
      <c r="D222">
        <v>2134</v>
      </c>
      <c r="E222">
        <v>103</v>
      </c>
      <c r="F222">
        <v>10</v>
      </c>
      <c r="G222">
        <v>7</v>
      </c>
      <c r="H222">
        <v>26</v>
      </c>
      <c r="I222">
        <v>33</v>
      </c>
      <c r="J222">
        <v>0</v>
      </c>
      <c r="K222">
        <v>0</v>
      </c>
      <c r="L222">
        <v>1</v>
      </c>
      <c r="M222">
        <v>0</v>
      </c>
      <c r="N222" t="s">
        <v>17</v>
      </c>
      <c r="O222" s="1">
        <f>result[[#This Row],[n_killed_mutants_cumulativa]]/result[[#This Row],[tot_mutants]]</f>
        <v>0</v>
      </c>
    </row>
    <row r="223" spans="1:15" hidden="1" x14ac:dyDescent="0.25">
      <c r="A223" t="s">
        <v>66</v>
      </c>
      <c r="B223" t="s">
        <v>18</v>
      </c>
      <c r="C223" t="s">
        <v>16</v>
      </c>
      <c r="D223">
        <v>1547</v>
      </c>
      <c r="E223">
        <v>74</v>
      </c>
      <c r="F223">
        <v>20</v>
      </c>
      <c r="G223">
        <v>25</v>
      </c>
      <c r="H223">
        <v>95</v>
      </c>
      <c r="I223">
        <v>126</v>
      </c>
      <c r="J223">
        <v>0</v>
      </c>
      <c r="K223">
        <v>0</v>
      </c>
      <c r="L223">
        <v>1</v>
      </c>
      <c r="M223">
        <v>0</v>
      </c>
      <c r="N223" t="s">
        <v>17</v>
      </c>
      <c r="O223" s="1">
        <f>result[[#This Row],[n_killed_mutants_cumulativa]]/result[[#This Row],[tot_mutants]]</f>
        <v>0</v>
      </c>
    </row>
    <row r="224" spans="1:15" hidden="1" x14ac:dyDescent="0.25">
      <c r="A224" t="s">
        <v>66</v>
      </c>
      <c r="B224" t="s">
        <v>19</v>
      </c>
      <c r="C224" t="s">
        <v>16</v>
      </c>
      <c r="D224">
        <v>1584</v>
      </c>
      <c r="E224">
        <v>34</v>
      </c>
      <c r="F224">
        <v>30</v>
      </c>
      <c r="G224">
        <v>32</v>
      </c>
      <c r="H224">
        <v>118</v>
      </c>
      <c r="I224">
        <v>153</v>
      </c>
      <c r="J224">
        <v>0</v>
      </c>
      <c r="K224">
        <v>0</v>
      </c>
      <c r="L224">
        <v>1</v>
      </c>
      <c r="M224">
        <v>0</v>
      </c>
      <c r="N224" t="s">
        <v>17</v>
      </c>
      <c r="O224" s="1">
        <f>result[[#This Row],[n_killed_mutants_cumulativa]]/result[[#This Row],[tot_mutants]]</f>
        <v>0</v>
      </c>
    </row>
    <row r="225" spans="1:15" hidden="1" x14ac:dyDescent="0.25">
      <c r="A225" t="s">
        <v>66</v>
      </c>
      <c r="B225" t="s">
        <v>20</v>
      </c>
      <c r="C225" t="s">
        <v>16</v>
      </c>
      <c r="D225">
        <v>1769</v>
      </c>
      <c r="E225">
        <v>38</v>
      </c>
      <c r="F225">
        <v>40</v>
      </c>
      <c r="G225">
        <v>42</v>
      </c>
      <c r="H225">
        <v>131</v>
      </c>
      <c r="I225">
        <v>177</v>
      </c>
      <c r="J225">
        <v>0</v>
      </c>
      <c r="K225">
        <v>0</v>
      </c>
      <c r="L225">
        <v>1</v>
      </c>
      <c r="M225">
        <v>0</v>
      </c>
      <c r="N225" t="s">
        <v>17</v>
      </c>
      <c r="O225" s="1">
        <f>result[[#This Row],[n_killed_mutants_cumulativa]]/result[[#This Row],[tot_mutants]]</f>
        <v>0</v>
      </c>
    </row>
    <row r="226" spans="1:15" hidden="1" x14ac:dyDescent="0.25">
      <c r="A226" t="s">
        <v>66</v>
      </c>
      <c r="B226" t="s">
        <v>21</v>
      </c>
      <c r="C226" t="s">
        <v>16</v>
      </c>
      <c r="D226">
        <v>1937</v>
      </c>
      <c r="E226">
        <v>30</v>
      </c>
      <c r="F226">
        <v>50</v>
      </c>
      <c r="G226">
        <v>35</v>
      </c>
      <c r="H226">
        <v>149</v>
      </c>
      <c r="I226">
        <v>189</v>
      </c>
      <c r="J226">
        <v>0</v>
      </c>
      <c r="K226">
        <v>0</v>
      </c>
      <c r="L226">
        <v>1</v>
      </c>
      <c r="M226">
        <v>0</v>
      </c>
      <c r="N226" t="s">
        <v>17</v>
      </c>
      <c r="O226" s="1">
        <f>result[[#This Row],[n_killed_mutants_cumulativa]]/result[[#This Row],[tot_mutants]]</f>
        <v>0</v>
      </c>
    </row>
    <row r="227" spans="1:15" hidden="1" x14ac:dyDescent="0.25">
      <c r="A227" t="s">
        <v>66</v>
      </c>
      <c r="B227" t="s">
        <v>24</v>
      </c>
      <c r="C227" t="s">
        <v>16</v>
      </c>
      <c r="D227">
        <v>2259</v>
      </c>
      <c r="E227">
        <v>46</v>
      </c>
      <c r="F227">
        <v>60</v>
      </c>
      <c r="G227">
        <v>74</v>
      </c>
      <c r="H227">
        <v>251</v>
      </c>
      <c r="I227">
        <v>333</v>
      </c>
      <c r="J227">
        <v>0</v>
      </c>
      <c r="K227">
        <v>0</v>
      </c>
      <c r="L227">
        <v>1</v>
      </c>
      <c r="M227">
        <v>0</v>
      </c>
      <c r="N227" t="s">
        <v>17</v>
      </c>
      <c r="O227" s="1">
        <f>result[[#This Row],[n_killed_mutants_cumulativa]]/result[[#This Row],[tot_mutants]]</f>
        <v>0</v>
      </c>
    </row>
    <row r="228" spans="1:15" hidden="1" x14ac:dyDescent="0.25">
      <c r="A228" t="s">
        <v>66</v>
      </c>
      <c r="B228" t="s">
        <v>25</v>
      </c>
      <c r="C228" t="s">
        <v>16</v>
      </c>
      <c r="D228">
        <v>2695</v>
      </c>
      <c r="E228">
        <v>46</v>
      </c>
      <c r="F228">
        <v>70</v>
      </c>
      <c r="G228">
        <v>80</v>
      </c>
      <c r="H228">
        <v>282</v>
      </c>
      <c r="I228">
        <v>372</v>
      </c>
      <c r="J228">
        <v>0</v>
      </c>
      <c r="K228">
        <v>0</v>
      </c>
      <c r="L228">
        <v>1</v>
      </c>
      <c r="M228">
        <v>0</v>
      </c>
      <c r="N228" t="s">
        <v>17</v>
      </c>
      <c r="O228" s="1">
        <f>result[[#This Row],[n_killed_mutants_cumulativa]]/result[[#This Row],[tot_mutants]]</f>
        <v>0</v>
      </c>
    </row>
    <row r="229" spans="1:15" hidden="1" x14ac:dyDescent="0.25">
      <c r="A229" t="s">
        <v>66</v>
      </c>
      <c r="B229" t="s">
        <v>26</v>
      </c>
      <c r="C229" t="s">
        <v>16</v>
      </c>
      <c r="D229">
        <v>2856</v>
      </c>
      <c r="E229">
        <v>50</v>
      </c>
      <c r="F229">
        <v>80</v>
      </c>
      <c r="G229">
        <v>104</v>
      </c>
      <c r="H229">
        <v>355</v>
      </c>
      <c r="I229">
        <v>468</v>
      </c>
      <c r="J229">
        <v>0</v>
      </c>
      <c r="K229">
        <v>0</v>
      </c>
      <c r="L229">
        <v>1</v>
      </c>
      <c r="M229">
        <v>0</v>
      </c>
      <c r="N229" t="s">
        <v>17</v>
      </c>
      <c r="O229" s="1">
        <f>result[[#This Row],[n_killed_mutants_cumulativa]]/result[[#This Row],[tot_mutants]]</f>
        <v>0</v>
      </c>
    </row>
    <row r="230" spans="1:15" hidden="1" x14ac:dyDescent="0.25">
      <c r="A230" t="s">
        <v>66</v>
      </c>
      <c r="B230" t="s">
        <v>27</v>
      </c>
      <c r="C230" t="s">
        <v>16</v>
      </c>
      <c r="D230">
        <v>3126</v>
      </c>
      <c r="E230">
        <v>46</v>
      </c>
      <c r="F230">
        <v>90</v>
      </c>
      <c r="G230">
        <v>83</v>
      </c>
      <c r="H230">
        <v>329</v>
      </c>
      <c r="I230">
        <v>426</v>
      </c>
      <c r="J230">
        <v>0</v>
      </c>
      <c r="K230">
        <v>0</v>
      </c>
      <c r="L230">
        <v>1</v>
      </c>
      <c r="M230">
        <v>0</v>
      </c>
      <c r="N230" t="s">
        <v>17</v>
      </c>
      <c r="O230" s="1">
        <f>result[[#This Row],[n_killed_mutants_cumulativa]]/result[[#This Row],[tot_mutants]]</f>
        <v>0</v>
      </c>
    </row>
    <row r="231" spans="1:15" hidden="1" x14ac:dyDescent="0.25">
      <c r="A231" t="s">
        <v>66</v>
      </c>
      <c r="B231" t="s">
        <v>30</v>
      </c>
      <c r="C231" t="s">
        <v>16</v>
      </c>
      <c r="D231">
        <v>3314</v>
      </c>
      <c r="E231">
        <v>50</v>
      </c>
      <c r="F231">
        <v>100</v>
      </c>
      <c r="G231">
        <v>97</v>
      </c>
      <c r="H231">
        <v>351</v>
      </c>
      <c r="I231">
        <v>462</v>
      </c>
      <c r="J231">
        <v>0</v>
      </c>
      <c r="K231">
        <v>0</v>
      </c>
      <c r="L231">
        <v>1</v>
      </c>
      <c r="M231">
        <v>0</v>
      </c>
      <c r="N231" t="s">
        <v>17</v>
      </c>
      <c r="O231" s="1">
        <f>result[[#This Row],[n_killed_mutants_cumulativa]]/result[[#This Row],[tot_mutants]]</f>
        <v>0</v>
      </c>
    </row>
    <row r="232" spans="1:15" hidden="1" x14ac:dyDescent="0.25">
      <c r="A232" t="s">
        <v>66</v>
      </c>
      <c r="B232" t="s">
        <v>31</v>
      </c>
      <c r="C232" t="s">
        <v>16</v>
      </c>
      <c r="D232">
        <v>3563</v>
      </c>
      <c r="E232">
        <v>64</v>
      </c>
      <c r="F232">
        <v>110</v>
      </c>
      <c r="G232">
        <v>115</v>
      </c>
      <c r="H232">
        <v>428</v>
      </c>
      <c r="I232">
        <v>555</v>
      </c>
      <c r="J232">
        <v>0</v>
      </c>
      <c r="K232">
        <v>0</v>
      </c>
      <c r="L232">
        <v>1</v>
      </c>
      <c r="M232">
        <v>0</v>
      </c>
      <c r="N232" t="s">
        <v>17</v>
      </c>
      <c r="O232" s="1">
        <f>result[[#This Row],[n_killed_mutants_cumulativa]]/result[[#This Row],[tot_mutants]]</f>
        <v>0</v>
      </c>
    </row>
    <row r="233" spans="1:15" hidden="1" x14ac:dyDescent="0.25">
      <c r="A233" t="s">
        <v>66</v>
      </c>
      <c r="B233" t="s">
        <v>36</v>
      </c>
      <c r="C233" t="s">
        <v>16</v>
      </c>
      <c r="D233">
        <v>3890</v>
      </c>
      <c r="E233">
        <v>72</v>
      </c>
      <c r="F233">
        <v>120</v>
      </c>
      <c r="G233">
        <v>141</v>
      </c>
      <c r="H233">
        <v>489</v>
      </c>
      <c r="I233">
        <v>645</v>
      </c>
      <c r="J233">
        <v>0</v>
      </c>
      <c r="K233">
        <v>0</v>
      </c>
      <c r="L233">
        <v>1</v>
      </c>
      <c r="M233">
        <v>0</v>
      </c>
      <c r="N233" t="s">
        <v>17</v>
      </c>
      <c r="O233" s="1">
        <f>result[[#This Row],[n_killed_mutants_cumulativa]]/result[[#This Row],[tot_mutants]]</f>
        <v>0</v>
      </c>
    </row>
    <row r="234" spans="1:15" hidden="1" x14ac:dyDescent="0.25">
      <c r="A234" t="s">
        <v>66</v>
      </c>
      <c r="B234" t="s">
        <v>40</v>
      </c>
      <c r="C234" t="s">
        <v>16</v>
      </c>
      <c r="D234">
        <v>4298</v>
      </c>
      <c r="E234">
        <v>84</v>
      </c>
      <c r="F234">
        <v>130</v>
      </c>
      <c r="G234">
        <v>172</v>
      </c>
      <c r="H234">
        <v>585</v>
      </c>
      <c r="I234">
        <v>783</v>
      </c>
      <c r="J234">
        <v>0</v>
      </c>
      <c r="K234">
        <v>0</v>
      </c>
      <c r="L234">
        <v>1</v>
      </c>
      <c r="M234">
        <v>0</v>
      </c>
      <c r="N234" t="s">
        <v>17</v>
      </c>
      <c r="O234" s="1">
        <f>result[[#This Row],[n_killed_mutants_cumulativa]]/result[[#This Row],[tot_mutants]]</f>
        <v>0</v>
      </c>
    </row>
    <row r="235" spans="1:15" hidden="1" x14ac:dyDescent="0.25">
      <c r="A235" t="s">
        <v>66</v>
      </c>
      <c r="B235" t="s">
        <v>47</v>
      </c>
      <c r="C235" t="s">
        <v>16</v>
      </c>
      <c r="D235">
        <v>4425</v>
      </c>
      <c r="E235">
        <v>80</v>
      </c>
      <c r="F235">
        <v>140</v>
      </c>
      <c r="G235">
        <v>165</v>
      </c>
      <c r="H235">
        <v>589</v>
      </c>
      <c r="I235">
        <v>780</v>
      </c>
      <c r="J235">
        <v>0</v>
      </c>
      <c r="K235">
        <v>0</v>
      </c>
      <c r="L235">
        <v>1</v>
      </c>
      <c r="M235">
        <v>0</v>
      </c>
      <c r="N235" t="s">
        <v>17</v>
      </c>
      <c r="O235" s="1">
        <f>result[[#This Row],[n_killed_mutants_cumulativa]]/result[[#This Row],[tot_mutants]]</f>
        <v>0</v>
      </c>
    </row>
    <row r="236" spans="1:15" hidden="1" x14ac:dyDescent="0.25">
      <c r="A236" t="s">
        <v>66</v>
      </c>
      <c r="B236" t="s">
        <v>48</v>
      </c>
      <c r="C236" t="s">
        <v>16</v>
      </c>
      <c r="D236">
        <v>4584</v>
      </c>
      <c r="E236">
        <v>71</v>
      </c>
      <c r="F236">
        <v>150</v>
      </c>
      <c r="G236">
        <v>129</v>
      </c>
      <c r="H236">
        <v>476</v>
      </c>
      <c r="I236">
        <v>624</v>
      </c>
      <c r="J236">
        <v>0</v>
      </c>
      <c r="K236">
        <v>0</v>
      </c>
      <c r="L236">
        <v>1</v>
      </c>
      <c r="M236">
        <v>0</v>
      </c>
      <c r="N236" t="s">
        <v>17</v>
      </c>
      <c r="O236" s="1">
        <f>result[[#This Row],[n_killed_mutants_cumulativa]]/result[[#This Row],[tot_mutants]]</f>
        <v>0</v>
      </c>
    </row>
    <row r="237" spans="1:15" hidden="1" x14ac:dyDescent="0.25">
      <c r="A237" t="s">
        <v>66</v>
      </c>
      <c r="B237" t="s">
        <v>49</v>
      </c>
      <c r="C237" t="s">
        <v>16</v>
      </c>
      <c r="D237">
        <v>5185</v>
      </c>
      <c r="E237">
        <v>98</v>
      </c>
      <c r="F237">
        <v>160</v>
      </c>
      <c r="G237">
        <v>200</v>
      </c>
      <c r="H237">
        <v>663</v>
      </c>
      <c r="I237">
        <v>885</v>
      </c>
      <c r="J237">
        <v>0</v>
      </c>
      <c r="K237">
        <v>0</v>
      </c>
      <c r="L237">
        <v>1</v>
      </c>
      <c r="M237">
        <v>0</v>
      </c>
      <c r="N237" t="s">
        <v>17</v>
      </c>
      <c r="O237" s="1">
        <f>result[[#This Row],[n_killed_mutants_cumulativa]]/result[[#This Row],[tot_mutants]]</f>
        <v>0</v>
      </c>
    </row>
    <row r="238" spans="1:15" hidden="1" x14ac:dyDescent="0.25">
      <c r="A238" t="s">
        <v>66</v>
      </c>
      <c r="B238" t="s">
        <v>50</v>
      </c>
      <c r="C238" t="s">
        <v>16</v>
      </c>
      <c r="D238">
        <v>5271</v>
      </c>
      <c r="E238">
        <v>102</v>
      </c>
      <c r="F238">
        <v>170</v>
      </c>
      <c r="G238">
        <v>215</v>
      </c>
      <c r="H238">
        <v>717</v>
      </c>
      <c r="I238">
        <v>951</v>
      </c>
      <c r="J238">
        <v>0</v>
      </c>
      <c r="K238">
        <v>0</v>
      </c>
      <c r="L238">
        <v>1</v>
      </c>
      <c r="M238">
        <v>0</v>
      </c>
      <c r="N238" t="s">
        <v>17</v>
      </c>
      <c r="O238" s="1">
        <f>result[[#This Row],[n_killed_mutants_cumulativa]]/result[[#This Row],[tot_mutants]]</f>
        <v>0</v>
      </c>
    </row>
    <row r="239" spans="1:15" hidden="1" x14ac:dyDescent="0.25">
      <c r="A239" t="s">
        <v>66</v>
      </c>
      <c r="B239" t="s">
        <v>51</v>
      </c>
      <c r="C239" t="s">
        <v>16</v>
      </c>
      <c r="D239">
        <v>5604</v>
      </c>
      <c r="E239">
        <v>115</v>
      </c>
      <c r="F239">
        <v>180</v>
      </c>
      <c r="G239">
        <v>243</v>
      </c>
      <c r="H239">
        <v>804</v>
      </c>
      <c r="I239">
        <v>1071</v>
      </c>
      <c r="J239">
        <v>0</v>
      </c>
      <c r="K239">
        <v>0</v>
      </c>
      <c r="L239">
        <v>1</v>
      </c>
      <c r="M239">
        <v>0</v>
      </c>
      <c r="N239" t="s">
        <v>17</v>
      </c>
      <c r="O239" s="1">
        <f>result[[#This Row],[n_killed_mutants_cumulativa]]/result[[#This Row],[tot_mutants]]</f>
        <v>0</v>
      </c>
    </row>
    <row r="240" spans="1:15" hidden="1" x14ac:dyDescent="0.25">
      <c r="A240" t="s">
        <v>66</v>
      </c>
      <c r="B240" t="s">
        <v>52</v>
      </c>
      <c r="C240" t="s">
        <v>16</v>
      </c>
      <c r="D240">
        <v>5872</v>
      </c>
      <c r="E240">
        <v>102</v>
      </c>
      <c r="F240">
        <v>190</v>
      </c>
      <c r="G240">
        <v>213</v>
      </c>
      <c r="H240">
        <v>746</v>
      </c>
      <c r="I240">
        <v>984</v>
      </c>
      <c r="J240">
        <v>0</v>
      </c>
      <c r="K240">
        <v>0</v>
      </c>
      <c r="L240">
        <v>1</v>
      </c>
      <c r="M240">
        <v>0</v>
      </c>
      <c r="N240" t="s">
        <v>17</v>
      </c>
      <c r="O240" s="1">
        <f>result[[#This Row],[n_killed_mutants_cumulativa]]/result[[#This Row],[tot_mutants]]</f>
        <v>0</v>
      </c>
    </row>
    <row r="241" spans="1:16" hidden="1" x14ac:dyDescent="0.25">
      <c r="A241" t="s">
        <v>66</v>
      </c>
      <c r="B241" t="s">
        <v>53</v>
      </c>
      <c r="C241" t="s">
        <v>16</v>
      </c>
      <c r="D241">
        <v>6154</v>
      </c>
      <c r="E241">
        <v>127</v>
      </c>
      <c r="F241">
        <v>200</v>
      </c>
      <c r="G241">
        <v>285</v>
      </c>
      <c r="H241">
        <v>942</v>
      </c>
      <c r="I241">
        <v>1257</v>
      </c>
      <c r="J241">
        <v>0</v>
      </c>
      <c r="K241">
        <v>0</v>
      </c>
      <c r="L241">
        <v>1</v>
      </c>
      <c r="M241">
        <v>0</v>
      </c>
      <c r="N241" t="s">
        <v>17</v>
      </c>
      <c r="O241" s="1">
        <f>result[[#This Row],[n_killed_mutants_cumulativa]]/result[[#This Row],[tot_mutants]]</f>
        <v>0</v>
      </c>
    </row>
    <row r="242" spans="1:16" hidden="1" x14ac:dyDescent="0.25">
      <c r="A242" t="s">
        <v>66</v>
      </c>
      <c r="B242" t="s">
        <v>22</v>
      </c>
      <c r="C242" t="s">
        <v>16</v>
      </c>
      <c r="D242">
        <v>72067</v>
      </c>
      <c r="E242">
        <v>1432</v>
      </c>
      <c r="F242">
        <v>2100</v>
      </c>
      <c r="G242">
        <v>2457</v>
      </c>
      <c r="H242">
        <v>8526</v>
      </c>
      <c r="I242">
        <v>11274</v>
      </c>
      <c r="J242">
        <v>0</v>
      </c>
      <c r="K242">
        <v>0</v>
      </c>
      <c r="L242">
        <v>1</v>
      </c>
      <c r="M242">
        <v>0</v>
      </c>
      <c r="N242" t="s">
        <v>17</v>
      </c>
      <c r="O242" s="1">
        <f>result[[#This Row],[n_killed_mutants_cumulativa]]/result[[#This Row],[tot_mutants]]</f>
        <v>0</v>
      </c>
      <c r="P242" s="9" t="s">
        <v>358</v>
      </c>
    </row>
    <row r="243" spans="1:16" hidden="1" x14ac:dyDescent="0.25">
      <c r="A243" t="s">
        <v>67</v>
      </c>
      <c r="B243" t="s">
        <v>15</v>
      </c>
      <c r="C243" t="s">
        <v>16</v>
      </c>
      <c r="D243">
        <v>2747</v>
      </c>
      <c r="E243">
        <v>255</v>
      </c>
      <c r="F243">
        <v>10</v>
      </c>
      <c r="G243">
        <v>100</v>
      </c>
      <c r="H243">
        <v>59</v>
      </c>
      <c r="I243">
        <v>293</v>
      </c>
      <c r="J243">
        <v>0</v>
      </c>
      <c r="K243">
        <v>0</v>
      </c>
      <c r="L243">
        <v>1</v>
      </c>
      <c r="M243">
        <v>0</v>
      </c>
      <c r="N243" t="s">
        <v>17</v>
      </c>
      <c r="O243" s="1">
        <f>result[[#This Row],[n_killed_mutants_cumulativa]]/result[[#This Row],[tot_mutants]]</f>
        <v>0</v>
      </c>
    </row>
    <row r="244" spans="1:16" hidden="1" x14ac:dyDescent="0.25">
      <c r="A244" t="s">
        <v>67</v>
      </c>
      <c r="B244" t="s">
        <v>18</v>
      </c>
      <c r="C244" t="s">
        <v>16</v>
      </c>
      <c r="D244">
        <v>2257</v>
      </c>
      <c r="E244">
        <v>216</v>
      </c>
      <c r="F244">
        <v>20</v>
      </c>
      <c r="G244">
        <v>400</v>
      </c>
      <c r="H244">
        <v>220</v>
      </c>
      <c r="I244">
        <v>754</v>
      </c>
      <c r="J244">
        <v>0</v>
      </c>
      <c r="K244">
        <v>0</v>
      </c>
      <c r="L244">
        <v>1</v>
      </c>
      <c r="M244">
        <v>0</v>
      </c>
      <c r="N244" t="s">
        <v>17</v>
      </c>
      <c r="O244" s="1">
        <f>result[[#This Row],[n_killed_mutants_cumulativa]]/result[[#This Row],[tot_mutants]]</f>
        <v>0</v>
      </c>
    </row>
    <row r="245" spans="1:16" hidden="1" x14ac:dyDescent="0.25">
      <c r="A245" t="s">
        <v>67</v>
      </c>
      <c r="B245" t="s">
        <v>19</v>
      </c>
      <c r="C245" t="s">
        <v>16</v>
      </c>
      <c r="D245">
        <v>3067</v>
      </c>
      <c r="E245">
        <v>374</v>
      </c>
      <c r="F245">
        <v>30</v>
      </c>
      <c r="G245">
        <v>900</v>
      </c>
      <c r="H245">
        <v>453</v>
      </c>
      <c r="I245">
        <v>1421</v>
      </c>
      <c r="J245">
        <v>0</v>
      </c>
      <c r="K245">
        <v>0</v>
      </c>
      <c r="L245">
        <v>1</v>
      </c>
      <c r="M245">
        <v>0</v>
      </c>
      <c r="N245" t="s">
        <v>17</v>
      </c>
      <c r="O245" s="1">
        <f>result[[#This Row],[n_killed_mutants_cumulativa]]/result[[#This Row],[tot_mutants]]</f>
        <v>0</v>
      </c>
    </row>
    <row r="246" spans="1:16" hidden="1" x14ac:dyDescent="0.25">
      <c r="A246" t="s">
        <v>67</v>
      </c>
      <c r="B246" t="s">
        <v>20</v>
      </c>
      <c r="C246" t="s">
        <v>16</v>
      </c>
      <c r="D246">
        <v>3836</v>
      </c>
      <c r="E246">
        <v>390</v>
      </c>
      <c r="F246">
        <v>40</v>
      </c>
      <c r="G246">
        <v>1600</v>
      </c>
      <c r="H246">
        <v>859</v>
      </c>
      <c r="I246">
        <v>2343</v>
      </c>
      <c r="J246">
        <v>0</v>
      </c>
      <c r="K246">
        <v>0</v>
      </c>
      <c r="L246">
        <v>1</v>
      </c>
      <c r="M246">
        <v>0</v>
      </c>
      <c r="N246" t="s">
        <v>17</v>
      </c>
      <c r="O246" s="1">
        <f>result[[#This Row],[n_killed_mutants_cumulativa]]/result[[#This Row],[tot_mutants]]</f>
        <v>0</v>
      </c>
    </row>
    <row r="247" spans="1:16" hidden="1" x14ac:dyDescent="0.25">
      <c r="A247" t="s">
        <v>67</v>
      </c>
      <c r="B247" t="s">
        <v>21</v>
      </c>
      <c r="C247" t="s">
        <v>16</v>
      </c>
      <c r="D247">
        <v>5335</v>
      </c>
      <c r="E247">
        <v>581</v>
      </c>
      <c r="F247">
        <v>50</v>
      </c>
      <c r="G247">
        <v>2500</v>
      </c>
      <c r="H247">
        <v>1254</v>
      </c>
      <c r="I247">
        <v>3397</v>
      </c>
      <c r="J247">
        <v>0</v>
      </c>
      <c r="K247">
        <v>0</v>
      </c>
      <c r="L247">
        <v>1</v>
      </c>
      <c r="M247">
        <v>0</v>
      </c>
      <c r="N247" t="s">
        <v>17</v>
      </c>
      <c r="O247" s="1">
        <f>result[[#This Row],[n_killed_mutants_cumulativa]]/result[[#This Row],[tot_mutants]]</f>
        <v>0</v>
      </c>
    </row>
    <row r="248" spans="1:16" hidden="1" x14ac:dyDescent="0.25">
      <c r="A248" t="s">
        <v>67</v>
      </c>
      <c r="B248" t="s">
        <v>24</v>
      </c>
      <c r="C248" t="s">
        <v>16</v>
      </c>
      <c r="D248">
        <v>7255</v>
      </c>
      <c r="E248">
        <v>795</v>
      </c>
      <c r="F248">
        <v>60</v>
      </c>
      <c r="G248">
        <v>3600</v>
      </c>
      <c r="H248">
        <v>1834</v>
      </c>
      <c r="I248">
        <v>4659</v>
      </c>
      <c r="J248">
        <v>0</v>
      </c>
      <c r="K248">
        <v>0</v>
      </c>
      <c r="L248">
        <v>1</v>
      </c>
      <c r="M248">
        <v>0</v>
      </c>
      <c r="N248" t="s">
        <v>17</v>
      </c>
      <c r="O248" s="1">
        <f>result[[#This Row],[n_killed_mutants_cumulativa]]/result[[#This Row],[tot_mutants]]</f>
        <v>0</v>
      </c>
    </row>
    <row r="249" spans="1:16" hidden="1" x14ac:dyDescent="0.25">
      <c r="A249" t="s">
        <v>67</v>
      </c>
      <c r="B249" t="s">
        <v>25</v>
      </c>
      <c r="C249" t="s">
        <v>16</v>
      </c>
      <c r="D249">
        <v>9780</v>
      </c>
      <c r="E249">
        <v>1130</v>
      </c>
      <c r="F249">
        <v>70</v>
      </c>
      <c r="G249">
        <v>4900</v>
      </c>
      <c r="H249">
        <v>2483</v>
      </c>
      <c r="I249">
        <v>6176</v>
      </c>
      <c r="J249">
        <v>0</v>
      </c>
      <c r="K249">
        <v>0</v>
      </c>
      <c r="L249">
        <v>1</v>
      </c>
      <c r="M249">
        <v>0</v>
      </c>
      <c r="N249" t="s">
        <v>17</v>
      </c>
      <c r="O249" s="1">
        <f>result[[#This Row],[n_killed_mutants_cumulativa]]/result[[#This Row],[tot_mutants]]</f>
        <v>0</v>
      </c>
    </row>
    <row r="250" spans="1:16" hidden="1" x14ac:dyDescent="0.25">
      <c r="A250" t="s">
        <v>67</v>
      </c>
      <c r="B250" t="s">
        <v>26</v>
      </c>
      <c r="C250" t="s">
        <v>16</v>
      </c>
      <c r="D250">
        <v>11574</v>
      </c>
      <c r="E250">
        <v>1575</v>
      </c>
      <c r="F250">
        <v>80</v>
      </c>
      <c r="G250">
        <v>6400</v>
      </c>
      <c r="H250">
        <v>3187</v>
      </c>
      <c r="I250">
        <v>7760</v>
      </c>
      <c r="J250">
        <v>0</v>
      </c>
      <c r="K250">
        <v>0</v>
      </c>
      <c r="L250">
        <v>1</v>
      </c>
      <c r="M250">
        <v>0</v>
      </c>
      <c r="N250" t="s">
        <v>17</v>
      </c>
      <c r="O250" s="1">
        <f>result[[#This Row],[n_killed_mutants_cumulativa]]/result[[#This Row],[tot_mutants]]</f>
        <v>0</v>
      </c>
    </row>
    <row r="251" spans="1:16" hidden="1" x14ac:dyDescent="0.25">
      <c r="A251" t="s">
        <v>67</v>
      </c>
      <c r="B251" t="s">
        <v>27</v>
      </c>
      <c r="C251" t="s">
        <v>16</v>
      </c>
      <c r="D251">
        <v>14991</v>
      </c>
      <c r="E251">
        <v>1812</v>
      </c>
      <c r="F251">
        <v>90</v>
      </c>
      <c r="G251">
        <v>8100</v>
      </c>
      <c r="H251">
        <v>4064</v>
      </c>
      <c r="I251">
        <v>9711</v>
      </c>
      <c r="J251">
        <v>0</v>
      </c>
      <c r="K251">
        <v>0</v>
      </c>
      <c r="L251">
        <v>1</v>
      </c>
      <c r="M251">
        <v>0</v>
      </c>
      <c r="N251" t="s">
        <v>17</v>
      </c>
      <c r="O251" s="1">
        <f>result[[#This Row],[n_killed_mutants_cumulativa]]/result[[#This Row],[tot_mutants]]</f>
        <v>0</v>
      </c>
    </row>
    <row r="252" spans="1:16" hidden="1" x14ac:dyDescent="0.25">
      <c r="A252" t="s">
        <v>67</v>
      </c>
      <c r="B252" t="s">
        <v>30</v>
      </c>
      <c r="C252" t="s">
        <v>16</v>
      </c>
      <c r="D252">
        <v>17746</v>
      </c>
      <c r="E252">
        <v>2118</v>
      </c>
      <c r="F252">
        <v>100</v>
      </c>
      <c r="G252">
        <v>10000</v>
      </c>
      <c r="H252">
        <v>4915</v>
      </c>
      <c r="I252">
        <v>11591</v>
      </c>
      <c r="J252">
        <v>0</v>
      </c>
      <c r="K252">
        <v>0</v>
      </c>
      <c r="L252">
        <v>1</v>
      </c>
      <c r="M252">
        <v>0</v>
      </c>
      <c r="N252" t="s">
        <v>17</v>
      </c>
      <c r="O252" s="1">
        <f>result[[#This Row],[n_killed_mutants_cumulativa]]/result[[#This Row],[tot_mutants]]</f>
        <v>0</v>
      </c>
    </row>
    <row r="253" spans="1:16" hidden="1" x14ac:dyDescent="0.25">
      <c r="A253" t="s">
        <v>67</v>
      </c>
      <c r="B253" t="s">
        <v>31</v>
      </c>
      <c r="C253" t="s">
        <v>16</v>
      </c>
      <c r="D253">
        <v>21156</v>
      </c>
      <c r="E253">
        <v>2553</v>
      </c>
      <c r="F253">
        <v>110</v>
      </c>
      <c r="G253">
        <v>12100</v>
      </c>
      <c r="H253">
        <v>6114</v>
      </c>
      <c r="I253">
        <v>14103</v>
      </c>
      <c r="J253">
        <v>0</v>
      </c>
      <c r="K253">
        <v>0</v>
      </c>
      <c r="L253">
        <v>1</v>
      </c>
      <c r="M253">
        <v>0</v>
      </c>
      <c r="N253" t="s">
        <v>17</v>
      </c>
      <c r="O253" s="1">
        <f>result[[#This Row],[n_killed_mutants_cumulativa]]/result[[#This Row],[tot_mutants]]</f>
        <v>0</v>
      </c>
    </row>
    <row r="254" spans="1:16" hidden="1" x14ac:dyDescent="0.25">
      <c r="A254" t="s">
        <v>67</v>
      </c>
      <c r="B254" t="s">
        <v>36</v>
      </c>
      <c r="C254" t="s">
        <v>16</v>
      </c>
      <c r="D254">
        <v>25083</v>
      </c>
      <c r="E254">
        <v>3130</v>
      </c>
      <c r="F254">
        <v>120</v>
      </c>
      <c r="G254">
        <v>14400</v>
      </c>
      <c r="H254">
        <v>7336</v>
      </c>
      <c r="I254">
        <v>16564</v>
      </c>
      <c r="J254">
        <v>0</v>
      </c>
      <c r="K254">
        <v>0</v>
      </c>
      <c r="L254">
        <v>1</v>
      </c>
      <c r="M254">
        <v>0</v>
      </c>
      <c r="N254" t="s">
        <v>17</v>
      </c>
      <c r="O254" s="1">
        <f>result[[#This Row],[n_killed_mutants_cumulativa]]/result[[#This Row],[tot_mutants]]</f>
        <v>0</v>
      </c>
    </row>
    <row r="255" spans="1:16" hidden="1" x14ac:dyDescent="0.25">
      <c r="A255" t="s">
        <v>67</v>
      </c>
      <c r="B255" t="s">
        <v>40</v>
      </c>
      <c r="C255" t="s">
        <v>16</v>
      </c>
      <c r="D255">
        <v>29788</v>
      </c>
      <c r="E255">
        <v>3543</v>
      </c>
      <c r="F255">
        <v>130</v>
      </c>
      <c r="G255">
        <v>16900</v>
      </c>
      <c r="H255">
        <v>8603</v>
      </c>
      <c r="I255">
        <v>19255</v>
      </c>
      <c r="J255">
        <v>0</v>
      </c>
      <c r="K255">
        <v>0</v>
      </c>
      <c r="L255">
        <v>1</v>
      </c>
      <c r="M255">
        <v>0</v>
      </c>
      <c r="N255" t="s">
        <v>17</v>
      </c>
      <c r="O255" s="1">
        <f>result[[#This Row],[n_killed_mutants_cumulativa]]/result[[#This Row],[tot_mutants]]</f>
        <v>0</v>
      </c>
    </row>
    <row r="256" spans="1:16" hidden="1" x14ac:dyDescent="0.25">
      <c r="A256" t="s">
        <v>67</v>
      </c>
      <c r="B256" t="s">
        <v>47</v>
      </c>
      <c r="C256" t="s">
        <v>16</v>
      </c>
      <c r="D256">
        <v>34123</v>
      </c>
      <c r="E256">
        <v>4136</v>
      </c>
      <c r="F256">
        <v>140</v>
      </c>
      <c r="G256">
        <v>19600</v>
      </c>
      <c r="H256">
        <v>9891</v>
      </c>
      <c r="I256">
        <v>22051</v>
      </c>
      <c r="J256">
        <v>0</v>
      </c>
      <c r="K256">
        <v>0</v>
      </c>
      <c r="L256">
        <v>1</v>
      </c>
      <c r="M256">
        <v>0</v>
      </c>
      <c r="N256" t="s">
        <v>17</v>
      </c>
      <c r="O256" s="1">
        <f>result[[#This Row],[n_killed_mutants_cumulativa]]/result[[#This Row],[tot_mutants]]</f>
        <v>0</v>
      </c>
    </row>
    <row r="257" spans="1:43" hidden="1" x14ac:dyDescent="0.25">
      <c r="A257" t="s">
        <v>67</v>
      </c>
      <c r="B257" t="s">
        <v>48</v>
      </c>
      <c r="C257" t="s">
        <v>16</v>
      </c>
      <c r="D257">
        <v>40180</v>
      </c>
      <c r="E257">
        <v>4726</v>
      </c>
      <c r="F257">
        <v>150</v>
      </c>
      <c r="G257">
        <v>22500</v>
      </c>
      <c r="H257">
        <v>11407</v>
      </c>
      <c r="I257">
        <v>25273</v>
      </c>
      <c r="J257">
        <v>0</v>
      </c>
      <c r="K257">
        <v>0</v>
      </c>
      <c r="L257">
        <v>1</v>
      </c>
      <c r="M257">
        <v>0</v>
      </c>
      <c r="N257" t="s">
        <v>17</v>
      </c>
      <c r="O257" s="1">
        <f>result[[#This Row],[n_killed_mutants_cumulativa]]/result[[#This Row],[tot_mutants]]</f>
        <v>0</v>
      </c>
    </row>
    <row r="258" spans="1:43" hidden="1" x14ac:dyDescent="0.25">
      <c r="A258" t="s">
        <v>67</v>
      </c>
      <c r="B258" t="s">
        <v>49</v>
      </c>
      <c r="C258" t="s">
        <v>16</v>
      </c>
      <c r="D258">
        <v>45942</v>
      </c>
      <c r="E258">
        <v>5330</v>
      </c>
      <c r="F258">
        <v>160</v>
      </c>
      <c r="G258">
        <v>25600</v>
      </c>
      <c r="H258">
        <v>12883</v>
      </c>
      <c r="I258">
        <v>28404</v>
      </c>
      <c r="J258">
        <v>0</v>
      </c>
      <c r="K258">
        <v>0</v>
      </c>
      <c r="L258">
        <v>1</v>
      </c>
      <c r="M258">
        <v>0</v>
      </c>
      <c r="N258" t="s">
        <v>17</v>
      </c>
      <c r="O258" s="1">
        <f>result[[#This Row],[n_killed_mutants_cumulativa]]/result[[#This Row],[tot_mutants]]</f>
        <v>0</v>
      </c>
    </row>
    <row r="259" spans="1:43" hidden="1" x14ac:dyDescent="0.25">
      <c r="A259" t="s">
        <v>67</v>
      </c>
      <c r="B259" t="s">
        <v>50</v>
      </c>
      <c r="C259" t="s">
        <v>16</v>
      </c>
      <c r="D259">
        <v>52475</v>
      </c>
      <c r="E259">
        <v>6115</v>
      </c>
      <c r="F259">
        <v>170</v>
      </c>
      <c r="G259">
        <v>28900</v>
      </c>
      <c r="H259">
        <v>14564</v>
      </c>
      <c r="I259">
        <v>31914</v>
      </c>
      <c r="J259">
        <v>0</v>
      </c>
      <c r="K259">
        <v>0</v>
      </c>
      <c r="L259">
        <v>1</v>
      </c>
      <c r="M259">
        <v>0</v>
      </c>
      <c r="N259" t="s">
        <v>17</v>
      </c>
      <c r="O259" s="1">
        <f>result[[#This Row],[n_killed_mutants_cumulativa]]/result[[#This Row],[tot_mutants]]</f>
        <v>0</v>
      </c>
    </row>
    <row r="260" spans="1:43" hidden="1" x14ac:dyDescent="0.25">
      <c r="A260" t="s">
        <v>67</v>
      </c>
      <c r="B260" t="s">
        <v>51</v>
      </c>
      <c r="C260" t="s">
        <v>16</v>
      </c>
      <c r="D260">
        <v>60127</v>
      </c>
      <c r="E260">
        <v>6740</v>
      </c>
      <c r="F260">
        <v>180</v>
      </c>
      <c r="G260">
        <v>32400</v>
      </c>
      <c r="H260">
        <v>16286</v>
      </c>
      <c r="I260">
        <v>35797</v>
      </c>
      <c r="J260">
        <v>0</v>
      </c>
      <c r="K260">
        <v>0</v>
      </c>
      <c r="L260">
        <v>1</v>
      </c>
      <c r="M260">
        <v>0</v>
      </c>
      <c r="N260" t="s">
        <v>17</v>
      </c>
      <c r="O260" s="1">
        <f>result[[#This Row],[n_killed_mutants_cumulativa]]/result[[#This Row],[tot_mutants]]</f>
        <v>0</v>
      </c>
    </row>
    <row r="261" spans="1:43" hidden="1" x14ac:dyDescent="0.25">
      <c r="A261" t="s">
        <v>67</v>
      </c>
      <c r="B261" t="s">
        <v>52</v>
      </c>
      <c r="C261" t="s">
        <v>16</v>
      </c>
      <c r="D261">
        <v>68411</v>
      </c>
      <c r="E261">
        <v>7522</v>
      </c>
      <c r="F261">
        <v>190</v>
      </c>
      <c r="G261">
        <v>36100</v>
      </c>
      <c r="H261">
        <v>17975</v>
      </c>
      <c r="I261">
        <v>39400</v>
      </c>
      <c r="J261">
        <v>0</v>
      </c>
      <c r="K261">
        <v>0</v>
      </c>
      <c r="L261">
        <v>1</v>
      </c>
      <c r="M261">
        <v>0</v>
      </c>
      <c r="N261" t="s">
        <v>17</v>
      </c>
      <c r="O261" s="1">
        <f>result[[#This Row],[n_killed_mutants_cumulativa]]/result[[#This Row],[tot_mutants]]</f>
        <v>0</v>
      </c>
    </row>
    <row r="262" spans="1:43" hidden="1" x14ac:dyDescent="0.25">
      <c r="A262" t="s">
        <v>67</v>
      </c>
      <c r="B262" t="s">
        <v>53</v>
      </c>
      <c r="C262" t="s">
        <v>16</v>
      </c>
      <c r="D262">
        <v>78346</v>
      </c>
      <c r="E262">
        <v>8515</v>
      </c>
      <c r="F262">
        <v>200</v>
      </c>
      <c r="G262">
        <v>40000</v>
      </c>
      <c r="H262">
        <v>20067</v>
      </c>
      <c r="I262">
        <v>43529</v>
      </c>
      <c r="J262">
        <v>0</v>
      </c>
      <c r="K262">
        <v>0</v>
      </c>
      <c r="L262">
        <v>1</v>
      </c>
      <c r="M262">
        <v>0</v>
      </c>
      <c r="N262" t="s">
        <v>17</v>
      </c>
      <c r="O262" s="1">
        <f>result[[#This Row],[n_killed_mutants_cumulativa]]/result[[#This Row],[tot_mutants]]</f>
        <v>0</v>
      </c>
    </row>
    <row r="263" spans="1:43" hidden="1" x14ac:dyDescent="0.25">
      <c r="A263" t="s">
        <v>67</v>
      </c>
      <c r="B263" t="s">
        <v>22</v>
      </c>
      <c r="C263" t="s">
        <v>16</v>
      </c>
      <c r="D263">
        <v>534219</v>
      </c>
      <c r="E263">
        <v>61556</v>
      </c>
      <c r="F263">
        <v>2100</v>
      </c>
      <c r="G263">
        <v>287000</v>
      </c>
      <c r="H263">
        <v>144454</v>
      </c>
      <c r="I263">
        <v>324395</v>
      </c>
      <c r="J263">
        <v>0</v>
      </c>
      <c r="K263">
        <v>0</v>
      </c>
      <c r="L263">
        <v>1</v>
      </c>
      <c r="M263">
        <v>0</v>
      </c>
      <c r="N263" t="s">
        <v>17</v>
      </c>
      <c r="O263" s="1">
        <f>result[[#This Row],[n_killed_mutants_cumulativa]]/result[[#This Row],[tot_mutants]]</f>
        <v>0</v>
      </c>
      <c r="P263" s="9" t="s">
        <v>346</v>
      </c>
    </row>
    <row r="264" spans="1:43" hidden="1" x14ac:dyDescent="0.25">
      <c r="A264" t="s">
        <v>68</v>
      </c>
      <c r="B264" t="s">
        <v>15</v>
      </c>
      <c r="C264" t="s">
        <v>16</v>
      </c>
      <c r="D264">
        <v>73979</v>
      </c>
      <c r="E264">
        <v>423</v>
      </c>
      <c r="F264">
        <v>10</v>
      </c>
      <c r="G264">
        <v>100</v>
      </c>
      <c r="H264">
        <v>185</v>
      </c>
      <c r="I264">
        <v>1141</v>
      </c>
      <c r="J264">
        <v>0</v>
      </c>
      <c r="K264">
        <v>0</v>
      </c>
      <c r="L264">
        <v>78</v>
      </c>
      <c r="M264">
        <v>3</v>
      </c>
      <c r="N264" t="s">
        <v>69</v>
      </c>
      <c r="O264" s="1">
        <f>result[[#This Row],[n_killed_mutants_cumulativa]]/result[[#This Row],[tot_mutants]]</f>
        <v>3.8461538461538464E-2</v>
      </c>
    </row>
    <row r="265" spans="1:43" hidden="1" x14ac:dyDescent="0.25">
      <c r="A265" t="s">
        <v>68</v>
      </c>
      <c r="B265" t="s">
        <v>18</v>
      </c>
      <c r="C265" t="s">
        <v>16</v>
      </c>
      <c r="D265">
        <v>157388</v>
      </c>
      <c r="E265">
        <v>402</v>
      </c>
      <c r="F265">
        <v>20</v>
      </c>
      <c r="G265">
        <v>400</v>
      </c>
      <c r="H265">
        <v>764</v>
      </c>
      <c r="I265">
        <v>3572</v>
      </c>
      <c r="J265">
        <v>0</v>
      </c>
      <c r="K265">
        <v>0</v>
      </c>
      <c r="L265">
        <v>78</v>
      </c>
      <c r="M265">
        <v>4</v>
      </c>
      <c r="N265" t="s">
        <v>70</v>
      </c>
      <c r="O265" s="1">
        <f>result[[#This Row],[n_killed_mutants_cumulativa]]/result[[#This Row],[tot_mutants]]</f>
        <v>5.128205128205128E-2</v>
      </c>
    </row>
    <row r="266" spans="1:43" hidden="1" x14ac:dyDescent="0.25">
      <c r="A266" t="s">
        <v>68</v>
      </c>
      <c r="B266" t="s">
        <v>19</v>
      </c>
      <c r="C266" t="s">
        <v>16</v>
      </c>
      <c r="D266">
        <v>274069</v>
      </c>
      <c r="E266">
        <v>726</v>
      </c>
      <c r="F266">
        <v>30</v>
      </c>
      <c r="G266">
        <v>900</v>
      </c>
      <c r="H266">
        <v>2007</v>
      </c>
      <c r="I266">
        <v>7728</v>
      </c>
      <c r="J266">
        <v>0</v>
      </c>
      <c r="K266">
        <v>0</v>
      </c>
      <c r="L266">
        <v>78</v>
      </c>
      <c r="M266">
        <v>6</v>
      </c>
      <c r="N266" t="s">
        <v>71</v>
      </c>
      <c r="O266" s="1">
        <f>result[[#This Row],[n_killed_mutants_cumulativa]]/result[[#This Row],[tot_mutants]]</f>
        <v>7.6923076923076927E-2</v>
      </c>
    </row>
    <row r="267" spans="1:43" hidden="1" x14ac:dyDescent="0.25">
      <c r="A267" t="s">
        <v>68</v>
      </c>
      <c r="B267" t="s">
        <v>20</v>
      </c>
      <c r="C267" t="s">
        <v>16</v>
      </c>
      <c r="D267">
        <v>428253</v>
      </c>
      <c r="E267">
        <v>1312</v>
      </c>
      <c r="F267">
        <v>40</v>
      </c>
      <c r="G267">
        <v>1600</v>
      </c>
      <c r="H267">
        <v>3813</v>
      </c>
      <c r="I267">
        <v>13772</v>
      </c>
      <c r="J267">
        <v>0</v>
      </c>
      <c r="K267">
        <v>0</v>
      </c>
      <c r="L267">
        <v>78</v>
      </c>
      <c r="M267">
        <v>6</v>
      </c>
      <c r="N267" t="s">
        <v>71</v>
      </c>
      <c r="O267" s="1">
        <f>result[[#This Row],[n_killed_mutants_cumulativa]]/result[[#This Row],[tot_mutants]]</f>
        <v>7.6923076923076927E-2</v>
      </c>
    </row>
    <row r="268" spans="1:43" x14ac:dyDescent="0.25">
      <c r="A268" t="s">
        <v>68</v>
      </c>
      <c r="B268" t="s">
        <v>22</v>
      </c>
      <c r="C268" t="s">
        <v>16</v>
      </c>
      <c r="D268">
        <v>933689</v>
      </c>
      <c r="E268">
        <v>2863</v>
      </c>
      <c r="F268">
        <v>100</v>
      </c>
      <c r="G268">
        <v>3000</v>
      </c>
      <c r="H268">
        <v>6769</v>
      </c>
      <c r="I268">
        <v>26213</v>
      </c>
      <c r="J268">
        <v>0</v>
      </c>
      <c r="K268">
        <v>0</v>
      </c>
      <c r="L268">
        <v>78</v>
      </c>
      <c r="M268">
        <v>6</v>
      </c>
      <c r="N268" t="s">
        <v>71</v>
      </c>
      <c r="O268" s="1">
        <f>result[[#This Row],[n_killed_mutants_cumulativa]]/result[[#This Row],[tot_mutants]]</f>
        <v>7.6923076923076927E-2</v>
      </c>
      <c r="P268" s="9" t="s">
        <v>361</v>
      </c>
      <c r="AQ268" s="7"/>
    </row>
    <row r="269" spans="1:43" hidden="1" x14ac:dyDescent="0.25">
      <c r="A269" t="s">
        <v>72</v>
      </c>
      <c r="B269" t="s">
        <v>15</v>
      </c>
      <c r="C269" t="s">
        <v>16</v>
      </c>
      <c r="D269">
        <v>20505</v>
      </c>
      <c r="E269">
        <v>143</v>
      </c>
      <c r="F269">
        <v>10</v>
      </c>
      <c r="G269">
        <v>100</v>
      </c>
      <c r="H269">
        <v>43</v>
      </c>
      <c r="I269">
        <v>291</v>
      </c>
      <c r="J269">
        <v>0</v>
      </c>
      <c r="K269">
        <v>0</v>
      </c>
      <c r="L269">
        <v>39</v>
      </c>
      <c r="M269">
        <v>2</v>
      </c>
      <c r="N269" t="s">
        <v>73</v>
      </c>
      <c r="O269" s="1">
        <f>result[[#This Row],[n_killed_mutants_cumulativa]]/result[[#This Row],[tot_mutants]]</f>
        <v>5.128205128205128E-2</v>
      </c>
    </row>
    <row r="270" spans="1:43" hidden="1" x14ac:dyDescent="0.25">
      <c r="A270" t="s">
        <v>72</v>
      </c>
      <c r="B270" t="s">
        <v>18</v>
      </c>
      <c r="C270" t="s">
        <v>16</v>
      </c>
      <c r="D270">
        <v>37734</v>
      </c>
      <c r="E270">
        <v>67</v>
      </c>
      <c r="F270">
        <v>20</v>
      </c>
      <c r="G270">
        <v>400</v>
      </c>
      <c r="H270">
        <v>302</v>
      </c>
      <c r="I270">
        <v>1457</v>
      </c>
      <c r="J270">
        <v>0</v>
      </c>
      <c r="K270">
        <v>0</v>
      </c>
      <c r="L270">
        <v>39</v>
      </c>
      <c r="M270">
        <v>3</v>
      </c>
      <c r="N270" t="s">
        <v>74</v>
      </c>
      <c r="O270" s="1">
        <f>result[[#This Row],[n_killed_mutants_cumulativa]]/result[[#This Row],[tot_mutants]]</f>
        <v>7.6923076923076927E-2</v>
      </c>
    </row>
    <row r="271" spans="1:43" hidden="1" x14ac:dyDescent="0.25">
      <c r="A271" t="s">
        <v>72</v>
      </c>
      <c r="B271" t="s">
        <v>19</v>
      </c>
      <c r="C271" t="s">
        <v>16</v>
      </c>
      <c r="D271">
        <v>65417</v>
      </c>
      <c r="E271">
        <v>91</v>
      </c>
      <c r="F271">
        <v>30</v>
      </c>
      <c r="G271">
        <v>900</v>
      </c>
      <c r="H271">
        <v>671</v>
      </c>
      <c r="I271">
        <v>3817</v>
      </c>
      <c r="J271">
        <v>0</v>
      </c>
      <c r="K271">
        <v>0</v>
      </c>
      <c r="L271">
        <v>39</v>
      </c>
      <c r="M271">
        <v>4</v>
      </c>
      <c r="N271" t="s">
        <v>75</v>
      </c>
      <c r="O271" s="1">
        <f>result[[#This Row],[n_killed_mutants_cumulativa]]/result[[#This Row],[tot_mutants]]</f>
        <v>0.10256410256410256</v>
      </c>
    </row>
    <row r="272" spans="1:43" hidden="1" x14ac:dyDescent="0.25">
      <c r="A272" t="s">
        <v>72</v>
      </c>
      <c r="B272" t="s">
        <v>20</v>
      </c>
      <c r="C272" t="s">
        <v>16</v>
      </c>
      <c r="D272">
        <v>102178</v>
      </c>
      <c r="E272">
        <v>173</v>
      </c>
      <c r="F272">
        <v>40</v>
      </c>
      <c r="G272">
        <v>1600</v>
      </c>
      <c r="H272">
        <v>907</v>
      </c>
      <c r="I272">
        <v>7444</v>
      </c>
      <c r="J272">
        <v>0</v>
      </c>
      <c r="K272">
        <v>0</v>
      </c>
      <c r="L272">
        <v>39</v>
      </c>
      <c r="M272">
        <v>4</v>
      </c>
      <c r="N272" t="s">
        <v>75</v>
      </c>
      <c r="O272" s="1">
        <f>result[[#This Row],[n_killed_mutants_cumulativa]]/result[[#This Row],[tot_mutants]]</f>
        <v>0.10256410256410256</v>
      </c>
    </row>
    <row r="273" spans="1:16" hidden="1" x14ac:dyDescent="0.25">
      <c r="A273" t="s">
        <v>72</v>
      </c>
      <c r="B273" t="s">
        <v>21</v>
      </c>
      <c r="C273" t="s">
        <v>16</v>
      </c>
      <c r="D273">
        <v>148481</v>
      </c>
      <c r="E273">
        <v>284</v>
      </c>
      <c r="F273">
        <v>50</v>
      </c>
      <c r="G273">
        <v>2500</v>
      </c>
      <c r="H273">
        <v>1291</v>
      </c>
      <c r="I273">
        <v>12425</v>
      </c>
      <c r="J273">
        <v>0</v>
      </c>
      <c r="K273">
        <v>0</v>
      </c>
      <c r="L273">
        <v>39</v>
      </c>
      <c r="M273">
        <v>5</v>
      </c>
      <c r="N273" t="s">
        <v>76</v>
      </c>
      <c r="O273" s="1">
        <f>result[[#This Row],[n_killed_mutants_cumulativa]]/result[[#This Row],[tot_mutants]]</f>
        <v>0.12820512820512819</v>
      </c>
    </row>
    <row r="274" spans="1:16" hidden="1" x14ac:dyDescent="0.25">
      <c r="A274" t="s">
        <v>72</v>
      </c>
      <c r="B274" t="s">
        <v>24</v>
      </c>
      <c r="C274" t="s">
        <v>16</v>
      </c>
      <c r="D274">
        <v>202518</v>
      </c>
      <c r="E274">
        <v>401</v>
      </c>
      <c r="F274">
        <v>60</v>
      </c>
      <c r="G274">
        <v>3600</v>
      </c>
      <c r="H274">
        <v>1929</v>
      </c>
      <c r="I274">
        <v>20015</v>
      </c>
      <c r="J274">
        <v>0</v>
      </c>
      <c r="K274">
        <v>0</v>
      </c>
      <c r="L274">
        <v>39</v>
      </c>
      <c r="M274">
        <v>7</v>
      </c>
      <c r="N274" t="s">
        <v>77</v>
      </c>
      <c r="O274" s="1">
        <f>result[[#This Row],[n_killed_mutants_cumulativa]]/result[[#This Row],[tot_mutants]]</f>
        <v>0.17948717948717949</v>
      </c>
    </row>
    <row r="275" spans="1:16" hidden="1" x14ac:dyDescent="0.25">
      <c r="A275" t="s">
        <v>72</v>
      </c>
      <c r="B275" t="s">
        <v>25</v>
      </c>
      <c r="C275" t="s">
        <v>16</v>
      </c>
      <c r="D275">
        <v>287176</v>
      </c>
      <c r="E275">
        <v>584</v>
      </c>
      <c r="F275">
        <v>70</v>
      </c>
      <c r="G275">
        <v>4900</v>
      </c>
      <c r="H275">
        <v>2957</v>
      </c>
      <c r="I275">
        <v>32841</v>
      </c>
      <c r="J275">
        <v>0</v>
      </c>
      <c r="K275">
        <v>0</v>
      </c>
      <c r="L275">
        <v>39</v>
      </c>
      <c r="M275">
        <v>10</v>
      </c>
      <c r="N275" t="s">
        <v>78</v>
      </c>
      <c r="O275" s="1">
        <f>result[[#This Row],[n_killed_mutants_cumulativa]]/result[[#This Row],[tot_mutants]]</f>
        <v>0.25641025641025639</v>
      </c>
    </row>
    <row r="276" spans="1:16" x14ac:dyDescent="0.25">
      <c r="A276" t="s">
        <v>72</v>
      </c>
      <c r="B276" t="s">
        <v>22</v>
      </c>
      <c r="C276" t="s">
        <v>16</v>
      </c>
      <c r="D276">
        <v>864009</v>
      </c>
      <c r="E276">
        <v>1743</v>
      </c>
      <c r="F276">
        <v>280</v>
      </c>
      <c r="G276">
        <v>14000</v>
      </c>
      <c r="H276">
        <v>8100</v>
      </c>
      <c r="I276">
        <v>78290</v>
      </c>
      <c r="J276">
        <v>0</v>
      </c>
      <c r="K276">
        <v>0</v>
      </c>
      <c r="L276">
        <v>39</v>
      </c>
      <c r="M276">
        <v>10</v>
      </c>
      <c r="N276" t="s">
        <v>78</v>
      </c>
      <c r="O276" s="1">
        <f>result[[#This Row],[n_killed_mutants_cumulativa]]/result[[#This Row],[tot_mutants]]</f>
        <v>0.25641025641025639</v>
      </c>
      <c r="P276" s="9" t="s">
        <v>361</v>
      </c>
    </row>
    <row r="277" spans="1:16" hidden="1" x14ac:dyDescent="0.25">
      <c r="A277" t="s">
        <v>79</v>
      </c>
      <c r="B277" t="s">
        <v>15</v>
      </c>
      <c r="C277" t="s">
        <v>16</v>
      </c>
      <c r="D277">
        <v>4576</v>
      </c>
      <c r="E277">
        <v>147</v>
      </c>
      <c r="F277">
        <v>10</v>
      </c>
      <c r="G277">
        <v>100</v>
      </c>
      <c r="H277">
        <v>66</v>
      </c>
      <c r="I277">
        <v>250</v>
      </c>
      <c r="J277">
        <v>0</v>
      </c>
      <c r="K277">
        <v>0</v>
      </c>
      <c r="L277">
        <v>6</v>
      </c>
      <c r="M277">
        <v>1</v>
      </c>
      <c r="N277" t="s">
        <v>80</v>
      </c>
      <c r="O277" s="1">
        <f>result[[#This Row],[n_killed_mutants_cumulativa]]/result[[#This Row],[tot_mutants]]</f>
        <v>0.16666666666666666</v>
      </c>
    </row>
    <row r="278" spans="1:16" hidden="1" x14ac:dyDescent="0.25">
      <c r="A278" t="s">
        <v>79</v>
      </c>
      <c r="B278" t="s">
        <v>18</v>
      </c>
      <c r="C278" t="s">
        <v>16</v>
      </c>
      <c r="D278">
        <v>5179</v>
      </c>
      <c r="E278">
        <v>97</v>
      </c>
      <c r="F278">
        <v>20</v>
      </c>
      <c r="G278">
        <v>400</v>
      </c>
      <c r="H278">
        <v>226</v>
      </c>
      <c r="I278">
        <v>936</v>
      </c>
      <c r="J278">
        <v>0</v>
      </c>
      <c r="K278">
        <v>0</v>
      </c>
      <c r="L278">
        <v>6</v>
      </c>
      <c r="M278">
        <v>1</v>
      </c>
      <c r="N278" t="s">
        <v>80</v>
      </c>
      <c r="O278" s="1">
        <f>result[[#This Row],[n_killed_mutants_cumulativa]]/result[[#This Row],[tot_mutants]]</f>
        <v>0.16666666666666666</v>
      </c>
    </row>
    <row r="279" spans="1:16" hidden="1" x14ac:dyDescent="0.25">
      <c r="A279" t="s">
        <v>79</v>
      </c>
      <c r="B279" t="s">
        <v>19</v>
      </c>
      <c r="C279" t="s">
        <v>16</v>
      </c>
      <c r="D279">
        <v>7249</v>
      </c>
      <c r="E279">
        <v>126</v>
      </c>
      <c r="F279">
        <v>30</v>
      </c>
      <c r="G279">
        <v>900</v>
      </c>
      <c r="H279">
        <v>502</v>
      </c>
      <c r="I279">
        <v>1960</v>
      </c>
      <c r="J279">
        <v>0</v>
      </c>
      <c r="K279">
        <v>0</v>
      </c>
      <c r="L279">
        <v>6</v>
      </c>
      <c r="M279">
        <v>1</v>
      </c>
      <c r="N279" t="s">
        <v>80</v>
      </c>
      <c r="O279" s="1">
        <f>result[[#This Row],[n_killed_mutants_cumulativa]]/result[[#This Row],[tot_mutants]]</f>
        <v>0.16666666666666666</v>
      </c>
    </row>
    <row r="280" spans="1:16" hidden="1" x14ac:dyDescent="0.25">
      <c r="A280" t="s">
        <v>79</v>
      </c>
      <c r="B280" t="s">
        <v>20</v>
      </c>
      <c r="C280" t="s">
        <v>16</v>
      </c>
      <c r="D280">
        <v>10453</v>
      </c>
      <c r="E280">
        <v>165</v>
      </c>
      <c r="F280">
        <v>40</v>
      </c>
      <c r="G280">
        <v>1600</v>
      </c>
      <c r="H280">
        <v>846</v>
      </c>
      <c r="I280">
        <v>3378</v>
      </c>
      <c r="J280">
        <v>0</v>
      </c>
      <c r="K280">
        <v>0</v>
      </c>
      <c r="L280">
        <v>6</v>
      </c>
      <c r="M280">
        <v>1</v>
      </c>
      <c r="N280" t="s">
        <v>80</v>
      </c>
      <c r="O280" s="1">
        <f>result[[#This Row],[n_killed_mutants_cumulativa]]/result[[#This Row],[tot_mutants]]</f>
        <v>0.16666666666666666</v>
      </c>
    </row>
    <row r="281" spans="1:16" hidden="1" x14ac:dyDescent="0.25">
      <c r="A281" t="s">
        <v>79</v>
      </c>
      <c r="B281" t="s">
        <v>21</v>
      </c>
      <c r="C281" t="s">
        <v>16</v>
      </c>
      <c r="D281">
        <v>15034</v>
      </c>
      <c r="E281">
        <v>240</v>
      </c>
      <c r="F281">
        <v>50</v>
      </c>
      <c r="G281">
        <v>2500</v>
      </c>
      <c r="H281">
        <v>1306</v>
      </c>
      <c r="I281">
        <v>5248</v>
      </c>
      <c r="J281">
        <v>0</v>
      </c>
      <c r="K281">
        <v>0</v>
      </c>
      <c r="L281">
        <v>6</v>
      </c>
      <c r="M281">
        <v>1</v>
      </c>
      <c r="N281" t="s">
        <v>80</v>
      </c>
      <c r="O281" s="1">
        <f>result[[#This Row],[n_killed_mutants_cumulativa]]/result[[#This Row],[tot_mutants]]</f>
        <v>0.16666666666666666</v>
      </c>
    </row>
    <row r="282" spans="1:16" hidden="1" x14ac:dyDescent="0.25">
      <c r="A282" t="s">
        <v>79</v>
      </c>
      <c r="B282" t="s">
        <v>24</v>
      </c>
      <c r="C282" t="s">
        <v>16</v>
      </c>
      <c r="D282">
        <v>20252</v>
      </c>
      <c r="E282">
        <v>351</v>
      </c>
      <c r="F282">
        <v>60</v>
      </c>
      <c r="G282">
        <v>3600</v>
      </c>
      <c r="H282">
        <v>1841</v>
      </c>
      <c r="I282">
        <v>7430</v>
      </c>
      <c r="J282">
        <v>0</v>
      </c>
      <c r="K282">
        <v>0</v>
      </c>
      <c r="L282">
        <v>6</v>
      </c>
      <c r="M282">
        <v>1</v>
      </c>
      <c r="N282" t="s">
        <v>80</v>
      </c>
      <c r="O282" s="1">
        <f>result[[#This Row],[n_killed_mutants_cumulativa]]/result[[#This Row],[tot_mutants]]</f>
        <v>0.16666666666666666</v>
      </c>
    </row>
    <row r="283" spans="1:16" hidden="1" x14ac:dyDescent="0.25">
      <c r="A283" t="s">
        <v>79</v>
      </c>
      <c r="B283" t="s">
        <v>25</v>
      </c>
      <c r="C283" t="s">
        <v>16</v>
      </c>
      <c r="D283">
        <v>26014</v>
      </c>
      <c r="E283">
        <v>445</v>
      </c>
      <c r="F283">
        <v>70</v>
      </c>
      <c r="G283">
        <v>4900</v>
      </c>
      <c r="H283">
        <v>2513</v>
      </c>
      <c r="I283">
        <v>10028</v>
      </c>
      <c r="J283">
        <v>0</v>
      </c>
      <c r="K283">
        <v>0</v>
      </c>
      <c r="L283">
        <v>6</v>
      </c>
      <c r="M283">
        <v>1</v>
      </c>
      <c r="N283" t="s">
        <v>80</v>
      </c>
      <c r="O283" s="1">
        <f>result[[#This Row],[n_killed_mutants_cumulativa]]/result[[#This Row],[tot_mutants]]</f>
        <v>0.16666666666666666</v>
      </c>
    </row>
    <row r="284" spans="1:16" hidden="1" x14ac:dyDescent="0.25">
      <c r="A284" t="s">
        <v>79</v>
      </c>
      <c r="B284" t="s">
        <v>26</v>
      </c>
      <c r="C284" t="s">
        <v>16</v>
      </c>
      <c r="D284">
        <v>32551</v>
      </c>
      <c r="E284">
        <v>580</v>
      </c>
      <c r="F284">
        <v>80</v>
      </c>
      <c r="G284">
        <v>6400</v>
      </c>
      <c r="H284">
        <v>3276</v>
      </c>
      <c r="I284">
        <v>13088</v>
      </c>
      <c r="J284">
        <v>0</v>
      </c>
      <c r="K284">
        <v>0</v>
      </c>
      <c r="L284">
        <v>6</v>
      </c>
      <c r="M284">
        <v>1</v>
      </c>
      <c r="N284" t="s">
        <v>80</v>
      </c>
      <c r="O284" s="1">
        <f>result[[#This Row],[n_killed_mutants_cumulativa]]/result[[#This Row],[tot_mutants]]</f>
        <v>0.16666666666666666</v>
      </c>
    </row>
    <row r="285" spans="1:16" hidden="1" x14ac:dyDescent="0.25">
      <c r="A285" t="s">
        <v>79</v>
      </c>
      <c r="B285" t="s">
        <v>27</v>
      </c>
      <c r="C285" t="s">
        <v>16</v>
      </c>
      <c r="D285">
        <v>40696</v>
      </c>
      <c r="E285">
        <v>733</v>
      </c>
      <c r="F285">
        <v>90</v>
      </c>
      <c r="G285">
        <v>8100</v>
      </c>
      <c r="H285">
        <v>4077</v>
      </c>
      <c r="I285">
        <v>16694</v>
      </c>
      <c r="J285">
        <v>0</v>
      </c>
      <c r="K285">
        <v>0</v>
      </c>
      <c r="L285">
        <v>6</v>
      </c>
      <c r="M285">
        <v>1</v>
      </c>
      <c r="N285" t="s">
        <v>80</v>
      </c>
      <c r="O285" s="1">
        <f>result[[#This Row],[n_killed_mutants_cumulativa]]/result[[#This Row],[tot_mutants]]</f>
        <v>0.16666666666666666</v>
      </c>
    </row>
    <row r="286" spans="1:16" hidden="1" x14ac:dyDescent="0.25">
      <c r="A286" t="s">
        <v>79</v>
      </c>
      <c r="B286" t="s">
        <v>30</v>
      </c>
      <c r="C286" t="s">
        <v>16</v>
      </c>
      <c r="D286">
        <v>50156</v>
      </c>
      <c r="E286">
        <v>989</v>
      </c>
      <c r="F286">
        <v>100</v>
      </c>
      <c r="G286">
        <v>10000</v>
      </c>
      <c r="H286">
        <v>5204</v>
      </c>
      <c r="I286">
        <v>20536</v>
      </c>
      <c r="J286">
        <v>0</v>
      </c>
      <c r="K286">
        <v>0</v>
      </c>
      <c r="L286">
        <v>6</v>
      </c>
      <c r="M286">
        <v>1</v>
      </c>
      <c r="N286" t="s">
        <v>80</v>
      </c>
      <c r="O286" s="1">
        <f>result[[#This Row],[n_killed_mutants_cumulativa]]/result[[#This Row],[tot_mutants]]</f>
        <v>0.16666666666666666</v>
      </c>
    </row>
    <row r="287" spans="1:16" hidden="1" x14ac:dyDescent="0.25">
      <c r="A287" t="s">
        <v>79</v>
      </c>
      <c r="B287" t="s">
        <v>31</v>
      </c>
      <c r="C287" t="s">
        <v>16</v>
      </c>
      <c r="D287">
        <v>60281</v>
      </c>
      <c r="E287">
        <v>1147</v>
      </c>
      <c r="F287">
        <v>110</v>
      </c>
      <c r="G287">
        <v>12100</v>
      </c>
      <c r="H287">
        <v>6204</v>
      </c>
      <c r="I287">
        <v>24710</v>
      </c>
      <c r="J287">
        <v>0</v>
      </c>
      <c r="K287">
        <v>0</v>
      </c>
      <c r="L287">
        <v>6</v>
      </c>
      <c r="M287">
        <v>1</v>
      </c>
      <c r="N287" t="s">
        <v>80</v>
      </c>
      <c r="O287" s="1">
        <f>result[[#This Row],[n_killed_mutants_cumulativa]]/result[[#This Row],[tot_mutants]]</f>
        <v>0.16666666666666666</v>
      </c>
    </row>
    <row r="288" spans="1:16" hidden="1" x14ac:dyDescent="0.25">
      <c r="A288" t="s">
        <v>79</v>
      </c>
      <c r="B288" t="s">
        <v>36</v>
      </c>
      <c r="C288" t="s">
        <v>16</v>
      </c>
      <c r="D288">
        <v>72382</v>
      </c>
      <c r="E288">
        <v>1390</v>
      </c>
      <c r="F288">
        <v>120</v>
      </c>
      <c r="G288">
        <v>14400</v>
      </c>
      <c r="H288">
        <v>7232</v>
      </c>
      <c r="I288">
        <v>29168</v>
      </c>
      <c r="J288">
        <v>0</v>
      </c>
      <c r="K288">
        <v>0</v>
      </c>
      <c r="L288">
        <v>6</v>
      </c>
      <c r="M288">
        <v>1</v>
      </c>
      <c r="N288" t="s">
        <v>80</v>
      </c>
      <c r="O288" s="1">
        <f>result[[#This Row],[n_killed_mutants_cumulativa]]/result[[#This Row],[tot_mutants]]</f>
        <v>0.16666666666666666</v>
      </c>
    </row>
    <row r="289" spans="1:16" hidden="1" x14ac:dyDescent="0.25">
      <c r="A289" t="s">
        <v>79</v>
      </c>
      <c r="B289" t="s">
        <v>40</v>
      </c>
      <c r="C289" t="s">
        <v>16</v>
      </c>
      <c r="D289">
        <v>90635</v>
      </c>
      <c r="E289">
        <v>1606</v>
      </c>
      <c r="F289">
        <v>130</v>
      </c>
      <c r="G289">
        <v>16900</v>
      </c>
      <c r="H289">
        <v>8634</v>
      </c>
      <c r="I289">
        <v>34422</v>
      </c>
      <c r="J289">
        <v>0</v>
      </c>
      <c r="K289">
        <v>0</v>
      </c>
      <c r="L289">
        <v>6</v>
      </c>
      <c r="M289">
        <v>1</v>
      </c>
      <c r="N289" t="s">
        <v>80</v>
      </c>
      <c r="O289" s="1">
        <f>result[[#This Row],[n_killed_mutants_cumulativa]]/result[[#This Row],[tot_mutants]]</f>
        <v>0.16666666666666666</v>
      </c>
    </row>
    <row r="290" spans="1:16" hidden="1" x14ac:dyDescent="0.25">
      <c r="A290" t="s">
        <v>79</v>
      </c>
      <c r="B290" t="s">
        <v>47</v>
      </c>
      <c r="C290" t="s">
        <v>16</v>
      </c>
      <c r="D290">
        <v>112203</v>
      </c>
      <c r="E290">
        <v>1786</v>
      </c>
      <c r="F290">
        <v>140</v>
      </c>
      <c r="G290">
        <v>19600</v>
      </c>
      <c r="H290">
        <v>9903</v>
      </c>
      <c r="I290">
        <v>39894</v>
      </c>
      <c r="J290">
        <v>0</v>
      </c>
      <c r="K290">
        <v>0</v>
      </c>
      <c r="L290">
        <v>6</v>
      </c>
      <c r="M290">
        <v>1</v>
      </c>
      <c r="N290" t="s">
        <v>80</v>
      </c>
      <c r="O290" s="1">
        <f>result[[#This Row],[n_killed_mutants_cumulativa]]/result[[#This Row],[tot_mutants]]</f>
        <v>0.16666666666666666</v>
      </c>
    </row>
    <row r="291" spans="1:16" hidden="1" x14ac:dyDescent="0.25">
      <c r="A291" t="s">
        <v>79</v>
      </c>
      <c r="B291" t="s">
        <v>48</v>
      </c>
      <c r="C291" t="s">
        <v>16</v>
      </c>
      <c r="D291">
        <v>130580</v>
      </c>
      <c r="E291">
        <v>2823</v>
      </c>
      <c r="F291">
        <v>150</v>
      </c>
      <c r="G291">
        <v>22500</v>
      </c>
      <c r="H291">
        <v>11442</v>
      </c>
      <c r="I291">
        <v>45768</v>
      </c>
      <c r="J291">
        <v>0</v>
      </c>
      <c r="K291">
        <v>0</v>
      </c>
      <c r="L291">
        <v>6</v>
      </c>
      <c r="M291">
        <v>1</v>
      </c>
      <c r="N291" t="s">
        <v>80</v>
      </c>
      <c r="O291" s="1">
        <f>result[[#This Row],[n_killed_mutants_cumulativa]]/result[[#This Row],[tot_mutants]]</f>
        <v>0.16666666666666666</v>
      </c>
    </row>
    <row r="292" spans="1:16" x14ac:dyDescent="0.25">
      <c r="A292" t="s">
        <v>79</v>
      </c>
      <c r="B292" t="s">
        <v>22</v>
      </c>
      <c r="C292" t="s">
        <v>16</v>
      </c>
      <c r="D292">
        <v>678241</v>
      </c>
      <c r="E292">
        <v>12625</v>
      </c>
      <c r="F292">
        <v>1200</v>
      </c>
      <c r="G292">
        <v>124000</v>
      </c>
      <c r="H292">
        <v>63272</v>
      </c>
      <c r="I292">
        <v>253510</v>
      </c>
      <c r="J292">
        <v>0</v>
      </c>
      <c r="K292">
        <v>0</v>
      </c>
      <c r="L292">
        <v>6</v>
      </c>
      <c r="M292">
        <v>1</v>
      </c>
      <c r="N292" t="s">
        <v>80</v>
      </c>
      <c r="O292" s="1">
        <f>result[[#This Row],[n_killed_mutants_cumulativa]]/result[[#This Row],[tot_mutants]]</f>
        <v>0.16666666666666666</v>
      </c>
      <c r="P292" s="9" t="s">
        <v>359</v>
      </c>
    </row>
    <row r="293" spans="1:16" hidden="1" x14ac:dyDescent="0.25">
      <c r="A293" t="s">
        <v>81</v>
      </c>
      <c r="B293" t="s">
        <v>15</v>
      </c>
      <c r="C293" t="s">
        <v>16</v>
      </c>
      <c r="D293">
        <v>1767</v>
      </c>
      <c r="E293">
        <v>217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10</v>
      </c>
      <c r="L293">
        <v>1</v>
      </c>
      <c r="M293">
        <v>0</v>
      </c>
      <c r="N293" t="s">
        <v>17</v>
      </c>
      <c r="O293" s="1">
        <f>result[[#This Row],[n_killed_mutants_cumulativa]]/result[[#This Row],[tot_mutants]]</f>
        <v>0</v>
      </c>
    </row>
    <row r="294" spans="1:16" hidden="1" x14ac:dyDescent="0.25">
      <c r="A294" t="s">
        <v>81</v>
      </c>
      <c r="B294" t="s">
        <v>18</v>
      </c>
      <c r="C294" t="s">
        <v>16</v>
      </c>
      <c r="D294">
        <v>1388</v>
      </c>
      <c r="E294">
        <v>350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20</v>
      </c>
      <c r="L294">
        <v>1</v>
      </c>
      <c r="M294">
        <v>0</v>
      </c>
      <c r="N294" t="s">
        <v>17</v>
      </c>
      <c r="O294" s="1">
        <f>result[[#This Row],[n_killed_mutants_cumulativa]]/result[[#This Row],[tot_mutants]]</f>
        <v>0</v>
      </c>
    </row>
    <row r="295" spans="1:16" hidden="1" x14ac:dyDescent="0.25">
      <c r="A295" t="s">
        <v>81</v>
      </c>
      <c r="B295" t="s">
        <v>19</v>
      </c>
      <c r="C295" t="s">
        <v>16</v>
      </c>
      <c r="D295">
        <v>1443</v>
      </c>
      <c r="E295">
        <v>359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30</v>
      </c>
      <c r="L295">
        <v>1</v>
      </c>
      <c r="M295">
        <v>0</v>
      </c>
      <c r="N295" t="s">
        <v>17</v>
      </c>
      <c r="O295" s="1">
        <f>result[[#This Row],[n_killed_mutants_cumulativa]]/result[[#This Row],[tot_mutants]]</f>
        <v>0</v>
      </c>
    </row>
    <row r="296" spans="1:16" hidden="1" x14ac:dyDescent="0.25">
      <c r="A296" t="s">
        <v>81</v>
      </c>
      <c r="B296" t="s">
        <v>20</v>
      </c>
      <c r="C296" t="s">
        <v>16</v>
      </c>
      <c r="D296">
        <v>1856</v>
      </c>
      <c r="E296">
        <v>617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40</v>
      </c>
      <c r="L296">
        <v>1</v>
      </c>
      <c r="M296">
        <v>0</v>
      </c>
      <c r="N296" t="s">
        <v>17</v>
      </c>
      <c r="O296" s="1">
        <f>result[[#This Row],[n_killed_mutants_cumulativa]]/result[[#This Row],[tot_mutants]]</f>
        <v>0</v>
      </c>
    </row>
    <row r="297" spans="1:16" hidden="1" x14ac:dyDescent="0.25">
      <c r="A297" t="s">
        <v>81</v>
      </c>
      <c r="B297" t="s">
        <v>21</v>
      </c>
      <c r="C297" t="s">
        <v>16</v>
      </c>
      <c r="D297">
        <v>2204</v>
      </c>
      <c r="E297">
        <v>741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50</v>
      </c>
      <c r="L297">
        <v>1</v>
      </c>
      <c r="M297">
        <v>0</v>
      </c>
      <c r="N297" t="s">
        <v>17</v>
      </c>
      <c r="O297" s="1">
        <f>result[[#This Row],[n_killed_mutants_cumulativa]]/result[[#This Row],[tot_mutants]]</f>
        <v>0</v>
      </c>
    </row>
    <row r="298" spans="1:16" hidden="1" x14ac:dyDescent="0.25">
      <c r="A298" t="s">
        <v>81</v>
      </c>
      <c r="B298" t="s">
        <v>22</v>
      </c>
      <c r="C298" t="s">
        <v>16</v>
      </c>
      <c r="D298">
        <v>8658</v>
      </c>
      <c r="E298">
        <v>2284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150</v>
      </c>
      <c r="L298">
        <v>1</v>
      </c>
      <c r="M298">
        <v>0</v>
      </c>
      <c r="N298" t="s">
        <v>17</v>
      </c>
      <c r="O298" s="1">
        <f>result[[#This Row],[n_killed_mutants_cumulativa]]/result[[#This Row],[tot_mutants]]</f>
        <v>0</v>
      </c>
    </row>
    <row r="299" spans="1:16" hidden="1" x14ac:dyDescent="0.25">
      <c r="A299" t="s">
        <v>82</v>
      </c>
      <c r="B299" t="s">
        <v>15</v>
      </c>
      <c r="C299" t="s">
        <v>16</v>
      </c>
      <c r="D299">
        <v>5013</v>
      </c>
      <c r="E299">
        <v>196</v>
      </c>
      <c r="F299">
        <v>10</v>
      </c>
      <c r="G299">
        <v>100</v>
      </c>
      <c r="H299">
        <v>100</v>
      </c>
      <c r="I299">
        <v>550</v>
      </c>
      <c r="J299">
        <v>0</v>
      </c>
      <c r="K299">
        <v>0</v>
      </c>
      <c r="L299">
        <v>6</v>
      </c>
      <c r="M299">
        <v>1</v>
      </c>
      <c r="N299" t="s">
        <v>80</v>
      </c>
      <c r="O299" s="1">
        <f>result[[#This Row],[n_killed_mutants_cumulativa]]/result[[#This Row],[tot_mutants]]</f>
        <v>0.16666666666666666</v>
      </c>
    </row>
    <row r="300" spans="1:16" hidden="1" x14ac:dyDescent="0.25">
      <c r="A300" t="s">
        <v>82</v>
      </c>
      <c r="B300" t="s">
        <v>18</v>
      </c>
      <c r="C300" t="s">
        <v>16</v>
      </c>
      <c r="D300">
        <v>6286</v>
      </c>
      <c r="E300">
        <v>101</v>
      </c>
      <c r="F300">
        <v>20</v>
      </c>
      <c r="G300">
        <v>400</v>
      </c>
      <c r="H300">
        <v>306</v>
      </c>
      <c r="I300">
        <v>2300</v>
      </c>
      <c r="J300">
        <v>0</v>
      </c>
      <c r="K300">
        <v>0</v>
      </c>
      <c r="L300">
        <v>6</v>
      </c>
      <c r="M300">
        <v>1</v>
      </c>
      <c r="N300" t="s">
        <v>80</v>
      </c>
      <c r="O300" s="1">
        <f>result[[#This Row],[n_killed_mutants_cumulativa]]/result[[#This Row],[tot_mutants]]</f>
        <v>0.16666666666666666</v>
      </c>
    </row>
    <row r="301" spans="1:16" hidden="1" x14ac:dyDescent="0.25">
      <c r="A301" t="s">
        <v>82</v>
      </c>
      <c r="B301" t="s">
        <v>19</v>
      </c>
      <c r="C301" t="s">
        <v>16</v>
      </c>
      <c r="D301">
        <v>9693</v>
      </c>
      <c r="E301">
        <v>102</v>
      </c>
      <c r="F301">
        <v>30</v>
      </c>
      <c r="G301">
        <v>900</v>
      </c>
      <c r="H301">
        <v>448</v>
      </c>
      <c r="I301">
        <v>5250</v>
      </c>
      <c r="J301">
        <v>0</v>
      </c>
      <c r="K301">
        <v>0</v>
      </c>
      <c r="L301">
        <v>6</v>
      </c>
      <c r="M301">
        <v>1</v>
      </c>
      <c r="N301" t="s">
        <v>80</v>
      </c>
      <c r="O301" s="1">
        <f>result[[#This Row],[n_killed_mutants_cumulativa]]/result[[#This Row],[tot_mutants]]</f>
        <v>0.16666666666666666</v>
      </c>
    </row>
    <row r="302" spans="1:16" hidden="1" x14ac:dyDescent="0.25">
      <c r="A302" t="s">
        <v>82</v>
      </c>
      <c r="B302" t="s">
        <v>20</v>
      </c>
      <c r="C302" t="s">
        <v>16</v>
      </c>
      <c r="D302">
        <v>14646</v>
      </c>
      <c r="E302">
        <v>117</v>
      </c>
      <c r="F302">
        <v>40</v>
      </c>
      <c r="G302">
        <v>1600</v>
      </c>
      <c r="H302">
        <v>600</v>
      </c>
      <c r="I302">
        <v>9400</v>
      </c>
      <c r="J302">
        <v>0</v>
      </c>
      <c r="K302">
        <v>0</v>
      </c>
      <c r="L302">
        <v>6</v>
      </c>
      <c r="M302">
        <v>1</v>
      </c>
      <c r="N302" t="s">
        <v>80</v>
      </c>
      <c r="O302" s="1">
        <f>result[[#This Row],[n_killed_mutants_cumulativa]]/result[[#This Row],[tot_mutants]]</f>
        <v>0.16666666666666666</v>
      </c>
    </row>
    <row r="303" spans="1:16" hidden="1" x14ac:dyDescent="0.25">
      <c r="A303" t="s">
        <v>82</v>
      </c>
      <c r="B303" t="s">
        <v>21</v>
      </c>
      <c r="C303" t="s">
        <v>16</v>
      </c>
      <c r="D303">
        <v>21025</v>
      </c>
      <c r="E303">
        <v>145</v>
      </c>
      <c r="F303">
        <v>50</v>
      </c>
      <c r="G303">
        <v>2500</v>
      </c>
      <c r="H303">
        <v>739</v>
      </c>
      <c r="I303">
        <v>14750</v>
      </c>
      <c r="J303">
        <v>0</v>
      </c>
      <c r="K303">
        <v>0</v>
      </c>
      <c r="L303">
        <v>6</v>
      </c>
      <c r="M303">
        <v>1</v>
      </c>
      <c r="N303" t="s">
        <v>80</v>
      </c>
      <c r="O303" s="1">
        <f>result[[#This Row],[n_killed_mutants_cumulativa]]/result[[#This Row],[tot_mutants]]</f>
        <v>0.16666666666666666</v>
      </c>
    </row>
    <row r="304" spans="1:16" hidden="1" x14ac:dyDescent="0.25">
      <c r="A304" t="s">
        <v>82</v>
      </c>
      <c r="B304" t="s">
        <v>24</v>
      </c>
      <c r="C304" t="s">
        <v>16</v>
      </c>
      <c r="D304">
        <v>28779</v>
      </c>
      <c r="E304">
        <v>179</v>
      </c>
      <c r="F304">
        <v>60</v>
      </c>
      <c r="G304">
        <v>3600</v>
      </c>
      <c r="H304">
        <v>878</v>
      </c>
      <c r="I304">
        <v>21300</v>
      </c>
      <c r="J304">
        <v>0</v>
      </c>
      <c r="K304">
        <v>0</v>
      </c>
      <c r="L304">
        <v>6</v>
      </c>
      <c r="M304">
        <v>1</v>
      </c>
      <c r="N304" t="s">
        <v>80</v>
      </c>
      <c r="O304" s="1">
        <f>result[[#This Row],[n_killed_mutants_cumulativa]]/result[[#This Row],[tot_mutants]]</f>
        <v>0.16666666666666666</v>
      </c>
    </row>
    <row r="305" spans="1:16" hidden="1" x14ac:dyDescent="0.25">
      <c r="A305" t="s">
        <v>82</v>
      </c>
      <c r="B305" t="s">
        <v>25</v>
      </c>
      <c r="C305" t="s">
        <v>16</v>
      </c>
      <c r="D305">
        <v>38704</v>
      </c>
      <c r="E305">
        <v>218</v>
      </c>
      <c r="F305">
        <v>70</v>
      </c>
      <c r="G305">
        <v>4900</v>
      </c>
      <c r="H305">
        <v>1032</v>
      </c>
      <c r="I305">
        <v>29050</v>
      </c>
      <c r="J305">
        <v>0</v>
      </c>
      <c r="K305">
        <v>0</v>
      </c>
      <c r="L305">
        <v>6</v>
      </c>
      <c r="M305">
        <v>1</v>
      </c>
      <c r="N305" t="s">
        <v>80</v>
      </c>
      <c r="O305" s="1">
        <f>result[[#This Row],[n_killed_mutants_cumulativa]]/result[[#This Row],[tot_mutants]]</f>
        <v>0.16666666666666666</v>
      </c>
    </row>
    <row r="306" spans="1:16" hidden="1" x14ac:dyDescent="0.25">
      <c r="A306" t="s">
        <v>82</v>
      </c>
      <c r="B306" t="s">
        <v>26</v>
      </c>
      <c r="C306" t="s">
        <v>16</v>
      </c>
      <c r="D306">
        <v>50038</v>
      </c>
      <c r="E306">
        <v>261</v>
      </c>
      <c r="F306">
        <v>80</v>
      </c>
      <c r="G306">
        <v>6400</v>
      </c>
      <c r="H306">
        <v>1182</v>
      </c>
      <c r="I306">
        <v>38000</v>
      </c>
      <c r="J306">
        <v>0</v>
      </c>
      <c r="K306">
        <v>0</v>
      </c>
      <c r="L306">
        <v>6</v>
      </c>
      <c r="M306">
        <v>1</v>
      </c>
      <c r="N306" t="s">
        <v>80</v>
      </c>
      <c r="O306" s="1">
        <f>result[[#This Row],[n_killed_mutants_cumulativa]]/result[[#This Row],[tot_mutants]]</f>
        <v>0.16666666666666666</v>
      </c>
    </row>
    <row r="307" spans="1:16" hidden="1" x14ac:dyDescent="0.25">
      <c r="A307" t="s">
        <v>82</v>
      </c>
      <c r="B307" t="s">
        <v>27</v>
      </c>
      <c r="C307" t="s">
        <v>16</v>
      </c>
      <c r="D307">
        <v>62967</v>
      </c>
      <c r="E307">
        <v>312</v>
      </c>
      <c r="F307">
        <v>90</v>
      </c>
      <c r="G307">
        <v>8100</v>
      </c>
      <c r="H307">
        <v>1401</v>
      </c>
      <c r="I307">
        <v>48220</v>
      </c>
      <c r="J307">
        <v>0</v>
      </c>
      <c r="K307">
        <v>0</v>
      </c>
      <c r="L307">
        <v>6</v>
      </c>
      <c r="M307">
        <v>1</v>
      </c>
      <c r="N307" t="s">
        <v>80</v>
      </c>
      <c r="O307" s="1">
        <f>result[[#This Row],[n_killed_mutants_cumulativa]]/result[[#This Row],[tot_mutants]]</f>
        <v>0.16666666666666666</v>
      </c>
    </row>
    <row r="308" spans="1:16" hidden="1" x14ac:dyDescent="0.25">
      <c r="A308" t="s">
        <v>82</v>
      </c>
      <c r="B308" t="s">
        <v>30</v>
      </c>
      <c r="C308" t="s">
        <v>16</v>
      </c>
      <c r="D308">
        <v>77745</v>
      </c>
      <c r="E308">
        <v>343</v>
      </c>
      <c r="F308">
        <v>100</v>
      </c>
      <c r="G308">
        <v>10000</v>
      </c>
      <c r="H308">
        <v>1474</v>
      </c>
      <c r="I308">
        <v>59500</v>
      </c>
      <c r="J308">
        <v>0</v>
      </c>
      <c r="K308">
        <v>0</v>
      </c>
      <c r="L308">
        <v>6</v>
      </c>
      <c r="M308">
        <v>1</v>
      </c>
      <c r="N308" t="s">
        <v>80</v>
      </c>
      <c r="O308" s="1">
        <f>result[[#This Row],[n_killed_mutants_cumulativa]]/result[[#This Row],[tot_mutants]]</f>
        <v>0.16666666666666666</v>
      </c>
    </row>
    <row r="309" spans="1:16" hidden="1" x14ac:dyDescent="0.25">
      <c r="A309" t="s">
        <v>82</v>
      </c>
      <c r="B309" t="s">
        <v>31</v>
      </c>
      <c r="C309" t="s">
        <v>16</v>
      </c>
      <c r="D309">
        <v>93987</v>
      </c>
      <c r="E309">
        <v>467</v>
      </c>
      <c r="F309">
        <v>108</v>
      </c>
      <c r="G309">
        <v>11880</v>
      </c>
      <c r="H309">
        <v>1651</v>
      </c>
      <c r="I309">
        <v>70740</v>
      </c>
      <c r="J309">
        <v>0</v>
      </c>
      <c r="K309">
        <v>0</v>
      </c>
      <c r="L309">
        <v>6</v>
      </c>
      <c r="M309">
        <v>1</v>
      </c>
      <c r="N309" t="s">
        <v>80</v>
      </c>
      <c r="O309" s="1">
        <f>result[[#This Row],[n_killed_mutants_cumulativa]]/result[[#This Row],[tot_mutants]]</f>
        <v>0.16666666666666666</v>
      </c>
    </row>
    <row r="310" spans="1:16" hidden="1" x14ac:dyDescent="0.25">
      <c r="A310" t="s">
        <v>82</v>
      </c>
      <c r="B310" t="s">
        <v>36</v>
      </c>
      <c r="C310" t="s">
        <v>16</v>
      </c>
      <c r="D310">
        <v>115172</v>
      </c>
      <c r="E310">
        <v>486</v>
      </c>
      <c r="F310">
        <v>120</v>
      </c>
      <c r="G310">
        <v>14400</v>
      </c>
      <c r="H310">
        <v>1819</v>
      </c>
      <c r="I310">
        <v>85800</v>
      </c>
      <c r="J310">
        <v>0</v>
      </c>
      <c r="K310">
        <v>0</v>
      </c>
      <c r="L310">
        <v>6</v>
      </c>
      <c r="M310">
        <v>1</v>
      </c>
      <c r="N310" t="s">
        <v>80</v>
      </c>
      <c r="O310" s="1">
        <f>result[[#This Row],[n_killed_mutants_cumulativa]]/result[[#This Row],[tot_mutants]]</f>
        <v>0.16666666666666666</v>
      </c>
    </row>
    <row r="311" spans="1:16" hidden="1" x14ac:dyDescent="0.25">
      <c r="A311" t="s">
        <v>82</v>
      </c>
      <c r="B311" t="s">
        <v>40</v>
      </c>
      <c r="C311" t="s">
        <v>16</v>
      </c>
      <c r="D311">
        <v>138322</v>
      </c>
      <c r="E311">
        <v>529</v>
      </c>
      <c r="F311">
        <v>129</v>
      </c>
      <c r="G311">
        <v>16770</v>
      </c>
      <c r="H311">
        <v>1923</v>
      </c>
      <c r="I311">
        <v>99975</v>
      </c>
      <c r="J311">
        <v>0</v>
      </c>
      <c r="K311">
        <v>0</v>
      </c>
      <c r="L311">
        <v>6</v>
      </c>
      <c r="M311">
        <v>1</v>
      </c>
      <c r="N311" t="s">
        <v>80</v>
      </c>
      <c r="O311" s="1">
        <f>result[[#This Row],[n_killed_mutants_cumulativa]]/result[[#This Row],[tot_mutants]]</f>
        <v>0.16666666666666666</v>
      </c>
    </row>
    <row r="312" spans="1:16" x14ac:dyDescent="0.25">
      <c r="A312" t="s">
        <v>82</v>
      </c>
      <c r="B312" t="s">
        <v>22</v>
      </c>
      <c r="C312" t="s">
        <v>16</v>
      </c>
      <c r="D312">
        <v>662377</v>
      </c>
      <c r="E312">
        <v>3456</v>
      </c>
      <c r="F312">
        <v>907</v>
      </c>
      <c r="G312">
        <v>81550</v>
      </c>
      <c r="H312">
        <v>13553</v>
      </c>
      <c r="I312">
        <v>484835</v>
      </c>
      <c r="J312">
        <v>0</v>
      </c>
      <c r="K312">
        <v>0</v>
      </c>
      <c r="L312">
        <v>6</v>
      </c>
      <c r="M312">
        <v>1</v>
      </c>
      <c r="N312" t="s">
        <v>80</v>
      </c>
      <c r="O312" s="1">
        <f>result[[#This Row],[n_killed_mutants_cumulativa]]/result[[#This Row],[tot_mutants]]</f>
        <v>0.16666666666666666</v>
      </c>
      <c r="P312" s="9" t="s">
        <v>374</v>
      </c>
    </row>
    <row r="313" spans="1:16" hidden="1" x14ac:dyDescent="0.25">
      <c r="A313" t="s">
        <v>83</v>
      </c>
      <c r="B313" t="s">
        <v>15</v>
      </c>
      <c r="C313" t="s">
        <v>16</v>
      </c>
      <c r="D313">
        <v>1456</v>
      </c>
      <c r="E313">
        <v>99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10</v>
      </c>
      <c r="L313">
        <v>3</v>
      </c>
      <c r="M313">
        <v>0</v>
      </c>
      <c r="N313" t="s">
        <v>17</v>
      </c>
      <c r="O313" s="1">
        <f>result[[#This Row],[n_killed_mutants_cumulativa]]/result[[#This Row],[tot_mutants]]</f>
        <v>0</v>
      </c>
    </row>
    <row r="314" spans="1:16" hidden="1" x14ac:dyDescent="0.25">
      <c r="A314" t="s">
        <v>83</v>
      </c>
      <c r="B314" t="s">
        <v>18</v>
      </c>
      <c r="C314" t="s">
        <v>16</v>
      </c>
      <c r="D314">
        <v>1013</v>
      </c>
      <c r="E314">
        <v>150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20</v>
      </c>
      <c r="L314">
        <v>3</v>
      </c>
      <c r="M314">
        <v>0</v>
      </c>
      <c r="N314" t="s">
        <v>17</v>
      </c>
      <c r="O314" s="1">
        <f>result[[#This Row],[n_killed_mutants_cumulativa]]/result[[#This Row],[tot_mutants]]</f>
        <v>0</v>
      </c>
    </row>
    <row r="315" spans="1:16" hidden="1" x14ac:dyDescent="0.25">
      <c r="A315" t="s">
        <v>83</v>
      </c>
      <c r="B315" t="s">
        <v>19</v>
      </c>
      <c r="C315" t="s">
        <v>16</v>
      </c>
      <c r="D315">
        <v>1134</v>
      </c>
      <c r="E315">
        <v>186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30</v>
      </c>
      <c r="L315">
        <v>3</v>
      </c>
      <c r="M315">
        <v>0</v>
      </c>
      <c r="N315" t="s">
        <v>17</v>
      </c>
      <c r="O315" s="1">
        <f>result[[#This Row],[n_killed_mutants_cumulativa]]/result[[#This Row],[tot_mutants]]</f>
        <v>0</v>
      </c>
    </row>
    <row r="316" spans="1:16" hidden="1" x14ac:dyDescent="0.25">
      <c r="A316" t="s">
        <v>83</v>
      </c>
      <c r="B316" t="s">
        <v>20</v>
      </c>
      <c r="C316" t="s">
        <v>16</v>
      </c>
      <c r="D316">
        <v>1158</v>
      </c>
      <c r="E316">
        <v>175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40</v>
      </c>
      <c r="L316">
        <v>3</v>
      </c>
      <c r="M316">
        <v>0</v>
      </c>
      <c r="N316" t="s">
        <v>17</v>
      </c>
      <c r="O316" s="1">
        <f>result[[#This Row],[n_killed_mutants_cumulativa]]/result[[#This Row],[tot_mutants]]</f>
        <v>0</v>
      </c>
    </row>
    <row r="317" spans="1:16" hidden="1" x14ac:dyDescent="0.25">
      <c r="A317" t="s">
        <v>83</v>
      </c>
      <c r="B317" t="s">
        <v>21</v>
      </c>
      <c r="C317" t="s">
        <v>16</v>
      </c>
      <c r="D317">
        <v>1336</v>
      </c>
      <c r="E317">
        <v>143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50</v>
      </c>
      <c r="L317">
        <v>3</v>
      </c>
      <c r="M317">
        <v>0</v>
      </c>
      <c r="N317" t="s">
        <v>17</v>
      </c>
      <c r="O317" s="1">
        <f>result[[#This Row],[n_killed_mutants_cumulativa]]/result[[#This Row],[tot_mutants]]</f>
        <v>0</v>
      </c>
    </row>
    <row r="318" spans="1:16" hidden="1" x14ac:dyDescent="0.25">
      <c r="A318" t="s">
        <v>83</v>
      </c>
      <c r="B318" t="s">
        <v>22</v>
      </c>
      <c r="C318" t="s">
        <v>16</v>
      </c>
      <c r="D318">
        <v>6097</v>
      </c>
      <c r="E318">
        <v>753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150</v>
      </c>
      <c r="L318">
        <v>3</v>
      </c>
      <c r="M318">
        <v>0</v>
      </c>
      <c r="N318" t="s">
        <v>17</v>
      </c>
      <c r="O318" s="1">
        <f>result[[#This Row],[n_killed_mutants_cumulativa]]/result[[#This Row],[tot_mutants]]</f>
        <v>0</v>
      </c>
    </row>
    <row r="319" spans="1:16" hidden="1" x14ac:dyDescent="0.25">
      <c r="A319" t="s">
        <v>84</v>
      </c>
      <c r="B319" t="s">
        <v>15</v>
      </c>
      <c r="C319" t="s">
        <v>16</v>
      </c>
      <c r="D319">
        <v>6638</v>
      </c>
      <c r="E319">
        <v>5633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44</v>
      </c>
      <c r="M319">
        <v>0</v>
      </c>
      <c r="N319" t="s">
        <v>17</v>
      </c>
      <c r="O319" s="1">
        <f>result[[#This Row],[n_killed_mutants_cumulativa]]/result[[#This Row],[tot_mutants]]</f>
        <v>0</v>
      </c>
    </row>
    <row r="320" spans="1:16" hidden="1" x14ac:dyDescent="0.25">
      <c r="A320" t="s">
        <v>84</v>
      </c>
      <c r="B320" t="s">
        <v>18</v>
      </c>
      <c r="C320" t="s">
        <v>16</v>
      </c>
      <c r="D320">
        <v>10120</v>
      </c>
      <c r="E320">
        <v>9691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</v>
      </c>
      <c r="L320">
        <v>44</v>
      </c>
      <c r="M320">
        <v>0</v>
      </c>
      <c r="N320" t="s">
        <v>17</v>
      </c>
      <c r="O320" s="1">
        <f>result[[#This Row],[n_killed_mutants_cumulativa]]/result[[#This Row],[tot_mutants]]</f>
        <v>0</v>
      </c>
    </row>
    <row r="321" spans="1:15" hidden="1" x14ac:dyDescent="0.25">
      <c r="A321" t="s">
        <v>84</v>
      </c>
      <c r="B321" t="s">
        <v>19</v>
      </c>
      <c r="C321" t="s">
        <v>16</v>
      </c>
      <c r="D321">
        <v>13818</v>
      </c>
      <c r="E321">
        <v>13770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44</v>
      </c>
      <c r="M321">
        <v>0</v>
      </c>
      <c r="N321" t="s">
        <v>17</v>
      </c>
      <c r="O321" s="1">
        <f>result[[#This Row],[n_killed_mutants_cumulativa]]/result[[#This Row],[tot_mutants]]</f>
        <v>0</v>
      </c>
    </row>
    <row r="322" spans="1:15" hidden="1" x14ac:dyDescent="0.25">
      <c r="A322" t="s">
        <v>84</v>
      </c>
      <c r="B322" t="s">
        <v>20</v>
      </c>
      <c r="C322" t="s">
        <v>16</v>
      </c>
      <c r="D322">
        <v>20812</v>
      </c>
      <c r="E322">
        <v>20752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44</v>
      </c>
      <c r="M322">
        <v>0</v>
      </c>
      <c r="N322" t="s">
        <v>17</v>
      </c>
      <c r="O322" s="1">
        <f>result[[#This Row],[n_killed_mutants_cumulativa]]/result[[#This Row],[tot_mutants]]</f>
        <v>0</v>
      </c>
    </row>
    <row r="323" spans="1:15" hidden="1" x14ac:dyDescent="0.25">
      <c r="A323" t="s">
        <v>84</v>
      </c>
      <c r="B323" t="s">
        <v>21</v>
      </c>
      <c r="C323" t="s">
        <v>16</v>
      </c>
      <c r="D323">
        <v>23206</v>
      </c>
      <c r="E323">
        <v>23167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44</v>
      </c>
      <c r="M323">
        <v>0</v>
      </c>
      <c r="N323" t="s">
        <v>17</v>
      </c>
      <c r="O323" s="1">
        <f>result[[#This Row],[n_killed_mutants_cumulativa]]/result[[#This Row],[tot_mutants]]</f>
        <v>0</v>
      </c>
    </row>
    <row r="324" spans="1:15" hidden="1" x14ac:dyDescent="0.25">
      <c r="A324" t="s">
        <v>84</v>
      </c>
      <c r="B324" t="s">
        <v>22</v>
      </c>
      <c r="C324" t="s">
        <v>16</v>
      </c>
      <c r="D324">
        <v>74594</v>
      </c>
      <c r="E324">
        <v>73013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3</v>
      </c>
      <c r="L324">
        <v>44</v>
      </c>
      <c r="M324">
        <v>0</v>
      </c>
      <c r="N324" t="s">
        <v>17</v>
      </c>
      <c r="O324" s="1">
        <f>result[[#This Row],[n_killed_mutants_cumulativa]]/result[[#This Row],[tot_mutants]]</f>
        <v>0</v>
      </c>
    </row>
    <row r="325" spans="1:15" hidden="1" x14ac:dyDescent="0.25">
      <c r="A325" t="s">
        <v>85</v>
      </c>
      <c r="B325" t="s">
        <v>15</v>
      </c>
      <c r="C325" t="s">
        <v>16</v>
      </c>
      <c r="D325">
        <v>3738</v>
      </c>
      <c r="E325">
        <v>143</v>
      </c>
      <c r="F325">
        <v>10</v>
      </c>
      <c r="G325">
        <v>100</v>
      </c>
      <c r="H325">
        <v>100</v>
      </c>
      <c r="I325">
        <v>210</v>
      </c>
      <c r="J325">
        <v>0</v>
      </c>
      <c r="K325">
        <v>0</v>
      </c>
      <c r="L325">
        <v>5</v>
      </c>
      <c r="M325">
        <v>1</v>
      </c>
      <c r="N325" t="s">
        <v>86</v>
      </c>
      <c r="O325" s="1">
        <f>result[[#This Row],[n_killed_mutants_cumulativa]]/result[[#This Row],[tot_mutants]]</f>
        <v>0.2</v>
      </c>
    </row>
    <row r="326" spans="1:15" hidden="1" x14ac:dyDescent="0.25">
      <c r="A326" t="s">
        <v>85</v>
      </c>
      <c r="B326" t="s">
        <v>18</v>
      </c>
      <c r="C326" t="s">
        <v>16</v>
      </c>
      <c r="D326">
        <v>3225</v>
      </c>
      <c r="E326">
        <v>56</v>
      </c>
      <c r="F326">
        <v>20</v>
      </c>
      <c r="G326">
        <v>400</v>
      </c>
      <c r="H326">
        <v>400</v>
      </c>
      <c r="I326">
        <v>820</v>
      </c>
      <c r="J326">
        <v>0</v>
      </c>
      <c r="K326">
        <v>0</v>
      </c>
      <c r="L326">
        <v>5</v>
      </c>
      <c r="M326">
        <v>1</v>
      </c>
      <c r="N326" t="s">
        <v>86</v>
      </c>
      <c r="O326" s="1">
        <f>result[[#This Row],[n_killed_mutants_cumulativa]]/result[[#This Row],[tot_mutants]]</f>
        <v>0.2</v>
      </c>
    </row>
    <row r="327" spans="1:15" hidden="1" x14ac:dyDescent="0.25">
      <c r="A327" t="s">
        <v>85</v>
      </c>
      <c r="B327" t="s">
        <v>19</v>
      </c>
      <c r="C327" t="s">
        <v>16</v>
      </c>
      <c r="D327">
        <v>5235</v>
      </c>
      <c r="E327">
        <v>65</v>
      </c>
      <c r="F327">
        <v>30</v>
      </c>
      <c r="G327">
        <v>900</v>
      </c>
      <c r="H327">
        <v>900</v>
      </c>
      <c r="I327">
        <v>1830</v>
      </c>
      <c r="J327">
        <v>0</v>
      </c>
      <c r="K327">
        <v>0</v>
      </c>
      <c r="L327">
        <v>5</v>
      </c>
      <c r="M327">
        <v>1</v>
      </c>
      <c r="N327" t="s">
        <v>86</v>
      </c>
      <c r="O327" s="1">
        <f>result[[#This Row],[n_killed_mutants_cumulativa]]/result[[#This Row],[tot_mutants]]</f>
        <v>0.2</v>
      </c>
    </row>
    <row r="328" spans="1:15" hidden="1" x14ac:dyDescent="0.25">
      <c r="A328" t="s">
        <v>85</v>
      </c>
      <c r="B328" t="s">
        <v>20</v>
      </c>
      <c r="C328" t="s">
        <v>16</v>
      </c>
      <c r="D328">
        <v>7231</v>
      </c>
      <c r="E328">
        <v>109</v>
      </c>
      <c r="F328">
        <v>40</v>
      </c>
      <c r="G328">
        <v>1600</v>
      </c>
      <c r="H328">
        <v>1600</v>
      </c>
      <c r="I328">
        <v>3240</v>
      </c>
      <c r="J328">
        <v>0</v>
      </c>
      <c r="K328">
        <v>0</v>
      </c>
      <c r="L328">
        <v>5</v>
      </c>
      <c r="M328">
        <v>1</v>
      </c>
      <c r="N328" t="s">
        <v>86</v>
      </c>
      <c r="O328" s="1">
        <f>result[[#This Row],[n_killed_mutants_cumulativa]]/result[[#This Row],[tot_mutants]]</f>
        <v>0.2</v>
      </c>
    </row>
    <row r="329" spans="1:15" hidden="1" x14ac:dyDescent="0.25">
      <c r="A329" t="s">
        <v>85</v>
      </c>
      <c r="B329" t="s">
        <v>21</v>
      </c>
      <c r="C329" t="s">
        <v>16</v>
      </c>
      <c r="D329">
        <v>10121</v>
      </c>
      <c r="E329">
        <v>170</v>
      </c>
      <c r="F329">
        <v>50</v>
      </c>
      <c r="G329">
        <v>2500</v>
      </c>
      <c r="H329">
        <v>2500</v>
      </c>
      <c r="I329">
        <v>5050</v>
      </c>
      <c r="J329">
        <v>0</v>
      </c>
      <c r="K329">
        <v>0</v>
      </c>
      <c r="L329">
        <v>5</v>
      </c>
      <c r="M329">
        <v>1</v>
      </c>
      <c r="N329" t="s">
        <v>86</v>
      </c>
      <c r="O329" s="1">
        <f>result[[#This Row],[n_killed_mutants_cumulativa]]/result[[#This Row],[tot_mutants]]</f>
        <v>0.2</v>
      </c>
    </row>
    <row r="330" spans="1:15" hidden="1" x14ac:dyDescent="0.25">
      <c r="A330" t="s">
        <v>85</v>
      </c>
      <c r="B330" t="s">
        <v>24</v>
      </c>
      <c r="C330" t="s">
        <v>16</v>
      </c>
      <c r="D330">
        <v>13706</v>
      </c>
      <c r="E330">
        <v>206</v>
      </c>
      <c r="F330">
        <v>60</v>
      </c>
      <c r="G330">
        <v>3600</v>
      </c>
      <c r="H330">
        <v>3600</v>
      </c>
      <c r="I330">
        <v>7260</v>
      </c>
      <c r="J330">
        <v>0</v>
      </c>
      <c r="K330">
        <v>0</v>
      </c>
      <c r="L330">
        <v>5</v>
      </c>
      <c r="M330">
        <v>1</v>
      </c>
      <c r="N330" t="s">
        <v>86</v>
      </c>
      <c r="O330" s="1">
        <f>result[[#This Row],[n_killed_mutants_cumulativa]]/result[[#This Row],[tot_mutants]]</f>
        <v>0.2</v>
      </c>
    </row>
    <row r="331" spans="1:15" hidden="1" x14ac:dyDescent="0.25">
      <c r="A331" t="s">
        <v>85</v>
      </c>
      <c r="B331" t="s">
        <v>25</v>
      </c>
      <c r="C331" t="s">
        <v>16</v>
      </c>
      <c r="D331">
        <v>18017</v>
      </c>
      <c r="E331">
        <v>359</v>
      </c>
      <c r="F331">
        <v>70</v>
      </c>
      <c r="G331">
        <v>4900</v>
      </c>
      <c r="H331">
        <v>4900</v>
      </c>
      <c r="I331">
        <v>9870</v>
      </c>
      <c r="J331">
        <v>0</v>
      </c>
      <c r="K331">
        <v>0</v>
      </c>
      <c r="L331">
        <v>5</v>
      </c>
      <c r="M331">
        <v>1</v>
      </c>
      <c r="N331" t="s">
        <v>86</v>
      </c>
      <c r="O331" s="1">
        <f>result[[#This Row],[n_killed_mutants_cumulativa]]/result[[#This Row],[tot_mutants]]</f>
        <v>0.2</v>
      </c>
    </row>
    <row r="332" spans="1:15" hidden="1" x14ac:dyDescent="0.25">
      <c r="A332" t="s">
        <v>85</v>
      </c>
      <c r="B332" t="s">
        <v>26</v>
      </c>
      <c r="C332" t="s">
        <v>16</v>
      </c>
      <c r="D332">
        <v>23053</v>
      </c>
      <c r="E332">
        <v>359</v>
      </c>
      <c r="F332">
        <v>80</v>
      </c>
      <c r="G332">
        <v>6400</v>
      </c>
      <c r="H332">
        <v>6400</v>
      </c>
      <c r="I332">
        <v>12880</v>
      </c>
      <c r="J332">
        <v>0</v>
      </c>
      <c r="K332">
        <v>0</v>
      </c>
      <c r="L332">
        <v>5</v>
      </c>
      <c r="M332">
        <v>1</v>
      </c>
      <c r="N332" t="s">
        <v>86</v>
      </c>
      <c r="O332" s="1">
        <f>result[[#This Row],[n_killed_mutants_cumulativa]]/result[[#This Row],[tot_mutants]]</f>
        <v>0.2</v>
      </c>
    </row>
    <row r="333" spans="1:15" hidden="1" x14ac:dyDescent="0.25">
      <c r="A333" t="s">
        <v>85</v>
      </c>
      <c r="B333" t="s">
        <v>27</v>
      </c>
      <c r="C333" t="s">
        <v>16</v>
      </c>
      <c r="D333">
        <v>28885</v>
      </c>
      <c r="E333">
        <v>448</v>
      </c>
      <c r="F333">
        <v>90</v>
      </c>
      <c r="G333">
        <v>8100</v>
      </c>
      <c r="H333">
        <v>8100</v>
      </c>
      <c r="I333">
        <v>16290</v>
      </c>
      <c r="J333">
        <v>0</v>
      </c>
      <c r="K333">
        <v>0</v>
      </c>
      <c r="L333">
        <v>5</v>
      </c>
      <c r="M333">
        <v>1</v>
      </c>
      <c r="N333" t="s">
        <v>86</v>
      </c>
      <c r="O333" s="1">
        <f>result[[#This Row],[n_killed_mutants_cumulativa]]/result[[#This Row],[tot_mutants]]</f>
        <v>0.2</v>
      </c>
    </row>
    <row r="334" spans="1:15" hidden="1" x14ac:dyDescent="0.25">
      <c r="A334" t="s">
        <v>85</v>
      </c>
      <c r="B334" t="s">
        <v>30</v>
      </c>
      <c r="C334" t="s">
        <v>16</v>
      </c>
      <c r="D334">
        <v>35751</v>
      </c>
      <c r="E334">
        <v>549</v>
      </c>
      <c r="F334">
        <v>100</v>
      </c>
      <c r="G334">
        <v>10000</v>
      </c>
      <c r="H334">
        <v>10000</v>
      </c>
      <c r="I334">
        <v>20100</v>
      </c>
      <c r="J334">
        <v>0</v>
      </c>
      <c r="K334">
        <v>0</v>
      </c>
      <c r="L334">
        <v>5</v>
      </c>
      <c r="M334">
        <v>1</v>
      </c>
      <c r="N334" t="s">
        <v>86</v>
      </c>
      <c r="O334" s="1">
        <f>result[[#This Row],[n_killed_mutants_cumulativa]]/result[[#This Row],[tot_mutants]]</f>
        <v>0.2</v>
      </c>
    </row>
    <row r="335" spans="1:15" hidden="1" x14ac:dyDescent="0.25">
      <c r="A335" t="s">
        <v>85</v>
      </c>
      <c r="B335" t="s">
        <v>31</v>
      </c>
      <c r="C335" t="s">
        <v>16</v>
      </c>
      <c r="D335">
        <v>44543</v>
      </c>
      <c r="E335">
        <v>662</v>
      </c>
      <c r="F335">
        <v>110</v>
      </c>
      <c r="G335">
        <v>12100</v>
      </c>
      <c r="H335">
        <v>12100</v>
      </c>
      <c r="I335">
        <v>24310</v>
      </c>
      <c r="J335">
        <v>0</v>
      </c>
      <c r="K335">
        <v>0</v>
      </c>
      <c r="L335">
        <v>5</v>
      </c>
      <c r="M335">
        <v>1</v>
      </c>
      <c r="N335" t="s">
        <v>86</v>
      </c>
      <c r="O335" s="1">
        <f>result[[#This Row],[n_killed_mutants_cumulativa]]/result[[#This Row],[tot_mutants]]</f>
        <v>0.2</v>
      </c>
    </row>
    <row r="336" spans="1:15" hidden="1" x14ac:dyDescent="0.25">
      <c r="A336" t="s">
        <v>85</v>
      </c>
      <c r="B336" t="s">
        <v>36</v>
      </c>
      <c r="C336" t="s">
        <v>16</v>
      </c>
      <c r="D336">
        <v>53378</v>
      </c>
      <c r="E336">
        <v>795</v>
      </c>
      <c r="F336">
        <v>120</v>
      </c>
      <c r="G336">
        <v>14400</v>
      </c>
      <c r="H336">
        <v>14400</v>
      </c>
      <c r="I336">
        <v>28920</v>
      </c>
      <c r="J336">
        <v>0</v>
      </c>
      <c r="K336">
        <v>0</v>
      </c>
      <c r="L336">
        <v>5</v>
      </c>
      <c r="M336">
        <v>1</v>
      </c>
      <c r="N336" t="s">
        <v>86</v>
      </c>
      <c r="O336" s="1">
        <f>result[[#This Row],[n_killed_mutants_cumulativa]]/result[[#This Row],[tot_mutants]]</f>
        <v>0.2</v>
      </c>
    </row>
    <row r="337" spans="1:16" hidden="1" x14ac:dyDescent="0.25">
      <c r="A337" t="s">
        <v>85</v>
      </c>
      <c r="B337" t="s">
        <v>40</v>
      </c>
      <c r="C337" t="s">
        <v>16</v>
      </c>
      <c r="D337">
        <v>63622</v>
      </c>
      <c r="E337">
        <v>913</v>
      </c>
      <c r="F337">
        <v>130</v>
      </c>
      <c r="G337">
        <v>16900</v>
      </c>
      <c r="H337">
        <v>16900</v>
      </c>
      <c r="I337">
        <v>33930</v>
      </c>
      <c r="J337">
        <v>0</v>
      </c>
      <c r="K337">
        <v>0</v>
      </c>
      <c r="L337">
        <v>5</v>
      </c>
      <c r="M337">
        <v>1</v>
      </c>
      <c r="N337" t="s">
        <v>86</v>
      </c>
      <c r="O337" s="1">
        <f>result[[#This Row],[n_killed_mutants_cumulativa]]/result[[#This Row],[tot_mutants]]</f>
        <v>0.2</v>
      </c>
    </row>
    <row r="338" spans="1:16" hidden="1" x14ac:dyDescent="0.25">
      <c r="A338" t="s">
        <v>85</v>
      </c>
      <c r="B338" t="s">
        <v>47</v>
      </c>
      <c r="C338" t="s">
        <v>16</v>
      </c>
      <c r="D338">
        <v>74921</v>
      </c>
      <c r="E338">
        <v>1064</v>
      </c>
      <c r="F338">
        <v>140</v>
      </c>
      <c r="G338">
        <v>19600</v>
      </c>
      <c r="H338">
        <v>19600</v>
      </c>
      <c r="I338">
        <v>39340</v>
      </c>
      <c r="J338">
        <v>0</v>
      </c>
      <c r="K338">
        <v>0</v>
      </c>
      <c r="L338">
        <v>5</v>
      </c>
      <c r="M338">
        <v>1</v>
      </c>
      <c r="N338" t="s">
        <v>86</v>
      </c>
      <c r="O338" s="1">
        <f>result[[#This Row],[n_killed_mutants_cumulativa]]/result[[#This Row],[tot_mutants]]</f>
        <v>0.2</v>
      </c>
    </row>
    <row r="339" spans="1:16" hidden="1" x14ac:dyDescent="0.25">
      <c r="A339" t="s">
        <v>85</v>
      </c>
      <c r="B339" t="s">
        <v>48</v>
      </c>
      <c r="C339" t="s">
        <v>16</v>
      </c>
      <c r="D339">
        <v>88007</v>
      </c>
      <c r="E339">
        <v>1210</v>
      </c>
      <c r="F339">
        <v>150</v>
      </c>
      <c r="G339">
        <v>22500</v>
      </c>
      <c r="H339">
        <v>22500</v>
      </c>
      <c r="I339">
        <v>45150</v>
      </c>
      <c r="J339">
        <v>0</v>
      </c>
      <c r="K339">
        <v>0</v>
      </c>
      <c r="L339">
        <v>5</v>
      </c>
      <c r="M339">
        <v>1</v>
      </c>
      <c r="N339" t="s">
        <v>86</v>
      </c>
      <c r="O339" s="1">
        <f>result[[#This Row],[n_killed_mutants_cumulativa]]/result[[#This Row],[tot_mutants]]</f>
        <v>0.2</v>
      </c>
    </row>
    <row r="340" spans="1:16" hidden="1" x14ac:dyDescent="0.25">
      <c r="A340" t="s">
        <v>85</v>
      </c>
      <c r="B340" t="s">
        <v>49</v>
      </c>
      <c r="C340" t="s">
        <v>16</v>
      </c>
      <c r="D340">
        <v>101584</v>
      </c>
      <c r="E340">
        <v>1383</v>
      </c>
      <c r="F340">
        <v>160</v>
      </c>
      <c r="G340">
        <v>25600</v>
      </c>
      <c r="H340">
        <v>25600</v>
      </c>
      <c r="I340">
        <v>51360</v>
      </c>
      <c r="J340">
        <v>0</v>
      </c>
      <c r="K340">
        <v>0</v>
      </c>
      <c r="L340">
        <v>5</v>
      </c>
      <c r="M340">
        <v>1</v>
      </c>
      <c r="N340" t="s">
        <v>86</v>
      </c>
      <c r="O340" s="1">
        <f>result[[#This Row],[n_killed_mutants_cumulativa]]/result[[#This Row],[tot_mutants]]</f>
        <v>0.2</v>
      </c>
    </row>
    <row r="341" spans="1:16" hidden="1" x14ac:dyDescent="0.25">
      <c r="A341" t="s">
        <v>85</v>
      </c>
      <c r="B341" t="s">
        <v>50</v>
      </c>
      <c r="C341" t="s">
        <v>16</v>
      </c>
      <c r="D341">
        <v>117061</v>
      </c>
      <c r="E341">
        <v>1562</v>
      </c>
      <c r="F341">
        <v>170</v>
      </c>
      <c r="G341">
        <v>28900</v>
      </c>
      <c r="H341">
        <v>28900</v>
      </c>
      <c r="I341">
        <v>57970</v>
      </c>
      <c r="J341">
        <v>0</v>
      </c>
      <c r="K341">
        <v>0</v>
      </c>
      <c r="L341">
        <v>5</v>
      </c>
      <c r="M341">
        <v>1</v>
      </c>
      <c r="N341" t="s">
        <v>86</v>
      </c>
      <c r="O341" s="1">
        <f>result[[#This Row],[n_killed_mutants_cumulativa]]/result[[#This Row],[tot_mutants]]</f>
        <v>0.2</v>
      </c>
    </row>
    <row r="342" spans="1:16" x14ac:dyDescent="0.25">
      <c r="A342" t="s">
        <v>85</v>
      </c>
      <c r="B342" t="s">
        <v>22</v>
      </c>
      <c r="C342" t="s">
        <v>16</v>
      </c>
      <c r="D342">
        <v>692078</v>
      </c>
      <c r="E342">
        <v>10053</v>
      </c>
      <c r="F342">
        <v>1530</v>
      </c>
      <c r="G342">
        <v>178500</v>
      </c>
      <c r="H342">
        <v>178500</v>
      </c>
      <c r="I342">
        <v>358530</v>
      </c>
      <c r="J342">
        <v>0</v>
      </c>
      <c r="K342">
        <v>0</v>
      </c>
      <c r="L342">
        <v>5</v>
      </c>
      <c r="M342">
        <v>1</v>
      </c>
      <c r="N342" t="s">
        <v>86</v>
      </c>
      <c r="O342" s="1">
        <f>result[[#This Row],[n_killed_mutants_cumulativa]]/result[[#This Row],[tot_mutants]]</f>
        <v>0.2</v>
      </c>
      <c r="P342" s="9" t="s">
        <v>359</v>
      </c>
    </row>
    <row r="343" spans="1:16" hidden="1" x14ac:dyDescent="0.25">
      <c r="A343" t="s">
        <v>87</v>
      </c>
      <c r="B343" t="s">
        <v>15</v>
      </c>
      <c r="C343" t="s">
        <v>16</v>
      </c>
      <c r="D343">
        <v>5318</v>
      </c>
      <c r="E343">
        <v>156</v>
      </c>
      <c r="F343">
        <v>10</v>
      </c>
      <c r="G343">
        <v>100</v>
      </c>
      <c r="H343">
        <v>36</v>
      </c>
      <c r="I343">
        <v>608</v>
      </c>
      <c r="J343">
        <v>0</v>
      </c>
      <c r="K343">
        <v>0</v>
      </c>
      <c r="L343">
        <v>6</v>
      </c>
      <c r="M343">
        <v>0</v>
      </c>
      <c r="N343" t="s">
        <v>17</v>
      </c>
      <c r="O343" s="1">
        <f>result[[#This Row],[n_killed_mutants_cumulativa]]/result[[#This Row],[tot_mutants]]</f>
        <v>0</v>
      </c>
    </row>
    <row r="344" spans="1:16" hidden="1" x14ac:dyDescent="0.25">
      <c r="A344" t="s">
        <v>87</v>
      </c>
      <c r="B344" t="s">
        <v>18</v>
      </c>
      <c r="C344" t="s">
        <v>16</v>
      </c>
      <c r="D344">
        <v>6496</v>
      </c>
      <c r="E344">
        <v>77</v>
      </c>
      <c r="F344">
        <v>20</v>
      </c>
      <c r="G344">
        <v>400</v>
      </c>
      <c r="H344">
        <v>61</v>
      </c>
      <c r="I344">
        <v>2147</v>
      </c>
      <c r="J344">
        <v>0</v>
      </c>
      <c r="K344">
        <v>0</v>
      </c>
      <c r="L344">
        <v>6</v>
      </c>
      <c r="M344">
        <v>0</v>
      </c>
      <c r="N344" t="s">
        <v>17</v>
      </c>
      <c r="O344" s="1">
        <f>result[[#This Row],[n_killed_mutants_cumulativa]]/result[[#This Row],[tot_mutants]]</f>
        <v>0</v>
      </c>
    </row>
    <row r="345" spans="1:16" hidden="1" x14ac:dyDescent="0.25">
      <c r="A345" t="s">
        <v>87</v>
      </c>
      <c r="B345" t="s">
        <v>19</v>
      </c>
      <c r="C345" t="s">
        <v>16</v>
      </c>
      <c r="D345">
        <v>10525</v>
      </c>
      <c r="E345">
        <v>145</v>
      </c>
      <c r="F345">
        <v>30</v>
      </c>
      <c r="G345">
        <v>900</v>
      </c>
      <c r="H345">
        <v>83</v>
      </c>
      <c r="I345">
        <v>5060</v>
      </c>
      <c r="J345">
        <v>0</v>
      </c>
      <c r="K345">
        <v>0</v>
      </c>
      <c r="L345">
        <v>6</v>
      </c>
      <c r="M345">
        <v>0</v>
      </c>
      <c r="N345" t="s">
        <v>17</v>
      </c>
      <c r="O345" s="1">
        <f>result[[#This Row],[n_killed_mutants_cumulativa]]/result[[#This Row],[tot_mutants]]</f>
        <v>0</v>
      </c>
    </row>
    <row r="346" spans="1:16" hidden="1" x14ac:dyDescent="0.25">
      <c r="A346" t="s">
        <v>87</v>
      </c>
      <c r="B346" t="s">
        <v>20</v>
      </c>
      <c r="C346" t="s">
        <v>16</v>
      </c>
      <c r="D346">
        <v>16579</v>
      </c>
      <c r="E346">
        <v>276</v>
      </c>
      <c r="F346">
        <v>40</v>
      </c>
      <c r="G346">
        <v>1600</v>
      </c>
      <c r="H346">
        <v>89</v>
      </c>
      <c r="I346">
        <v>9125</v>
      </c>
      <c r="J346">
        <v>0</v>
      </c>
      <c r="K346">
        <v>0</v>
      </c>
      <c r="L346">
        <v>6</v>
      </c>
      <c r="M346">
        <v>0</v>
      </c>
      <c r="N346" t="s">
        <v>17</v>
      </c>
      <c r="O346" s="1">
        <f>result[[#This Row],[n_killed_mutants_cumulativa]]/result[[#This Row],[tot_mutants]]</f>
        <v>0</v>
      </c>
    </row>
    <row r="347" spans="1:16" hidden="1" x14ac:dyDescent="0.25">
      <c r="A347" t="s">
        <v>87</v>
      </c>
      <c r="B347" t="s">
        <v>21</v>
      </c>
      <c r="C347" t="s">
        <v>16</v>
      </c>
      <c r="D347">
        <v>23598</v>
      </c>
      <c r="E347">
        <v>477</v>
      </c>
      <c r="F347">
        <v>50</v>
      </c>
      <c r="G347">
        <v>2500</v>
      </c>
      <c r="H347">
        <v>138</v>
      </c>
      <c r="I347">
        <v>13674</v>
      </c>
      <c r="J347">
        <v>0</v>
      </c>
      <c r="K347">
        <v>0</v>
      </c>
      <c r="L347">
        <v>6</v>
      </c>
      <c r="M347">
        <v>0</v>
      </c>
      <c r="N347" t="s">
        <v>17</v>
      </c>
      <c r="O347" s="1">
        <f>result[[#This Row],[n_killed_mutants_cumulativa]]/result[[#This Row],[tot_mutants]]</f>
        <v>0</v>
      </c>
    </row>
    <row r="348" spans="1:16" hidden="1" x14ac:dyDescent="0.25">
      <c r="A348" t="s">
        <v>87</v>
      </c>
      <c r="B348" t="s">
        <v>24</v>
      </c>
      <c r="C348" t="s">
        <v>16</v>
      </c>
      <c r="D348">
        <v>32757</v>
      </c>
      <c r="E348">
        <v>812</v>
      </c>
      <c r="F348">
        <v>60</v>
      </c>
      <c r="G348">
        <v>3600</v>
      </c>
      <c r="H348">
        <v>162</v>
      </c>
      <c r="I348">
        <v>20677</v>
      </c>
      <c r="J348">
        <v>0</v>
      </c>
      <c r="K348">
        <v>0</v>
      </c>
      <c r="L348">
        <v>6</v>
      </c>
      <c r="M348">
        <v>0</v>
      </c>
      <c r="N348" t="s">
        <v>17</v>
      </c>
      <c r="O348" s="1">
        <f>result[[#This Row],[n_killed_mutants_cumulativa]]/result[[#This Row],[tot_mutants]]</f>
        <v>0</v>
      </c>
    </row>
    <row r="349" spans="1:16" hidden="1" x14ac:dyDescent="0.25">
      <c r="A349" t="s">
        <v>87</v>
      </c>
      <c r="B349" t="s">
        <v>25</v>
      </c>
      <c r="C349" t="s">
        <v>16</v>
      </c>
      <c r="D349">
        <v>44191</v>
      </c>
      <c r="E349">
        <v>1399</v>
      </c>
      <c r="F349">
        <v>70</v>
      </c>
      <c r="G349">
        <v>4900</v>
      </c>
      <c r="H349">
        <v>193</v>
      </c>
      <c r="I349">
        <v>27758</v>
      </c>
      <c r="J349">
        <v>0</v>
      </c>
      <c r="K349">
        <v>0</v>
      </c>
      <c r="L349">
        <v>6</v>
      </c>
      <c r="M349">
        <v>0</v>
      </c>
      <c r="N349" t="s">
        <v>17</v>
      </c>
      <c r="O349" s="1">
        <f>result[[#This Row],[n_killed_mutants_cumulativa]]/result[[#This Row],[tot_mutants]]</f>
        <v>0</v>
      </c>
    </row>
    <row r="350" spans="1:16" hidden="1" x14ac:dyDescent="0.25">
      <c r="A350" t="s">
        <v>87</v>
      </c>
      <c r="B350" t="s">
        <v>26</v>
      </c>
      <c r="C350" t="s">
        <v>16</v>
      </c>
      <c r="D350">
        <v>58060</v>
      </c>
      <c r="E350">
        <v>1828</v>
      </c>
      <c r="F350">
        <v>80</v>
      </c>
      <c r="G350">
        <v>6400</v>
      </c>
      <c r="H350">
        <v>222</v>
      </c>
      <c r="I350">
        <v>37726</v>
      </c>
      <c r="J350">
        <v>0</v>
      </c>
      <c r="K350">
        <v>0</v>
      </c>
      <c r="L350">
        <v>6</v>
      </c>
      <c r="M350">
        <v>0</v>
      </c>
      <c r="N350" t="s">
        <v>17</v>
      </c>
      <c r="O350" s="1">
        <f>result[[#This Row],[n_killed_mutants_cumulativa]]/result[[#This Row],[tot_mutants]]</f>
        <v>0</v>
      </c>
    </row>
    <row r="351" spans="1:16" hidden="1" x14ac:dyDescent="0.25">
      <c r="A351" t="s">
        <v>87</v>
      </c>
      <c r="B351" t="s">
        <v>27</v>
      </c>
      <c r="C351" t="s">
        <v>16</v>
      </c>
      <c r="D351">
        <v>72587</v>
      </c>
      <c r="E351">
        <v>2694</v>
      </c>
      <c r="F351">
        <v>90</v>
      </c>
      <c r="G351">
        <v>8100</v>
      </c>
      <c r="H351">
        <v>255</v>
      </c>
      <c r="I351">
        <v>47301</v>
      </c>
      <c r="J351">
        <v>0</v>
      </c>
      <c r="K351">
        <v>0</v>
      </c>
      <c r="L351">
        <v>6</v>
      </c>
      <c r="M351">
        <v>0</v>
      </c>
      <c r="N351" t="s">
        <v>17</v>
      </c>
      <c r="O351" s="1">
        <f>result[[#This Row],[n_killed_mutants_cumulativa]]/result[[#This Row],[tot_mutants]]</f>
        <v>0</v>
      </c>
    </row>
    <row r="352" spans="1:16" hidden="1" x14ac:dyDescent="0.25">
      <c r="A352" t="s">
        <v>87</v>
      </c>
      <c r="B352" t="s">
        <v>30</v>
      </c>
      <c r="C352" t="s">
        <v>16</v>
      </c>
      <c r="D352">
        <v>90781</v>
      </c>
      <c r="E352">
        <v>3662</v>
      </c>
      <c r="F352">
        <v>100</v>
      </c>
      <c r="G352">
        <v>10000</v>
      </c>
      <c r="H352">
        <v>288</v>
      </c>
      <c r="I352">
        <v>57940</v>
      </c>
      <c r="J352">
        <v>0</v>
      </c>
      <c r="K352">
        <v>0</v>
      </c>
      <c r="L352">
        <v>6</v>
      </c>
      <c r="M352">
        <v>0</v>
      </c>
      <c r="N352" t="s">
        <v>17</v>
      </c>
      <c r="O352" s="1">
        <f>result[[#This Row],[n_killed_mutants_cumulativa]]/result[[#This Row],[tot_mutants]]</f>
        <v>0</v>
      </c>
    </row>
    <row r="353" spans="1:16" hidden="1" x14ac:dyDescent="0.25">
      <c r="A353" t="s">
        <v>87</v>
      </c>
      <c r="B353" t="s">
        <v>31</v>
      </c>
      <c r="C353" t="s">
        <v>16</v>
      </c>
      <c r="D353">
        <v>117266</v>
      </c>
      <c r="E353">
        <v>4574</v>
      </c>
      <c r="F353">
        <v>110</v>
      </c>
      <c r="G353">
        <v>12100</v>
      </c>
      <c r="H353">
        <v>335</v>
      </c>
      <c r="I353">
        <v>72406</v>
      </c>
      <c r="J353">
        <v>0</v>
      </c>
      <c r="K353">
        <v>0</v>
      </c>
      <c r="L353">
        <v>6</v>
      </c>
      <c r="M353">
        <v>0</v>
      </c>
      <c r="N353" t="s">
        <v>17</v>
      </c>
      <c r="O353" s="1">
        <f>result[[#This Row],[n_killed_mutants_cumulativa]]/result[[#This Row],[tot_mutants]]</f>
        <v>0</v>
      </c>
    </row>
    <row r="354" spans="1:16" hidden="1" x14ac:dyDescent="0.25">
      <c r="A354" t="s">
        <v>87</v>
      </c>
      <c r="B354" t="s">
        <v>36</v>
      </c>
      <c r="C354" t="s">
        <v>16</v>
      </c>
      <c r="D354">
        <v>145282</v>
      </c>
      <c r="E354">
        <v>6229</v>
      </c>
      <c r="F354">
        <v>120</v>
      </c>
      <c r="G354">
        <v>14400</v>
      </c>
      <c r="H354">
        <v>332</v>
      </c>
      <c r="I354">
        <v>83827</v>
      </c>
      <c r="J354">
        <v>0</v>
      </c>
      <c r="K354">
        <v>0</v>
      </c>
      <c r="L354">
        <v>6</v>
      </c>
      <c r="M354">
        <v>0</v>
      </c>
      <c r="N354" t="s">
        <v>17</v>
      </c>
      <c r="O354" s="1">
        <f>result[[#This Row],[n_killed_mutants_cumulativa]]/result[[#This Row],[tot_mutants]]</f>
        <v>0</v>
      </c>
    </row>
    <row r="355" spans="1:16" hidden="1" x14ac:dyDescent="0.25">
      <c r="A355" t="s">
        <v>87</v>
      </c>
      <c r="B355" t="s">
        <v>22</v>
      </c>
      <c r="C355" t="s">
        <v>16</v>
      </c>
      <c r="D355">
        <v>623440</v>
      </c>
      <c r="E355">
        <v>22329</v>
      </c>
      <c r="F355">
        <v>780</v>
      </c>
      <c r="G355">
        <v>65000</v>
      </c>
      <c r="H355">
        <v>2194</v>
      </c>
      <c r="I355">
        <v>378249</v>
      </c>
      <c r="J355">
        <v>0</v>
      </c>
      <c r="K355">
        <v>0</v>
      </c>
      <c r="L355">
        <v>6</v>
      </c>
      <c r="M355">
        <v>0</v>
      </c>
      <c r="N355" t="s">
        <v>17</v>
      </c>
      <c r="O355" s="1">
        <f>result[[#This Row],[n_killed_mutants_cumulativa]]/result[[#This Row],[tot_mutants]]</f>
        <v>0</v>
      </c>
      <c r="P355" s="9" t="s">
        <v>346</v>
      </c>
    </row>
    <row r="356" spans="1:16" hidden="1" x14ac:dyDescent="0.25">
      <c r="A356" t="s">
        <v>88</v>
      </c>
      <c r="B356" t="s">
        <v>15</v>
      </c>
      <c r="C356" t="s">
        <v>16</v>
      </c>
      <c r="D356">
        <v>14672</v>
      </c>
      <c r="E356">
        <v>141</v>
      </c>
      <c r="F356">
        <v>10</v>
      </c>
      <c r="G356">
        <v>100</v>
      </c>
      <c r="H356">
        <v>109</v>
      </c>
      <c r="I356">
        <v>302</v>
      </c>
      <c r="J356">
        <v>0</v>
      </c>
      <c r="K356">
        <v>0</v>
      </c>
      <c r="L356">
        <v>26</v>
      </c>
      <c r="M356">
        <v>1</v>
      </c>
      <c r="N356" t="s">
        <v>89</v>
      </c>
      <c r="O356" s="1">
        <f>result[[#This Row],[n_killed_mutants_cumulativa]]/result[[#This Row],[tot_mutants]]</f>
        <v>3.8461538461538464E-2</v>
      </c>
    </row>
    <row r="357" spans="1:16" hidden="1" x14ac:dyDescent="0.25">
      <c r="A357" t="s">
        <v>88</v>
      </c>
      <c r="B357" t="s">
        <v>18</v>
      </c>
      <c r="C357" t="s">
        <v>16</v>
      </c>
      <c r="D357">
        <v>22995</v>
      </c>
      <c r="E357">
        <v>77</v>
      </c>
      <c r="F357">
        <v>20</v>
      </c>
      <c r="G357">
        <v>400</v>
      </c>
      <c r="H357">
        <v>419</v>
      </c>
      <c r="I357">
        <v>1165</v>
      </c>
      <c r="J357">
        <v>0</v>
      </c>
      <c r="K357">
        <v>0</v>
      </c>
      <c r="L357">
        <v>26</v>
      </c>
      <c r="M357">
        <v>1</v>
      </c>
      <c r="N357" t="s">
        <v>89</v>
      </c>
      <c r="O357" s="1">
        <f>result[[#This Row],[n_killed_mutants_cumulativa]]/result[[#This Row],[tot_mutants]]</f>
        <v>3.8461538461538464E-2</v>
      </c>
    </row>
    <row r="358" spans="1:16" hidden="1" x14ac:dyDescent="0.25">
      <c r="A358" t="s">
        <v>88</v>
      </c>
      <c r="B358" t="s">
        <v>19</v>
      </c>
      <c r="C358" t="s">
        <v>16</v>
      </c>
      <c r="D358">
        <v>39359</v>
      </c>
      <c r="E358">
        <v>103</v>
      </c>
      <c r="F358">
        <v>30</v>
      </c>
      <c r="G358">
        <v>900</v>
      </c>
      <c r="H358">
        <v>929</v>
      </c>
      <c r="I358">
        <v>2667</v>
      </c>
      <c r="J358">
        <v>0</v>
      </c>
      <c r="K358">
        <v>0</v>
      </c>
      <c r="L358">
        <v>26</v>
      </c>
      <c r="M358">
        <v>1</v>
      </c>
      <c r="N358" t="s">
        <v>89</v>
      </c>
      <c r="O358" s="1">
        <f>result[[#This Row],[n_killed_mutants_cumulativa]]/result[[#This Row],[tot_mutants]]</f>
        <v>3.8461538461538464E-2</v>
      </c>
    </row>
    <row r="359" spans="1:16" hidden="1" x14ac:dyDescent="0.25">
      <c r="A359" t="s">
        <v>88</v>
      </c>
      <c r="B359" t="s">
        <v>20</v>
      </c>
      <c r="C359" t="s">
        <v>16</v>
      </c>
      <c r="D359">
        <v>58530</v>
      </c>
      <c r="E359">
        <v>180</v>
      </c>
      <c r="F359">
        <v>40</v>
      </c>
      <c r="G359">
        <v>1600</v>
      </c>
      <c r="H359">
        <v>1639</v>
      </c>
      <c r="I359">
        <v>4743</v>
      </c>
      <c r="J359">
        <v>0</v>
      </c>
      <c r="K359">
        <v>0</v>
      </c>
      <c r="L359">
        <v>26</v>
      </c>
      <c r="M359">
        <v>1</v>
      </c>
      <c r="N359" t="s">
        <v>89</v>
      </c>
      <c r="O359" s="1">
        <f>result[[#This Row],[n_killed_mutants_cumulativa]]/result[[#This Row],[tot_mutants]]</f>
        <v>3.8461538461538464E-2</v>
      </c>
    </row>
    <row r="360" spans="1:16" hidden="1" x14ac:dyDescent="0.25">
      <c r="A360" t="s">
        <v>88</v>
      </c>
      <c r="B360" t="s">
        <v>21</v>
      </c>
      <c r="C360" t="s">
        <v>16</v>
      </c>
      <c r="D360">
        <v>83217</v>
      </c>
      <c r="E360">
        <v>267</v>
      </c>
      <c r="F360">
        <v>50</v>
      </c>
      <c r="G360">
        <v>2500</v>
      </c>
      <c r="H360">
        <v>2549</v>
      </c>
      <c r="I360">
        <v>7442</v>
      </c>
      <c r="J360">
        <v>0</v>
      </c>
      <c r="K360">
        <v>0</v>
      </c>
      <c r="L360">
        <v>26</v>
      </c>
      <c r="M360">
        <v>1</v>
      </c>
      <c r="N360" t="s">
        <v>89</v>
      </c>
      <c r="O360" s="1">
        <f>result[[#This Row],[n_killed_mutants_cumulativa]]/result[[#This Row],[tot_mutants]]</f>
        <v>3.8461538461538464E-2</v>
      </c>
    </row>
    <row r="361" spans="1:16" hidden="1" x14ac:dyDescent="0.25">
      <c r="A361" t="s">
        <v>88</v>
      </c>
      <c r="B361" t="s">
        <v>24</v>
      </c>
      <c r="C361" t="s">
        <v>16</v>
      </c>
      <c r="D361">
        <v>116401</v>
      </c>
      <c r="E361">
        <v>367</v>
      </c>
      <c r="F361">
        <v>60</v>
      </c>
      <c r="G361">
        <v>3600</v>
      </c>
      <c r="H361">
        <v>3659</v>
      </c>
      <c r="I361">
        <v>10725</v>
      </c>
      <c r="J361">
        <v>0</v>
      </c>
      <c r="K361">
        <v>0</v>
      </c>
      <c r="L361">
        <v>26</v>
      </c>
      <c r="M361">
        <v>1</v>
      </c>
      <c r="N361" t="s">
        <v>89</v>
      </c>
      <c r="O361" s="1">
        <f>result[[#This Row],[n_killed_mutants_cumulativa]]/result[[#This Row],[tot_mutants]]</f>
        <v>3.8461538461538464E-2</v>
      </c>
    </row>
    <row r="362" spans="1:16" hidden="1" x14ac:dyDescent="0.25">
      <c r="A362" t="s">
        <v>88</v>
      </c>
      <c r="B362" t="s">
        <v>25</v>
      </c>
      <c r="C362" t="s">
        <v>16</v>
      </c>
      <c r="D362">
        <v>156243</v>
      </c>
      <c r="E362">
        <v>496</v>
      </c>
      <c r="F362">
        <v>70</v>
      </c>
      <c r="G362">
        <v>4900</v>
      </c>
      <c r="H362">
        <v>4969</v>
      </c>
      <c r="I362">
        <v>14648</v>
      </c>
      <c r="J362">
        <v>0</v>
      </c>
      <c r="K362">
        <v>0</v>
      </c>
      <c r="L362">
        <v>26</v>
      </c>
      <c r="M362">
        <v>1</v>
      </c>
      <c r="N362" t="s">
        <v>89</v>
      </c>
      <c r="O362" s="1">
        <f>result[[#This Row],[n_killed_mutants_cumulativa]]/result[[#This Row],[tot_mutants]]</f>
        <v>3.8461538461538464E-2</v>
      </c>
    </row>
    <row r="363" spans="1:16" hidden="1" x14ac:dyDescent="0.25">
      <c r="A363" t="s">
        <v>88</v>
      </c>
      <c r="B363" t="s">
        <v>26</v>
      </c>
      <c r="C363" t="s">
        <v>16</v>
      </c>
      <c r="D363">
        <v>196836</v>
      </c>
      <c r="E363">
        <v>734</v>
      </c>
      <c r="F363">
        <v>80</v>
      </c>
      <c r="G363">
        <v>6400</v>
      </c>
      <c r="H363">
        <v>6479</v>
      </c>
      <c r="I363">
        <v>19155</v>
      </c>
      <c r="J363">
        <v>0</v>
      </c>
      <c r="K363">
        <v>0</v>
      </c>
      <c r="L363">
        <v>26</v>
      </c>
      <c r="M363">
        <v>1</v>
      </c>
      <c r="N363" t="s">
        <v>89</v>
      </c>
      <c r="O363" s="1">
        <f>result[[#This Row],[n_killed_mutants_cumulativa]]/result[[#This Row],[tot_mutants]]</f>
        <v>3.8461538461538464E-2</v>
      </c>
    </row>
    <row r="364" spans="1:16" ht="30" x14ac:dyDescent="0.25">
      <c r="A364" t="s">
        <v>88</v>
      </c>
      <c r="B364" t="s">
        <v>22</v>
      </c>
      <c r="C364" t="s">
        <v>16</v>
      </c>
      <c r="D364">
        <v>688253</v>
      </c>
      <c r="E364">
        <v>2365</v>
      </c>
      <c r="F364">
        <v>360</v>
      </c>
      <c r="G364">
        <v>20400</v>
      </c>
      <c r="H364">
        <v>20752</v>
      </c>
      <c r="I364">
        <v>60847</v>
      </c>
      <c r="J364">
        <v>0</v>
      </c>
      <c r="K364">
        <v>0</v>
      </c>
      <c r="L364">
        <v>26</v>
      </c>
      <c r="M364">
        <v>1</v>
      </c>
      <c r="N364" t="s">
        <v>89</v>
      </c>
      <c r="O364" s="1">
        <f>result[[#This Row],[n_killed_mutants_cumulativa]]/result[[#This Row],[tot_mutants]]</f>
        <v>3.8461538461538464E-2</v>
      </c>
      <c r="P364" s="9" t="s">
        <v>362</v>
      </c>
    </row>
    <row r="365" spans="1:16" hidden="1" x14ac:dyDescent="0.25">
      <c r="A365" t="s">
        <v>90</v>
      </c>
      <c r="B365" t="s">
        <v>15</v>
      </c>
      <c r="C365" t="s">
        <v>16</v>
      </c>
      <c r="D365">
        <v>2240</v>
      </c>
      <c r="E365">
        <v>220</v>
      </c>
      <c r="F365">
        <v>0</v>
      </c>
      <c r="G365">
        <v>0</v>
      </c>
      <c r="H365">
        <v>0</v>
      </c>
      <c r="I365">
        <v>0</v>
      </c>
      <c r="J365">
        <v>8</v>
      </c>
      <c r="K365">
        <v>0</v>
      </c>
      <c r="L365">
        <v>15</v>
      </c>
      <c r="M365">
        <v>0</v>
      </c>
      <c r="N365" t="s">
        <v>17</v>
      </c>
      <c r="O365" s="1">
        <f>result[[#This Row],[n_killed_mutants_cumulativa]]/result[[#This Row],[tot_mutants]]</f>
        <v>0</v>
      </c>
    </row>
    <row r="366" spans="1:16" hidden="1" x14ac:dyDescent="0.25">
      <c r="A366" t="s">
        <v>90</v>
      </c>
      <c r="B366" t="s">
        <v>18</v>
      </c>
      <c r="C366" t="s">
        <v>16</v>
      </c>
      <c r="D366">
        <v>1937</v>
      </c>
      <c r="E366">
        <v>395</v>
      </c>
      <c r="F366">
        <v>0</v>
      </c>
      <c r="G366">
        <v>0</v>
      </c>
      <c r="H366">
        <v>0</v>
      </c>
      <c r="I366">
        <v>0</v>
      </c>
      <c r="J366">
        <v>13</v>
      </c>
      <c r="K366">
        <v>0</v>
      </c>
      <c r="L366">
        <v>15</v>
      </c>
      <c r="M366">
        <v>0</v>
      </c>
      <c r="N366" t="s">
        <v>17</v>
      </c>
      <c r="O366" s="1">
        <f>result[[#This Row],[n_killed_mutants_cumulativa]]/result[[#This Row],[tot_mutants]]</f>
        <v>0</v>
      </c>
    </row>
    <row r="367" spans="1:16" hidden="1" x14ac:dyDescent="0.25">
      <c r="A367" t="s">
        <v>90</v>
      </c>
      <c r="B367" t="s">
        <v>19</v>
      </c>
      <c r="C367" t="s">
        <v>16</v>
      </c>
      <c r="D367">
        <v>778</v>
      </c>
      <c r="E367">
        <v>169</v>
      </c>
      <c r="F367">
        <v>0</v>
      </c>
      <c r="G367">
        <v>0</v>
      </c>
      <c r="H367">
        <v>0</v>
      </c>
      <c r="I367">
        <v>0</v>
      </c>
      <c r="J367">
        <v>5</v>
      </c>
      <c r="K367">
        <v>0</v>
      </c>
      <c r="L367">
        <v>15</v>
      </c>
      <c r="M367">
        <v>0</v>
      </c>
      <c r="N367" t="s">
        <v>17</v>
      </c>
      <c r="O367" s="1">
        <f>result[[#This Row],[n_killed_mutants_cumulativa]]/result[[#This Row],[tot_mutants]]</f>
        <v>0</v>
      </c>
    </row>
    <row r="368" spans="1:16" hidden="1" x14ac:dyDescent="0.25">
      <c r="A368" t="s">
        <v>90</v>
      </c>
      <c r="B368" t="s">
        <v>20</v>
      </c>
      <c r="C368" t="s">
        <v>16</v>
      </c>
      <c r="D368">
        <v>1534</v>
      </c>
      <c r="E368">
        <v>351</v>
      </c>
      <c r="F368">
        <v>0</v>
      </c>
      <c r="G368">
        <v>0</v>
      </c>
      <c r="H368">
        <v>0</v>
      </c>
      <c r="I368">
        <v>0</v>
      </c>
      <c r="J368">
        <v>9</v>
      </c>
      <c r="K368">
        <v>0</v>
      </c>
      <c r="L368">
        <v>15</v>
      </c>
      <c r="M368">
        <v>0</v>
      </c>
      <c r="N368" t="s">
        <v>17</v>
      </c>
      <c r="O368" s="1">
        <f>result[[#This Row],[n_killed_mutants_cumulativa]]/result[[#This Row],[tot_mutants]]</f>
        <v>0</v>
      </c>
    </row>
    <row r="369" spans="1:16" hidden="1" x14ac:dyDescent="0.25">
      <c r="A369" t="s">
        <v>90</v>
      </c>
      <c r="B369" t="s">
        <v>21</v>
      </c>
      <c r="C369" t="s">
        <v>16</v>
      </c>
      <c r="D369">
        <v>1005</v>
      </c>
      <c r="E369">
        <v>252</v>
      </c>
      <c r="F369">
        <v>0</v>
      </c>
      <c r="G369">
        <v>0</v>
      </c>
      <c r="H369">
        <v>0</v>
      </c>
      <c r="I369">
        <v>0</v>
      </c>
      <c r="J369">
        <v>5</v>
      </c>
      <c r="K369">
        <v>0</v>
      </c>
      <c r="L369">
        <v>15</v>
      </c>
      <c r="M369">
        <v>0</v>
      </c>
      <c r="N369" t="s">
        <v>17</v>
      </c>
      <c r="O369" s="1">
        <f>result[[#This Row],[n_killed_mutants_cumulativa]]/result[[#This Row],[tot_mutants]]</f>
        <v>0</v>
      </c>
    </row>
    <row r="370" spans="1:16" hidden="1" x14ac:dyDescent="0.25">
      <c r="A370" t="s">
        <v>90</v>
      </c>
      <c r="B370" t="s">
        <v>22</v>
      </c>
      <c r="C370" t="s">
        <v>16</v>
      </c>
      <c r="D370">
        <v>7494</v>
      </c>
      <c r="E370">
        <v>1387</v>
      </c>
      <c r="F370">
        <v>0</v>
      </c>
      <c r="G370">
        <v>0</v>
      </c>
      <c r="H370">
        <v>0</v>
      </c>
      <c r="I370">
        <v>0</v>
      </c>
      <c r="J370">
        <v>40</v>
      </c>
      <c r="K370">
        <v>0</v>
      </c>
      <c r="L370">
        <v>15</v>
      </c>
      <c r="M370">
        <v>0</v>
      </c>
      <c r="N370" t="s">
        <v>17</v>
      </c>
      <c r="O370" s="1">
        <f>result[[#This Row],[n_killed_mutants_cumulativa]]/result[[#This Row],[tot_mutants]]</f>
        <v>0</v>
      </c>
    </row>
    <row r="371" spans="1:16" hidden="1" x14ac:dyDescent="0.25">
      <c r="A371" t="s">
        <v>91</v>
      </c>
      <c r="B371" t="s">
        <v>15</v>
      </c>
      <c r="C371" t="s">
        <v>16</v>
      </c>
      <c r="D371">
        <v>5207</v>
      </c>
      <c r="E371">
        <v>135</v>
      </c>
      <c r="F371">
        <v>10</v>
      </c>
      <c r="G371">
        <v>100</v>
      </c>
      <c r="H371">
        <v>22</v>
      </c>
      <c r="I371">
        <v>570</v>
      </c>
      <c r="J371">
        <v>0</v>
      </c>
      <c r="K371">
        <v>0</v>
      </c>
      <c r="L371">
        <v>6</v>
      </c>
      <c r="M371">
        <v>0</v>
      </c>
      <c r="N371" t="s">
        <v>17</v>
      </c>
      <c r="O371" s="1">
        <f>result[[#This Row],[n_killed_mutants_cumulativa]]/result[[#This Row],[tot_mutants]]</f>
        <v>0</v>
      </c>
    </row>
    <row r="372" spans="1:16" hidden="1" x14ac:dyDescent="0.25">
      <c r="A372" t="s">
        <v>91</v>
      </c>
      <c r="B372" t="s">
        <v>18</v>
      </c>
      <c r="C372" t="s">
        <v>16</v>
      </c>
      <c r="D372">
        <v>6396</v>
      </c>
      <c r="E372">
        <v>109</v>
      </c>
      <c r="F372">
        <v>20</v>
      </c>
      <c r="G372">
        <v>400</v>
      </c>
      <c r="H372">
        <v>59</v>
      </c>
      <c r="I372">
        <v>2240</v>
      </c>
      <c r="J372">
        <v>0</v>
      </c>
      <c r="K372">
        <v>0</v>
      </c>
      <c r="L372">
        <v>6</v>
      </c>
      <c r="M372">
        <v>0</v>
      </c>
      <c r="N372" t="s">
        <v>17</v>
      </c>
      <c r="O372" s="1">
        <f>result[[#This Row],[n_killed_mutants_cumulativa]]/result[[#This Row],[tot_mutants]]</f>
        <v>0</v>
      </c>
    </row>
    <row r="373" spans="1:16" hidden="1" x14ac:dyDescent="0.25">
      <c r="A373" t="s">
        <v>91</v>
      </c>
      <c r="B373" t="s">
        <v>19</v>
      </c>
      <c r="C373" t="s">
        <v>16</v>
      </c>
      <c r="D373">
        <v>10758</v>
      </c>
      <c r="E373">
        <v>127</v>
      </c>
      <c r="F373">
        <v>30</v>
      </c>
      <c r="G373">
        <v>900</v>
      </c>
      <c r="H373">
        <v>118</v>
      </c>
      <c r="I373">
        <v>5653</v>
      </c>
      <c r="J373">
        <v>0</v>
      </c>
      <c r="K373">
        <v>0</v>
      </c>
      <c r="L373">
        <v>6</v>
      </c>
      <c r="M373">
        <v>0</v>
      </c>
      <c r="N373" t="s">
        <v>17</v>
      </c>
      <c r="O373" s="1">
        <f>result[[#This Row],[n_killed_mutants_cumulativa]]/result[[#This Row],[tot_mutants]]</f>
        <v>0</v>
      </c>
    </row>
    <row r="374" spans="1:16" hidden="1" x14ac:dyDescent="0.25">
      <c r="A374" t="s">
        <v>91</v>
      </c>
      <c r="B374" t="s">
        <v>20</v>
      </c>
      <c r="C374" t="s">
        <v>16</v>
      </c>
      <c r="D374">
        <v>17510</v>
      </c>
      <c r="E374">
        <v>243</v>
      </c>
      <c r="F374">
        <v>40</v>
      </c>
      <c r="G374">
        <v>1600</v>
      </c>
      <c r="H374">
        <v>150</v>
      </c>
      <c r="I374">
        <v>10199</v>
      </c>
      <c r="J374">
        <v>0</v>
      </c>
      <c r="K374">
        <v>0</v>
      </c>
      <c r="L374">
        <v>6</v>
      </c>
      <c r="M374">
        <v>0</v>
      </c>
      <c r="N374" t="s">
        <v>17</v>
      </c>
      <c r="O374" s="1">
        <f>result[[#This Row],[n_killed_mutants_cumulativa]]/result[[#This Row],[tot_mutants]]</f>
        <v>0</v>
      </c>
    </row>
    <row r="375" spans="1:16" hidden="1" x14ac:dyDescent="0.25">
      <c r="A375" t="s">
        <v>91</v>
      </c>
      <c r="B375" t="s">
        <v>21</v>
      </c>
      <c r="C375" t="s">
        <v>16</v>
      </c>
      <c r="D375">
        <v>24886</v>
      </c>
      <c r="E375">
        <v>426</v>
      </c>
      <c r="F375">
        <v>50</v>
      </c>
      <c r="G375">
        <v>2500</v>
      </c>
      <c r="H375">
        <v>165</v>
      </c>
      <c r="I375">
        <v>15176</v>
      </c>
      <c r="J375">
        <v>0</v>
      </c>
      <c r="K375">
        <v>0</v>
      </c>
      <c r="L375">
        <v>6</v>
      </c>
      <c r="M375">
        <v>0</v>
      </c>
      <c r="N375" t="s">
        <v>17</v>
      </c>
      <c r="O375" s="1">
        <f>result[[#This Row],[n_killed_mutants_cumulativa]]/result[[#This Row],[tot_mutants]]</f>
        <v>0</v>
      </c>
    </row>
    <row r="376" spans="1:16" hidden="1" x14ac:dyDescent="0.25">
      <c r="A376" t="s">
        <v>91</v>
      </c>
      <c r="B376" t="s">
        <v>24</v>
      </c>
      <c r="C376" t="s">
        <v>16</v>
      </c>
      <c r="D376">
        <v>33786</v>
      </c>
      <c r="E376">
        <v>786</v>
      </c>
      <c r="F376">
        <v>60</v>
      </c>
      <c r="G376">
        <v>3600</v>
      </c>
      <c r="H376">
        <v>178</v>
      </c>
      <c r="I376">
        <v>21652</v>
      </c>
      <c r="J376">
        <v>0</v>
      </c>
      <c r="K376">
        <v>0</v>
      </c>
      <c r="L376">
        <v>6</v>
      </c>
      <c r="M376">
        <v>0</v>
      </c>
      <c r="N376" t="s">
        <v>17</v>
      </c>
      <c r="O376" s="1">
        <f>result[[#This Row],[n_killed_mutants_cumulativa]]/result[[#This Row],[tot_mutants]]</f>
        <v>0</v>
      </c>
    </row>
    <row r="377" spans="1:16" hidden="1" x14ac:dyDescent="0.25">
      <c r="A377" t="s">
        <v>91</v>
      </c>
      <c r="B377" t="s">
        <v>25</v>
      </c>
      <c r="C377" t="s">
        <v>16</v>
      </c>
      <c r="D377">
        <v>45497</v>
      </c>
      <c r="E377">
        <v>1168</v>
      </c>
      <c r="F377">
        <v>70</v>
      </c>
      <c r="G377">
        <v>4900</v>
      </c>
      <c r="H377">
        <v>223</v>
      </c>
      <c r="I377">
        <v>29426</v>
      </c>
      <c r="J377">
        <v>0</v>
      </c>
      <c r="K377">
        <v>0</v>
      </c>
      <c r="L377">
        <v>6</v>
      </c>
      <c r="M377">
        <v>0</v>
      </c>
      <c r="N377" t="s">
        <v>17</v>
      </c>
      <c r="O377" s="1">
        <f>result[[#This Row],[n_killed_mutants_cumulativa]]/result[[#This Row],[tot_mutants]]</f>
        <v>0</v>
      </c>
    </row>
    <row r="378" spans="1:16" hidden="1" x14ac:dyDescent="0.25">
      <c r="A378" t="s">
        <v>91</v>
      </c>
      <c r="B378" t="s">
        <v>26</v>
      </c>
      <c r="C378" t="s">
        <v>16</v>
      </c>
      <c r="D378">
        <v>60622</v>
      </c>
      <c r="E378">
        <v>1656</v>
      </c>
      <c r="F378">
        <v>80</v>
      </c>
      <c r="G378">
        <v>6400</v>
      </c>
      <c r="H378">
        <v>268</v>
      </c>
      <c r="I378">
        <v>40428</v>
      </c>
      <c r="J378">
        <v>0</v>
      </c>
      <c r="K378">
        <v>0</v>
      </c>
      <c r="L378">
        <v>6</v>
      </c>
      <c r="M378">
        <v>0</v>
      </c>
      <c r="N378" t="s">
        <v>17</v>
      </c>
      <c r="O378" s="1">
        <f>result[[#This Row],[n_killed_mutants_cumulativa]]/result[[#This Row],[tot_mutants]]</f>
        <v>0</v>
      </c>
    </row>
    <row r="379" spans="1:16" hidden="1" x14ac:dyDescent="0.25">
      <c r="A379" t="s">
        <v>91</v>
      </c>
      <c r="B379" t="s">
        <v>27</v>
      </c>
      <c r="C379" t="s">
        <v>16</v>
      </c>
      <c r="D379">
        <v>73340</v>
      </c>
      <c r="E379">
        <v>2338</v>
      </c>
      <c r="F379">
        <v>90</v>
      </c>
      <c r="G379">
        <v>8100</v>
      </c>
      <c r="H379">
        <v>247</v>
      </c>
      <c r="I379">
        <v>48163</v>
      </c>
      <c r="J379">
        <v>0</v>
      </c>
      <c r="K379">
        <v>0</v>
      </c>
      <c r="L379">
        <v>6</v>
      </c>
      <c r="M379">
        <v>0</v>
      </c>
      <c r="N379" t="s">
        <v>17</v>
      </c>
      <c r="O379" s="1">
        <f>result[[#This Row],[n_killed_mutants_cumulativa]]/result[[#This Row],[tot_mutants]]</f>
        <v>0</v>
      </c>
    </row>
    <row r="380" spans="1:16" hidden="1" x14ac:dyDescent="0.25">
      <c r="A380" t="s">
        <v>91</v>
      </c>
      <c r="B380" t="s">
        <v>30</v>
      </c>
      <c r="C380" t="s">
        <v>16</v>
      </c>
      <c r="D380">
        <v>95692</v>
      </c>
      <c r="E380">
        <v>3227</v>
      </c>
      <c r="F380">
        <v>100</v>
      </c>
      <c r="G380">
        <v>10000</v>
      </c>
      <c r="H380">
        <v>373</v>
      </c>
      <c r="I380">
        <v>62783</v>
      </c>
      <c r="J380">
        <v>0</v>
      </c>
      <c r="K380">
        <v>0</v>
      </c>
      <c r="L380">
        <v>6</v>
      </c>
      <c r="M380">
        <v>0</v>
      </c>
      <c r="N380" t="s">
        <v>17</v>
      </c>
      <c r="O380" s="1">
        <f>result[[#This Row],[n_killed_mutants_cumulativa]]/result[[#This Row],[tot_mutants]]</f>
        <v>0</v>
      </c>
    </row>
    <row r="381" spans="1:16" hidden="1" x14ac:dyDescent="0.25">
      <c r="A381" t="s">
        <v>91</v>
      </c>
      <c r="B381" t="s">
        <v>31</v>
      </c>
      <c r="C381" t="s">
        <v>16</v>
      </c>
      <c r="D381">
        <v>119579</v>
      </c>
      <c r="E381">
        <v>4942</v>
      </c>
      <c r="F381">
        <v>110</v>
      </c>
      <c r="G381">
        <v>12100</v>
      </c>
      <c r="H381">
        <v>354</v>
      </c>
      <c r="I381">
        <v>73758</v>
      </c>
      <c r="J381">
        <v>0</v>
      </c>
      <c r="K381">
        <v>0</v>
      </c>
      <c r="L381">
        <v>6</v>
      </c>
      <c r="M381">
        <v>0</v>
      </c>
      <c r="N381" t="s">
        <v>17</v>
      </c>
      <c r="O381" s="1">
        <f>result[[#This Row],[n_killed_mutants_cumulativa]]/result[[#This Row],[tot_mutants]]</f>
        <v>0</v>
      </c>
    </row>
    <row r="382" spans="1:16" hidden="1" x14ac:dyDescent="0.25">
      <c r="A382" t="s">
        <v>91</v>
      </c>
      <c r="B382" t="s">
        <v>36</v>
      </c>
      <c r="C382" t="s">
        <v>16</v>
      </c>
      <c r="D382">
        <v>149855</v>
      </c>
      <c r="E382">
        <v>5939</v>
      </c>
      <c r="F382">
        <v>120</v>
      </c>
      <c r="G382">
        <v>14400</v>
      </c>
      <c r="H382">
        <v>372</v>
      </c>
      <c r="I382">
        <v>86126</v>
      </c>
      <c r="J382">
        <v>0</v>
      </c>
      <c r="K382">
        <v>0</v>
      </c>
      <c r="L382">
        <v>6</v>
      </c>
      <c r="M382">
        <v>0</v>
      </c>
      <c r="N382" t="s">
        <v>17</v>
      </c>
      <c r="O382" s="1">
        <f>result[[#This Row],[n_killed_mutants_cumulativa]]/result[[#This Row],[tot_mutants]]</f>
        <v>0</v>
      </c>
    </row>
    <row r="383" spans="1:16" hidden="1" x14ac:dyDescent="0.25">
      <c r="A383" t="s">
        <v>91</v>
      </c>
      <c r="B383" t="s">
        <v>22</v>
      </c>
      <c r="C383" t="s">
        <v>16</v>
      </c>
      <c r="D383">
        <v>643128</v>
      </c>
      <c r="E383">
        <v>21096</v>
      </c>
      <c r="F383">
        <v>780</v>
      </c>
      <c r="G383">
        <v>65000</v>
      </c>
      <c r="H383">
        <v>2529</v>
      </c>
      <c r="I383">
        <v>396174</v>
      </c>
      <c r="J383">
        <v>0</v>
      </c>
      <c r="K383">
        <v>0</v>
      </c>
      <c r="L383">
        <v>6</v>
      </c>
      <c r="M383">
        <v>0</v>
      </c>
      <c r="N383" t="s">
        <v>17</v>
      </c>
      <c r="O383" s="1">
        <f>result[[#This Row],[n_killed_mutants_cumulativa]]/result[[#This Row],[tot_mutants]]</f>
        <v>0</v>
      </c>
      <c r="P383" s="9" t="s">
        <v>346</v>
      </c>
    </row>
    <row r="384" spans="1:16" hidden="1" x14ac:dyDescent="0.25">
      <c r="A384" t="s">
        <v>92</v>
      </c>
      <c r="B384" t="s">
        <v>15</v>
      </c>
      <c r="C384" t="s">
        <v>16</v>
      </c>
      <c r="D384">
        <v>2298</v>
      </c>
      <c r="E384">
        <v>77</v>
      </c>
      <c r="F384">
        <v>10</v>
      </c>
      <c r="G384">
        <v>100</v>
      </c>
      <c r="H384">
        <v>100</v>
      </c>
      <c r="I384">
        <v>200</v>
      </c>
      <c r="J384">
        <v>0</v>
      </c>
      <c r="K384">
        <v>0</v>
      </c>
      <c r="L384">
        <v>1</v>
      </c>
      <c r="M384">
        <v>0</v>
      </c>
      <c r="N384" t="s">
        <v>17</v>
      </c>
      <c r="O384" s="1">
        <f>result[[#This Row],[n_killed_mutants_cumulativa]]/result[[#This Row],[tot_mutants]]</f>
        <v>0</v>
      </c>
    </row>
    <row r="385" spans="1:15" hidden="1" x14ac:dyDescent="0.25">
      <c r="A385" t="s">
        <v>92</v>
      </c>
      <c r="B385" t="s">
        <v>18</v>
      </c>
      <c r="C385" t="s">
        <v>16</v>
      </c>
      <c r="D385">
        <v>1970</v>
      </c>
      <c r="E385">
        <v>73</v>
      </c>
      <c r="F385">
        <v>20</v>
      </c>
      <c r="G385">
        <v>400</v>
      </c>
      <c r="H385">
        <v>400</v>
      </c>
      <c r="I385">
        <v>800</v>
      </c>
      <c r="J385">
        <v>0</v>
      </c>
      <c r="K385">
        <v>0</v>
      </c>
      <c r="L385">
        <v>1</v>
      </c>
      <c r="M385">
        <v>0</v>
      </c>
      <c r="N385" t="s">
        <v>17</v>
      </c>
      <c r="O385" s="1">
        <f>result[[#This Row],[n_killed_mutants_cumulativa]]/result[[#This Row],[tot_mutants]]</f>
        <v>0</v>
      </c>
    </row>
    <row r="386" spans="1:15" hidden="1" x14ac:dyDescent="0.25">
      <c r="A386" t="s">
        <v>92</v>
      </c>
      <c r="B386" t="s">
        <v>19</v>
      </c>
      <c r="C386" t="s">
        <v>16</v>
      </c>
      <c r="D386">
        <v>2814</v>
      </c>
      <c r="E386">
        <v>71</v>
      </c>
      <c r="F386">
        <v>30</v>
      </c>
      <c r="G386">
        <v>900</v>
      </c>
      <c r="H386">
        <v>900</v>
      </c>
      <c r="I386">
        <v>1800</v>
      </c>
      <c r="J386">
        <v>0</v>
      </c>
      <c r="K386">
        <v>0</v>
      </c>
      <c r="L386">
        <v>1</v>
      </c>
      <c r="M386">
        <v>0</v>
      </c>
      <c r="N386" t="s">
        <v>17</v>
      </c>
      <c r="O386" s="1">
        <f>result[[#This Row],[n_killed_mutants_cumulativa]]/result[[#This Row],[tot_mutants]]</f>
        <v>0</v>
      </c>
    </row>
    <row r="387" spans="1:15" hidden="1" x14ac:dyDescent="0.25">
      <c r="A387" t="s">
        <v>92</v>
      </c>
      <c r="B387" t="s">
        <v>20</v>
      </c>
      <c r="C387" t="s">
        <v>16</v>
      </c>
      <c r="D387">
        <v>3499</v>
      </c>
      <c r="E387">
        <v>80</v>
      </c>
      <c r="F387">
        <v>40</v>
      </c>
      <c r="G387">
        <v>1600</v>
      </c>
      <c r="H387">
        <v>1600</v>
      </c>
      <c r="I387">
        <v>3200</v>
      </c>
      <c r="J387">
        <v>0</v>
      </c>
      <c r="K387">
        <v>0</v>
      </c>
      <c r="L387">
        <v>1</v>
      </c>
      <c r="M387">
        <v>0</v>
      </c>
      <c r="N387" t="s">
        <v>17</v>
      </c>
      <c r="O387" s="1">
        <f>result[[#This Row],[n_killed_mutants_cumulativa]]/result[[#This Row],[tot_mutants]]</f>
        <v>0</v>
      </c>
    </row>
    <row r="388" spans="1:15" hidden="1" x14ac:dyDescent="0.25">
      <c r="A388" t="s">
        <v>92</v>
      </c>
      <c r="B388" t="s">
        <v>21</v>
      </c>
      <c r="C388" t="s">
        <v>16</v>
      </c>
      <c r="D388">
        <v>4610</v>
      </c>
      <c r="E388">
        <v>89</v>
      </c>
      <c r="F388">
        <v>50</v>
      </c>
      <c r="G388">
        <v>2500</v>
      </c>
      <c r="H388">
        <v>2500</v>
      </c>
      <c r="I388">
        <v>5000</v>
      </c>
      <c r="J388">
        <v>0</v>
      </c>
      <c r="K388">
        <v>0</v>
      </c>
      <c r="L388">
        <v>1</v>
      </c>
      <c r="M388">
        <v>0</v>
      </c>
      <c r="N388" t="s">
        <v>17</v>
      </c>
      <c r="O388" s="1">
        <f>result[[#This Row],[n_killed_mutants_cumulativa]]/result[[#This Row],[tot_mutants]]</f>
        <v>0</v>
      </c>
    </row>
    <row r="389" spans="1:15" hidden="1" x14ac:dyDescent="0.25">
      <c r="A389" t="s">
        <v>92</v>
      </c>
      <c r="B389" t="s">
        <v>24</v>
      </c>
      <c r="C389" t="s">
        <v>16</v>
      </c>
      <c r="D389">
        <v>6479</v>
      </c>
      <c r="E389">
        <v>93</v>
      </c>
      <c r="F389">
        <v>60</v>
      </c>
      <c r="G389">
        <v>3600</v>
      </c>
      <c r="H389">
        <v>3600</v>
      </c>
      <c r="I389">
        <v>7200</v>
      </c>
      <c r="J389">
        <v>0</v>
      </c>
      <c r="K389">
        <v>0</v>
      </c>
      <c r="L389">
        <v>1</v>
      </c>
      <c r="M389">
        <v>0</v>
      </c>
      <c r="N389" t="s">
        <v>17</v>
      </c>
      <c r="O389" s="1">
        <f>result[[#This Row],[n_killed_mutants_cumulativa]]/result[[#This Row],[tot_mutants]]</f>
        <v>0</v>
      </c>
    </row>
    <row r="390" spans="1:15" hidden="1" x14ac:dyDescent="0.25">
      <c r="A390" t="s">
        <v>92</v>
      </c>
      <c r="B390" t="s">
        <v>25</v>
      </c>
      <c r="C390" t="s">
        <v>16</v>
      </c>
      <c r="D390">
        <v>8187</v>
      </c>
      <c r="E390">
        <v>121</v>
      </c>
      <c r="F390">
        <v>70</v>
      </c>
      <c r="G390">
        <v>4900</v>
      </c>
      <c r="H390">
        <v>4900</v>
      </c>
      <c r="I390">
        <v>9800</v>
      </c>
      <c r="J390">
        <v>0</v>
      </c>
      <c r="K390">
        <v>0</v>
      </c>
      <c r="L390">
        <v>1</v>
      </c>
      <c r="M390">
        <v>0</v>
      </c>
      <c r="N390" t="s">
        <v>17</v>
      </c>
      <c r="O390" s="1">
        <f>result[[#This Row],[n_killed_mutants_cumulativa]]/result[[#This Row],[tot_mutants]]</f>
        <v>0</v>
      </c>
    </row>
    <row r="391" spans="1:15" hidden="1" x14ac:dyDescent="0.25">
      <c r="A391" t="s">
        <v>92</v>
      </c>
      <c r="B391" t="s">
        <v>26</v>
      </c>
      <c r="C391" t="s">
        <v>16</v>
      </c>
      <c r="D391">
        <v>10012</v>
      </c>
      <c r="E391">
        <v>158</v>
      </c>
      <c r="F391">
        <v>80</v>
      </c>
      <c r="G391">
        <v>6400</v>
      </c>
      <c r="H391">
        <v>6400</v>
      </c>
      <c r="I391">
        <v>12800</v>
      </c>
      <c r="J391">
        <v>0</v>
      </c>
      <c r="K391">
        <v>0</v>
      </c>
      <c r="L391">
        <v>1</v>
      </c>
      <c r="M391">
        <v>0</v>
      </c>
      <c r="N391" t="s">
        <v>17</v>
      </c>
      <c r="O391" s="1">
        <f>result[[#This Row],[n_killed_mutants_cumulativa]]/result[[#This Row],[tot_mutants]]</f>
        <v>0</v>
      </c>
    </row>
    <row r="392" spans="1:15" hidden="1" x14ac:dyDescent="0.25">
      <c r="A392" t="s">
        <v>92</v>
      </c>
      <c r="B392" t="s">
        <v>27</v>
      </c>
      <c r="C392" t="s">
        <v>16</v>
      </c>
      <c r="D392">
        <v>13331</v>
      </c>
      <c r="E392">
        <v>201</v>
      </c>
      <c r="F392">
        <v>90</v>
      </c>
      <c r="G392">
        <v>8100</v>
      </c>
      <c r="H392">
        <v>8100</v>
      </c>
      <c r="I392">
        <v>16200</v>
      </c>
      <c r="J392">
        <v>0</v>
      </c>
      <c r="K392">
        <v>0</v>
      </c>
      <c r="L392">
        <v>1</v>
      </c>
      <c r="M392">
        <v>0</v>
      </c>
      <c r="N392" t="s">
        <v>17</v>
      </c>
      <c r="O392" s="1">
        <f>result[[#This Row],[n_killed_mutants_cumulativa]]/result[[#This Row],[tot_mutants]]</f>
        <v>0</v>
      </c>
    </row>
    <row r="393" spans="1:15" hidden="1" x14ac:dyDescent="0.25">
      <c r="A393" t="s">
        <v>92</v>
      </c>
      <c r="B393" t="s">
        <v>30</v>
      </c>
      <c r="C393" t="s">
        <v>16</v>
      </c>
      <c r="D393">
        <v>15312</v>
      </c>
      <c r="E393">
        <v>245</v>
      </c>
      <c r="F393">
        <v>100</v>
      </c>
      <c r="G393">
        <v>10000</v>
      </c>
      <c r="H393">
        <v>10000</v>
      </c>
      <c r="I393">
        <v>20000</v>
      </c>
      <c r="J393">
        <v>0</v>
      </c>
      <c r="K393">
        <v>0</v>
      </c>
      <c r="L393">
        <v>1</v>
      </c>
      <c r="M393">
        <v>0</v>
      </c>
      <c r="N393" t="s">
        <v>17</v>
      </c>
      <c r="O393" s="1">
        <f>result[[#This Row],[n_killed_mutants_cumulativa]]/result[[#This Row],[tot_mutants]]</f>
        <v>0</v>
      </c>
    </row>
    <row r="394" spans="1:15" hidden="1" x14ac:dyDescent="0.25">
      <c r="A394" t="s">
        <v>92</v>
      </c>
      <c r="B394" t="s">
        <v>31</v>
      </c>
      <c r="C394" t="s">
        <v>16</v>
      </c>
      <c r="D394">
        <v>18927</v>
      </c>
      <c r="E394">
        <v>299</v>
      </c>
      <c r="F394">
        <v>110</v>
      </c>
      <c r="G394">
        <v>12100</v>
      </c>
      <c r="H394">
        <v>12100</v>
      </c>
      <c r="I394">
        <v>24200</v>
      </c>
      <c r="J394">
        <v>0</v>
      </c>
      <c r="K394">
        <v>0</v>
      </c>
      <c r="L394">
        <v>1</v>
      </c>
      <c r="M394">
        <v>0</v>
      </c>
      <c r="N394" t="s">
        <v>17</v>
      </c>
      <c r="O394" s="1">
        <f>result[[#This Row],[n_killed_mutants_cumulativa]]/result[[#This Row],[tot_mutants]]</f>
        <v>0</v>
      </c>
    </row>
    <row r="395" spans="1:15" hidden="1" x14ac:dyDescent="0.25">
      <c r="A395" t="s">
        <v>92</v>
      </c>
      <c r="B395" t="s">
        <v>36</v>
      </c>
      <c r="C395" t="s">
        <v>16</v>
      </c>
      <c r="D395">
        <v>22355</v>
      </c>
      <c r="E395">
        <v>427</v>
      </c>
      <c r="F395">
        <v>120</v>
      </c>
      <c r="G395">
        <v>14400</v>
      </c>
      <c r="H395">
        <v>14400</v>
      </c>
      <c r="I395">
        <v>28800</v>
      </c>
      <c r="J395">
        <v>0</v>
      </c>
      <c r="K395">
        <v>0</v>
      </c>
      <c r="L395">
        <v>1</v>
      </c>
      <c r="M395">
        <v>0</v>
      </c>
      <c r="N395" t="s">
        <v>17</v>
      </c>
      <c r="O395" s="1">
        <f>result[[#This Row],[n_killed_mutants_cumulativa]]/result[[#This Row],[tot_mutants]]</f>
        <v>0</v>
      </c>
    </row>
    <row r="396" spans="1:15" hidden="1" x14ac:dyDescent="0.25">
      <c r="A396" t="s">
        <v>92</v>
      </c>
      <c r="B396" t="s">
        <v>40</v>
      </c>
      <c r="C396" t="s">
        <v>16</v>
      </c>
      <c r="D396">
        <v>26581</v>
      </c>
      <c r="E396">
        <v>405</v>
      </c>
      <c r="F396">
        <v>130</v>
      </c>
      <c r="G396">
        <v>16900</v>
      </c>
      <c r="H396">
        <v>16900</v>
      </c>
      <c r="I396">
        <v>33800</v>
      </c>
      <c r="J396">
        <v>0</v>
      </c>
      <c r="K396">
        <v>0</v>
      </c>
      <c r="L396">
        <v>1</v>
      </c>
      <c r="M396">
        <v>0</v>
      </c>
      <c r="N396" t="s">
        <v>17</v>
      </c>
      <c r="O396" s="1">
        <f>result[[#This Row],[n_killed_mutants_cumulativa]]/result[[#This Row],[tot_mutants]]</f>
        <v>0</v>
      </c>
    </row>
    <row r="397" spans="1:15" hidden="1" x14ac:dyDescent="0.25">
      <c r="A397" t="s">
        <v>92</v>
      </c>
      <c r="B397" t="s">
        <v>47</v>
      </c>
      <c r="C397" t="s">
        <v>16</v>
      </c>
      <c r="D397">
        <v>30878</v>
      </c>
      <c r="E397">
        <v>485</v>
      </c>
      <c r="F397">
        <v>140</v>
      </c>
      <c r="G397">
        <v>19600</v>
      </c>
      <c r="H397">
        <v>19600</v>
      </c>
      <c r="I397">
        <v>39200</v>
      </c>
      <c r="J397">
        <v>0</v>
      </c>
      <c r="K397">
        <v>0</v>
      </c>
      <c r="L397">
        <v>1</v>
      </c>
      <c r="M397">
        <v>0</v>
      </c>
      <c r="N397" t="s">
        <v>17</v>
      </c>
      <c r="O397" s="1">
        <f>result[[#This Row],[n_killed_mutants_cumulativa]]/result[[#This Row],[tot_mutants]]</f>
        <v>0</v>
      </c>
    </row>
    <row r="398" spans="1:15" hidden="1" x14ac:dyDescent="0.25">
      <c r="A398" t="s">
        <v>92</v>
      </c>
      <c r="B398" t="s">
        <v>48</v>
      </c>
      <c r="C398" t="s">
        <v>16</v>
      </c>
      <c r="D398">
        <v>36198</v>
      </c>
      <c r="E398">
        <v>571</v>
      </c>
      <c r="F398">
        <v>150</v>
      </c>
      <c r="G398">
        <v>22500</v>
      </c>
      <c r="H398">
        <v>22500</v>
      </c>
      <c r="I398">
        <v>45000</v>
      </c>
      <c r="J398">
        <v>0</v>
      </c>
      <c r="K398">
        <v>0</v>
      </c>
      <c r="L398">
        <v>1</v>
      </c>
      <c r="M398">
        <v>0</v>
      </c>
      <c r="N398" t="s">
        <v>17</v>
      </c>
      <c r="O398" s="1">
        <f>result[[#This Row],[n_killed_mutants_cumulativa]]/result[[#This Row],[tot_mutants]]</f>
        <v>0</v>
      </c>
    </row>
    <row r="399" spans="1:15" hidden="1" x14ac:dyDescent="0.25">
      <c r="A399" t="s">
        <v>92</v>
      </c>
      <c r="B399" t="s">
        <v>49</v>
      </c>
      <c r="C399" t="s">
        <v>16</v>
      </c>
      <c r="D399">
        <v>42053</v>
      </c>
      <c r="E399">
        <v>608</v>
      </c>
      <c r="F399">
        <v>160</v>
      </c>
      <c r="G399">
        <v>25600</v>
      </c>
      <c r="H399">
        <v>25600</v>
      </c>
      <c r="I399">
        <v>51200</v>
      </c>
      <c r="J399">
        <v>0</v>
      </c>
      <c r="K399">
        <v>0</v>
      </c>
      <c r="L399">
        <v>1</v>
      </c>
      <c r="M399">
        <v>0</v>
      </c>
      <c r="N399" t="s">
        <v>17</v>
      </c>
      <c r="O399" s="1">
        <f>result[[#This Row],[n_killed_mutants_cumulativa]]/result[[#This Row],[tot_mutants]]</f>
        <v>0</v>
      </c>
    </row>
    <row r="400" spans="1:15" hidden="1" x14ac:dyDescent="0.25">
      <c r="A400" t="s">
        <v>92</v>
      </c>
      <c r="B400" t="s">
        <v>50</v>
      </c>
      <c r="C400" t="s">
        <v>16</v>
      </c>
      <c r="D400">
        <v>47583</v>
      </c>
      <c r="E400">
        <v>692</v>
      </c>
      <c r="F400">
        <v>170</v>
      </c>
      <c r="G400">
        <v>28900</v>
      </c>
      <c r="H400">
        <v>28900</v>
      </c>
      <c r="I400">
        <v>57800</v>
      </c>
      <c r="J400">
        <v>0</v>
      </c>
      <c r="K400">
        <v>0</v>
      </c>
      <c r="L400">
        <v>1</v>
      </c>
      <c r="M400">
        <v>0</v>
      </c>
      <c r="N400" t="s">
        <v>17</v>
      </c>
      <c r="O400" s="1">
        <f>result[[#This Row],[n_killed_mutants_cumulativa]]/result[[#This Row],[tot_mutants]]</f>
        <v>0</v>
      </c>
    </row>
    <row r="401" spans="1:16" hidden="1" x14ac:dyDescent="0.25">
      <c r="A401" t="s">
        <v>92</v>
      </c>
      <c r="B401" t="s">
        <v>51</v>
      </c>
      <c r="C401" t="s">
        <v>16</v>
      </c>
      <c r="D401">
        <v>56835</v>
      </c>
      <c r="E401">
        <v>788</v>
      </c>
      <c r="F401">
        <v>180</v>
      </c>
      <c r="G401">
        <v>32400</v>
      </c>
      <c r="H401">
        <v>32400</v>
      </c>
      <c r="I401">
        <v>64800</v>
      </c>
      <c r="J401">
        <v>0</v>
      </c>
      <c r="K401">
        <v>0</v>
      </c>
      <c r="L401">
        <v>1</v>
      </c>
      <c r="M401">
        <v>0</v>
      </c>
      <c r="N401" t="s">
        <v>17</v>
      </c>
      <c r="O401" s="1">
        <f>result[[#This Row],[n_killed_mutants_cumulativa]]/result[[#This Row],[tot_mutants]]</f>
        <v>0</v>
      </c>
    </row>
    <row r="402" spans="1:16" hidden="1" x14ac:dyDescent="0.25">
      <c r="A402" t="s">
        <v>92</v>
      </c>
      <c r="B402" t="s">
        <v>52</v>
      </c>
      <c r="C402" t="s">
        <v>16</v>
      </c>
      <c r="D402">
        <v>65772</v>
      </c>
      <c r="E402">
        <v>843</v>
      </c>
      <c r="F402">
        <v>190</v>
      </c>
      <c r="G402">
        <v>36100</v>
      </c>
      <c r="H402">
        <v>36100</v>
      </c>
      <c r="I402">
        <v>72200</v>
      </c>
      <c r="J402">
        <v>0</v>
      </c>
      <c r="K402">
        <v>0</v>
      </c>
      <c r="L402">
        <v>1</v>
      </c>
      <c r="M402">
        <v>0</v>
      </c>
      <c r="N402" t="s">
        <v>17</v>
      </c>
      <c r="O402" s="1">
        <f>result[[#This Row],[n_killed_mutants_cumulativa]]/result[[#This Row],[tot_mutants]]</f>
        <v>0</v>
      </c>
    </row>
    <row r="403" spans="1:16" hidden="1" x14ac:dyDescent="0.25">
      <c r="A403" t="s">
        <v>92</v>
      </c>
      <c r="B403" t="s">
        <v>53</v>
      </c>
      <c r="C403" t="s">
        <v>16</v>
      </c>
      <c r="D403">
        <v>77578</v>
      </c>
      <c r="E403">
        <v>1117</v>
      </c>
      <c r="F403">
        <v>200</v>
      </c>
      <c r="G403">
        <v>40000</v>
      </c>
      <c r="H403">
        <v>40000</v>
      </c>
      <c r="I403">
        <v>80000</v>
      </c>
      <c r="J403">
        <v>0</v>
      </c>
      <c r="K403">
        <v>0</v>
      </c>
      <c r="L403">
        <v>1</v>
      </c>
      <c r="M403">
        <v>0</v>
      </c>
      <c r="N403" t="s">
        <v>17</v>
      </c>
      <c r="O403" s="1">
        <f>result[[#This Row],[n_killed_mutants_cumulativa]]/result[[#This Row],[tot_mutants]]</f>
        <v>0</v>
      </c>
    </row>
    <row r="404" spans="1:16" hidden="1" x14ac:dyDescent="0.25">
      <c r="A404" t="s">
        <v>92</v>
      </c>
      <c r="B404" t="s">
        <v>22</v>
      </c>
      <c r="C404" t="s">
        <v>16</v>
      </c>
      <c r="D404">
        <v>493272</v>
      </c>
      <c r="E404">
        <v>7443</v>
      </c>
      <c r="F404">
        <v>2100</v>
      </c>
      <c r="G404">
        <v>287000</v>
      </c>
      <c r="H404">
        <v>287000</v>
      </c>
      <c r="I404">
        <v>574000</v>
      </c>
      <c r="J404">
        <v>0</v>
      </c>
      <c r="K404">
        <v>0</v>
      </c>
      <c r="L404">
        <v>1</v>
      </c>
      <c r="M404">
        <v>0</v>
      </c>
      <c r="N404" t="s">
        <v>17</v>
      </c>
      <c r="O404" s="1">
        <f>result[[#This Row],[n_killed_mutants_cumulativa]]/result[[#This Row],[tot_mutants]]</f>
        <v>0</v>
      </c>
      <c r="P404" s="9" t="s">
        <v>346</v>
      </c>
    </row>
    <row r="405" spans="1:16" hidden="1" x14ac:dyDescent="0.25">
      <c r="A405" t="s">
        <v>93</v>
      </c>
      <c r="B405" t="s">
        <v>15</v>
      </c>
      <c r="C405" t="s">
        <v>16</v>
      </c>
      <c r="D405">
        <v>3285</v>
      </c>
      <c r="E405">
        <v>616</v>
      </c>
      <c r="F405">
        <v>10</v>
      </c>
      <c r="G405">
        <v>100</v>
      </c>
      <c r="H405">
        <v>0</v>
      </c>
      <c r="I405">
        <v>390</v>
      </c>
      <c r="J405">
        <v>0</v>
      </c>
      <c r="K405">
        <v>0</v>
      </c>
      <c r="L405">
        <v>1</v>
      </c>
      <c r="M405">
        <v>0</v>
      </c>
      <c r="N405" t="s">
        <v>17</v>
      </c>
      <c r="O405" s="1">
        <f>result[[#This Row],[n_killed_mutants_cumulativa]]/result[[#This Row],[tot_mutants]]</f>
        <v>0</v>
      </c>
    </row>
    <row r="406" spans="1:16" hidden="1" x14ac:dyDescent="0.25">
      <c r="A406" t="s">
        <v>93</v>
      </c>
      <c r="B406" t="s">
        <v>18</v>
      </c>
      <c r="C406" t="s">
        <v>16</v>
      </c>
      <c r="D406">
        <v>3293</v>
      </c>
      <c r="E406">
        <v>714</v>
      </c>
      <c r="F406">
        <v>20</v>
      </c>
      <c r="G406">
        <v>400</v>
      </c>
      <c r="H406">
        <v>0</v>
      </c>
      <c r="I406">
        <v>1480</v>
      </c>
      <c r="J406">
        <v>0</v>
      </c>
      <c r="K406">
        <v>0</v>
      </c>
      <c r="L406">
        <v>1</v>
      </c>
      <c r="M406">
        <v>0</v>
      </c>
      <c r="N406" t="s">
        <v>17</v>
      </c>
      <c r="O406" s="1">
        <f>result[[#This Row],[n_killed_mutants_cumulativa]]/result[[#This Row],[tot_mutants]]</f>
        <v>0</v>
      </c>
    </row>
    <row r="407" spans="1:16" hidden="1" x14ac:dyDescent="0.25">
      <c r="A407" t="s">
        <v>93</v>
      </c>
      <c r="B407" t="s">
        <v>19</v>
      </c>
      <c r="C407" t="s">
        <v>16</v>
      </c>
      <c r="D407">
        <v>5037</v>
      </c>
      <c r="E407">
        <v>1189</v>
      </c>
      <c r="F407">
        <v>30</v>
      </c>
      <c r="G407">
        <v>900</v>
      </c>
      <c r="H407">
        <v>0</v>
      </c>
      <c r="I407">
        <v>3270</v>
      </c>
      <c r="J407">
        <v>0</v>
      </c>
      <c r="K407">
        <v>0</v>
      </c>
      <c r="L407">
        <v>1</v>
      </c>
      <c r="M407">
        <v>0</v>
      </c>
      <c r="N407" t="s">
        <v>17</v>
      </c>
      <c r="O407" s="1">
        <f>result[[#This Row],[n_killed_mutants_cumulativa]]/result[[#This Row],[tot_mutants]]</f>
        <v>0</v>
      </c>
    </row>
    <row r="408" spans="1:16" hidden="1" x14ac:dyDescent="0.25">
      <c r="A408" t="s">
        <v>93</v>
      </c>
      <c r="B408" t="s">
        <v>20</v>
      </c>
      <c r="C408" t="s">
        <v>16</v>
      </c>
      <c r="D408">
        <v>8594</v>
      </c>
      <c r="E408">
        <v>2718</v>
      </c>
      <c r="F408">
        <v>40</v>
      </c>
      <c r="G408">
        <v>1600</v>
      </c>
      <c r="H408">
        <v>0</v>
      </c>
      <c r="I408">
        <v>5760</v>
      </c>
      <c r="J408">
        <v>0</v>
      </c>
      <c r="K408">
        <v>0</v>
      </c>
      <c r="L408">
        <v>1</v>
      </c>
      <c r="M408">
        <v>0</v>
      </c>
      <c r="N408" t="s">
        <v>17</v>
      </c>
      <c r="O408" s="1">
        <f>result[[#This Row],[n_killed_mutants_cumulativa]]/result[[#This Row],[tot_mutants]]</f>
        <v>0</v>
      </c>
    </row>
    <row r="409" spans="1:16" hidden="1" x14ac:dyDescent="0.25">
      <c r="A409" t="s">
        <v>93</v>
      </c>
      <c r="B409" t="s">
        <v>21</v>
      </c>
      <c r="C409" t="s">
        <v>16</v>
      </c>
      <c r="D409">
        <v>12723</v>
      </c>
      <c r="E409">
        <v>4167</v>
      </c>
      <c r="F409">
        <v>50</v>
      </c>
      <c r="G409">
        <v>2500</v>
      </c>
      <c r="H409">
        <v>0</v>
      </c>
      <c r="I409">
        <v>8950</v>
      </c>
      <c r="J409">
        <v>0</v>
      </c>
      <c r="K409">
        <v>0</v>
      </c>
      <c r="L409">
        <v>1</v>
      </c>
      <c r="M409">
        <v>0</v>
      </c>
      <c r="N409" t="s">
        <v>17</v>
      </c>
      <c r="O409" s="1">
        <f>result[[#This Row],[n_killed_mutants_cumulativa]]/result[[#This Row],[tot_mutants]]</f>
        <v>0</v>
      </c>
    </row>
    <row r="410" spans="1:16" hidden="1" x14ac:dyDescent="0.25">
      <c r="A410" t="s">
        <v>93</v>
      </c>
      <c r="B410" t="s">
        <v>24</v>
      </c>
      <c r="C410" t="s">
        <v>16</v>
      </c>
      <c r="D410">
        <v>18707</v>
      </c>
      <c r="E410">
        <v>7033</v>
      </c>
      <c r="F410">
        <v>60</v>
      </c>
      <c r="G410">
        <v>3600</v>
      </c>
      <c r="H410">
        <v>0</v>
      </c>
      <c r="I410">
        <v>12840</v>
      </c>
      <c r="J410">
        <v>0</v>
      </c>
      <c r="K410">
        <v>0</v>
      </c>
      <c r="L410">
        <v>1</v>
      </c>
      <c r="M410">
        <v>0</v>
      </c>
      <c r="N410" t="s">
        <v>17</v>
      </c>
      <c r="O410" s="1">
        <f>result[[#This Row],[n_killed_mutants_cumulativa]]/result[[#This Row],[tot_mutants]]</f>
        <v>0</v>
      </c>
    </row>
    <row r="411" spans="1:16" hidden="1" x14ac:dyDescent="0.25">
      <c r="A411" t="s">
        <v>93</v>
      </c>
      <c r="B411" t="s">
        <v>25</v>
      </c>
      <c r="C411" t="s">
        <v>16</v>
      </c>
      <c r="D411">
        <v>25478</v>
      </c>
      <c r="E411">
        <v>9632</v>
      </c>
      <c r="F411">
        <v>70</v>
      </c>
      <c r="G411">
        <v>4900</v>
      </c>
      <c r="H411">
        <v>0</v>
      </c>
      <c r="I411">
        <v>17430</v>
      </c>
      <c r="J411">
        <v>0</v>
      </c>
      <c r="K411">
        <v>0</v>
      </c>
      <c r="L411">
        <v>1</v>
      </c>
      <c r="M411">
        <v>0</v>
      </c>
      <c r="N411" t="s">
        <v>17</v>
      </c>
      <c r="O411" s="1">
        <f>result[[#This Row],[n_killed_mutants_cumulativa]]/result[[#This Row],[tot_mutants]]</f>
        <v>0</v>
      </c>
    </row>
    <row r="412" spans="1:16" hidden="1" x14ac:dyDescent="0.25">
      <c r="A412" t="s">
        <v>93</v>
      </c>
      <c r="B412" t="s">
        <v>26</v>
      </c>
      <c r="C412" t="s">
        <v>16</v>
      </c>
      <c r="D412">
        <v>34058</v>
      </c>
      <c r="E412">
        <v>13948</v>
      </c>
      <c r="F412">
        <v>80</v>
      </c>
      <c r="G412">
        <v>6400</v>
      </c>
      <c r="H412">
        <v>0</v>
      </c>
      <c r="I412">
        <v>22720</v>
      </c>
      <c r="J412">
        <v>0</v>
      </c>
      <c r="K412">
        <v>0</v>
      </c>
      <c r="L412">
        <v>1</v>
      </c>
      <c r="M412">
        <v>0</v>
      </c>
      <c r="N412" t="s">
        <v>17</v>
      </c>
      <c r="O412" s="1">
        <f>result[[#This Row],[n_killed_mutants_cumulativa]]/result[[#This Row],[tot_mutants]]</f>
        <v>0</v>
      </c>
    </row>
    <row r="413" spans="1:16" hidden="1" x14ac:dyDescent="0.25">
      <c r="A413" t="s">
        <v>93</v>
      </c>
      <c r="B413" t="s">
        <v>27</v>
      </c>
      <c r="C413" t="s">
        <v>16</v>
      </c>
      <c r="D413">
        <v>44387</v>
      </c>
      <c r="E413">
        <v>19198</v>
      </c>
      <c r="F413">
        <v>90</v>
      </c>
      <c r="G413">
        <v>8100</v>
      </c>
      <c r="H413">
        <v>0</v>
      </c>
      <c r="I413">
        <v>28710</v>
      </c>
      <c r="J413">
        <v>0</v>
      </c>
      <c r="K413">
        <v>0</v>
      </c>
      <c r="L413">
        <v>1</v>
      </c>
      <c r="M413">
        <v>0</v>
      </c>
      <c r="N413" t="s">
        <v>17</v>
      </c>
      <c r="O413" s="1">
        <f>result[[#This Row],[n_killed_mutants_cumulativa]]/result[[#This Row],[tot_mutants]]</f>
        <v>0</v>
      </c>
    </row>
    <row r="414" spans="1:16" hidden="1" x14ac:dyDescent="0.25">
      <c r="A414" t="s">
        <v>93</v>
      </c>
      <c r="B414" t="s">
        <v>30</v>
      </c>
      <c r="C414" t="s">
        <v>16</v>
      </c>
      <c r="D414">
        <v>55905</v>
      </c>
      <c r="E414">
        <v>24811</v>
      </c>
      <c r="F414">
        <v>100</v>
      </c>
      <c r="G414">
        <v>10000</v>
      </c>
      <c r="H414">
        <v>0</v>
      </c>
      <c r="I414">
        <v>35400</v>
      </c>
      <c r="J414">
        <v>0</v>
      </c>
      <c r="K414">
        <v>0</v>
      </c>
      <c r="L414">
        <v>1</v>
      </c>
      <c r="M414">
        <v>0</v>
      </c>
      <c r="N414" t="s">
        <v>17</v>
      </c>
      <c r="O414" s="1">
        <f>result[[#This Row],[n_killed_mutants_cumulativa]]/result[[#This Row],[tot_mutants]]</f>
        <v>0</v>
      </c>
    </row>
    <row r="415" spans="1:16" hidden="1" x14ac:dyDescent="0.25">
      <c r="A415" t="s">
        <v>93</v>
      </c>
      <c r="B415" t="s">
        <v>31</v>
      </c>
      <c r="C415" t="s">
        <v>16</v>
      </c>
      <c r="D415">
        <v>69275</v>
      </c>
      <c r="E415">
        <v>31799</v>
      </c>
      <c r="F415">
        <v>110</v>
      </c>
      <c r="G415">
        <v>12100</v>
      </c>
      <c r="H415">
        <v>0</v>
      </c>
      <c r="I415">
        <v>42790</v>
      </c>
      <c r="J415">
        <v>0</v>
      </c>
      <c r="K415">
        <v>0</v>
      </c>
      <c r="L415">
        <v>1</v>
      </c>
      <c r="M415">
        <v>0</v>
      </c>
      <c r="N415" t="s">
        <v>17</v>
      </c>
      <c r="O415" s="1">
        <f>result[[#This Row],[n_killed_mutants_cumulativa]]/result[[#This Row],[tot_mutants]]</f>
        <v>0</v>
      </c>
    </row>
    <row r="416" spans="1:16" hidden="1" x14ac:dyDescent="0.25">
      <c r="A416" t="s">
        <v>93</v>
      </c>
      <c r="B416" t="s">
        <v>36</v>
      </c>
      <c r="C416" t="s">
        <v>16</v>
      </c>
      <c r="D416">
        <v>85402</v>
      </c>
      <c r="E416">
        <v>40228</v>
      </c>
      <c r="F416">
        <v>120</v>
      </c>
      <c r="G416">
        <v>14400</v>
      </c>
      <c r="H416">
        <v>0</v>
      </c>
      <c r="I416">
        <v>50880</v>
      </c>
      <c r="J416">
        <v>0</v>
      </c>
      <c r="K416">
        <v>0</v>
      </c>
      <c r="L416">
        <v>1</v>
      </c>
      <c r="M416">
        <v>0</v>
      </c>
      <c r="N416" t="s">
        <v>17</v>
      </c>
      <c r="O416" s="1">
        <f>result[[#This Row],[n_killed_mutants_cumulativa]]/result[[#This Row],[tot_mutants]]</f>
        <v>0</v>
      </c>
    </row>
    <row r="417" spans="1:16" hidden="1" x14ac:dyDescent="0.25">
      <c r="A417" t="s">
        <v>93</v>
      </c>
      <c r="B417" t="s">
        <v>40</v>
      </c>
      <c r="C417" t="s">
        <v>16</v>
      </c>
      <c r="D417">
        <v>103579</v>
      </c>
      <c r="E417">
        <v>50454</v>
      </c>
      <c r="F417">
        <v>130</v>
      </c>
      <c r="G417">
        <v>16900</v>
      </c>
      <c r="H417">
        <v>0</v>
      </c>
      <c r="I417">
        <v>59670</v>
      </c>
      <c r="J417">
        <v>0</v>
      </c>
      <c r="K417">
        <v>0</v>
      </c>
      <c r="L417">
        <v>1</v>
      </c>
      <c r="M417">
        <v>0</v>
      </c>
      <c r="N417" t="s">
        <v>17</v>
      </c>
      <c r="O417" s="1">
        <f>result[[#This Row],[n_killed_mutants_cumulativa]]/result[[#This Row],[tot_mutants]]</f>
        <v>0</v>
      </c>
    </row>
    <row r="418" spans="1:16" hidden="1" x14ac:dyDescent="0.25">
      <c r="A418" t="s">
        <v>93</v>
      </c>
      <c r="B418" t="s">
        <v>47</v>
      </c>
      <c r="C418" t="s">
        <v>16</v>
      </c>
      <c r="D418">
        <v>124214</v>
      </c>
      <c r="E418">
        <v>62036</v>
      </c>
      <c r="F418">
        <v>140</v>
      </c>
      <c r="G418">
        <v>19600</v>
      </c>
      <c r="H418">
        <v>0</v>
      </c>
      <c r="I418">
        <v>69160</v>
      </c>
      <c r="J418">
        <v>0</v>
      </c>
      <c r="K418">
        <v>0</v>
      </c>
      <c r="L418">
        <v>1</v>
      </c>
      <c r="M418">
        <v>0</v>
      </c>
      <c r="N418" t="s">
        <v>17</v>
      </c>
      <c r="O418" s="1">
        <f>result[[#This Row],[n_killed_mutants_cumulativa]]/result[[#This Row],[tot_mutants]]</f>
        <v>0</v>
      </c>
    </row>
    <row r="419" spans="1:16" hidden="1" x14ac:dyDescent="0.25">
      <c r="A419" t="s">
        <v>93</v>
      </c>
      <c r="B419" t="s">
        <v>48</v>
      </c>
      <c r="C419" t="s">
        <v>16</v>
      </c>
      <c r="D419">
        <v>148917</v>
      </c>
      <c r="E419">
        <v>74715</v>
      </c>
      <c r="F419">
        <v>150</v>
      </c>
      <c r="G419">
        <v>22500</v>
      </c>
      <c r="H419">
        <v>0</v>
      </c>
      <c r="I419">
        <v>79350</v>
      </c>
      <c r="J419">
        <v>0</v>
      </c>
      <c r="K419">
        <v>0</v>
      </c>
      <c r="L419">
        <v>1</v>
      </c>
      <c r="M419">
        <v>0</v>
      </c>
      <c r="N419" t="s">
        <v>17</v>
      </c>
      <c r="O419" s="1">
        <f>result[[#This Row],[n_killed_mutants_cumulativa]]/result[[#This Row],[tot_mutants]]</f>
        <v>0</v>
      </c>
    </row>
    <row r="420" spans="1:16" hidden="1" x14ac:dyDescent="0.25">
      <c r="A420" t="s">
        <v>93</v>
      </c>
      <c r="B420" t="s">
        <v>22</v>
      </c>
      <c r="C420" t="s">
        <v>16</v>
      </c>
      <c r="D420">
        <v>742854</v>
      </c>
      <c r="E420">
        <v>343258</v>
      </c>
      <c r="F420">
        <v>1200</v>
      </c>
      <c r="G420">
        <v>124000</v>
      </c>
      <c r="H420">
        <v>0</v>
      </c>
      <c r="I420">
        <v>438800</v>
      </c>
      <c r="J420">
        <v>0</v>
      </c>
      <c r="K420">
        <v>0</v>
      </c>
      <c r="L420">
        <v>1</v>
      </c>
      <c r="M420">
        <v>0</v>
      </c>
      <c r="N420" t="s">
        <v>17</v>
      </c>
      <c r="O420" s="1">
        <f>result[[#This Row],[n_killed_mutants_cumulativa]]/result[[#This Row],[tot_mutants]]</f>
        <v>0</v>
      </c>
      <c r="P420" s="9" t="s">
        <v>346</v>
      </c>
    </row>
    <row r="421" spans="1:16" hidden="1" x14ac:dyDescent="0.25">
      <c r="A421" t="s">
        <v>94</v>
      </c>
      <c r="B421" t="s">
        <v>15</v>
      </c>
      <c r="C421" t="s">
        <v>16</v>
      </c>
      <c r="D421">
        <v>1932</v>
      </c>
      <c r="E421">
        <v>200</v>
      </c>
      <c r="F421">
        <v>0</v>
      </c>
      <c r="G421">
        <v>0</v>
      </c>
      <c r="H421">
        <v>0</v>
      </c>
      <c r="I421">
        <v>0</v>
      </c>
      <c r="J421">
        <v>10</v>
      </c>
      <c r="K421">
        <v>0</v>
      </c>
      <c r="L421">
        <v>3</v>
      </c>
      <c r="M421">
        <v>0</v>
      </c>
      <c r="N421" t="s">
        <v>17</v>
      </c>
      <c r="O421" s="1">
        <f>result[[#This Row],[n_killed_mutants_cumulativa]]/result[[#This Row],[tot_mutants]]</f>
        <v>0</v>
      </c>
    </row>
    <row r="422" spans="1:16" hidden="1" x14ac:dyDescent="0.25">
      <c r="A422" t="s">
        <v>94</v>
      </c>
      <c r="B422" t="s">
        <v>18</v>
      </c>
      <c r="C422" t="s">
        <v>16</v>
      </c>
      <c r="D422">
        <v>1442</v>
      </c>
      <c r="E422">
        <v>235</v>
      </c>
      <c r="F422">
        <v>0</v>
      </c>
      <c r="G422">
        <v>0</v>
      </c>
      <c r="H422">
        <v>0</v>
      </c>
      <c r="I422">
        <v>0</v>
      </c>
      <c r="J422">
        <v>20</v>
      </c>
      <c r="K422">
        <v>0</v>
      </c>
      <c r="L422">
        <v>3</v>
      </c>
      <c r="M422">
        <v>0</v>
      </c>
      <c r="N422" t="s">
        <v>17</v>
      </c>
      <c r="O422" s="1">
        <f>result[[#This Row],[n_killed_mutants_cumulativa]]/result[[#This Row],[tot_mutants]]</f>
        <v>0</v>
      </c>
    </row>
    <row r="423" spans="1:16" hidden="1" x14ac:dyDescent="0.25">
      <c r="A423" t="s">
        <v>94</v>
      </c>
      <c r="B423" t="s">
        <v>19</v>
      </c>
      <c r="C423" t="s">
        <v>16</v>
      </c>
      <c r="D423">
        <v>1564</v>
      </c>
      <c r="E423">
        <v>275</v>
      </c>
      <c r="F423">
        <v>0</v>
      </c>
      <c r="G423">
        <v>0</v>
      </c>
      <c r="H423">
        <v>0</v>
      </c>
      <c r="I423">
        <v>0</v>
      </c>
      <c r="J423">
        <v>30</v>
      </c>
      <c r="K423">
        <v>0</v>
      </c>
      <c r="L423">
        <v>3</v>
      </c>
      <c r="M423">
        <v>0</v>
      </c>
      <c r="N423" t="s">
        <v>17</v>
      </c>
      <c r="O423" s="1">
        <f>result[[#This Row],[n_killed_mutants_cumulativa]]/result[[#This Row],[tot_mutants]]</f>
        <v>0</v>
      </c>
    </row>
    <row r="424" spans="1:16" hidden="1" x14ac:dyDescent="0.25">
      <c r="A424" t="s">
        <v>94</v>
      </c>
      <c r="B424" t="s">
        <v>20</v>
      </c>
      <c r="C424" t="s">
        <v>16</v>
      </c>
      <c r="D424">
        <v>1816</v>
      </c>
      <c r="E424">
        <v>337</v>
      </c>
      <c r="F424">
        <v>0</v>
      </c>
      <c r="G424">
        <v>0</v>
      </c>
      <c r="H424">
        <v>0</v>
      </c>
      <c r="I424">
        <v>0</v>
      </c>
      <c r="J424">
        <v>40</v>
      </c>
      <c r="K424">
        <v>0</v>
      </c>
      <c r="L424">
        <v>3</v>
      </c>
      <c r="M424">
        <v>0</v>
      </c>
      <c r="N424" t="s">
        <v>17</v>
      </c>
      <c r="O424" s="1">
        <f>result[[#This Row],[n_killed_mutants_cumulativa]]/result[[#This Row],[tot_mutants]]</f>
        <v>0</v>
      </c>
    </row>
    <row r="425" spans="1:16" hidden="1" x14ac:dyDescent="0.25">
      <c r="A425" t="s">
        <v>94</v>
      </c>
      <c r="B425" t="s">
        <v>21</v>
      </c>
      <c r="C425" t="s">
        <v>16</v>
      </c>
      <c r="D425">
        <v>2299</v>
      </c>
      <c r="E425">
        <v>457</v>
      </c>
      <c r="F425">
        <v>0</v>
      </c>
      <c r="G425">
        <v>0</v>
      </c>
      <c r="H425">
        <v>0</v>
      </c>
      <c r="I425">
        <v>0</v>
      </c>
      <c r="J425">
        <v>50</v>
      </c>
      <c r="K425">
        <v>0</v>
      </c>
      <c r="L425">
        <v>3</v>
      </c>
      <c r="M425">
        <v>0</v>
      </c>
      <c r="N425" t="s">
        <v>17</v>
      </c>
      <c r="O425" s="1">
        <f>result[[#This Row],[n_killed_mutants_cumulativa]]/result[[#This Row],[tot_mutants]]</f>
        <v>0</v>
      </c>
    </row>
    <row r="426" spans="1:16" hidden="1" x14ac:dyDescent="0.25">
      <c r="A426" t="s">
        <v>94</v>
      </c>
      <c r="B426" t="s">
        <v>22</v>
      </c>
      <c r="C426" t="s">
        <v>16</v>
      </c>
      <c r="D426">
        <v>9053</v>
      </c>
      <c r="E426">
        <v>1504</v>
      </c>
      <c r="F426">
        <v>0</v>
      </c>
      <c r="G426">
        <v>0</v>
      </c>
      <c r="H426">
        <v>0</v>
      </c>
      <c r="I426">
        <v>0</v>
      </c>
      <c r="J426">
        <v>150</v>
      </c>
      <c r="K426">
        <v>0</v>
      </c>
      <c r="L426">
        <v>3</v>
      </c>
      <c r="M426">
        <v>0</v>
      </c>
      <c r="N426" t="s">
        <v>17</v>
      </c>
      <c r="O426" s="1">
        <f>result[[#This Row],[n_killed_mutants_cumulativa]]/result[[#This Row],[tot_mutants]]</f>
        <v>0</v>
      </c>
    </row>
    <row r="427" spans="1:16" hidden="1" x14ac:dyDescent="0.25">
      <c r="A427" t="s">
        <v>95</v>
      </c>
      <c r="B427" t="s">
        <v>15</v>
      </c>
      <c r="C427" t="s">
        <v>16</v>
      </c>
      <c r="D427">
        <v>1871</v>
      </c>
      <c r="E427">
        <v>152</v>
      </c>
      <c r="F427">
        <v>10</v>
      </c>
      <c r="G427">
        <v>100</v>
      </c>
      <c r="H427">
        <v>0</v>
      </c>
      <c r="I427">
        <v>210</v>
      </c>
      <c r="J427">
        <v>0</v>
      </c>
      <c r="K427">
        <v>0</v>
      </c>
      <c r="L427">
        <v>1</v>
      </c>
      <c r="M427">
        <v>1</v>
      </c>
      <c r="N427" t="s">
        <v>55</v>
      </c>
      <c r="O427" s="1">
        <f>result[[#This Row],[n_killed_mutants_cumulativa]]/result[[#This Row],[tot_mutants]]</f>
        <v>1</v>
      </c>
    </row>
    <row r="428" spans="1:16" x14ac:dyDescent="0.25">
      <c r="A428" t="s">
        <v>95</v>
      </c>
      <c r="B428" t="s">
        <v>22</v>
      </c>
      <c r="C428" t="s">
        <v>16</v>
      </c>
      <c r="D428">
        <v>1871</v>
      </c>
      <c r="E428">
        <v>152</v>
      </c>
      <c r="F428">
        <v>10</v>
      </c>
      <c r="G428">
        <v>100</v>
      </c>
      <c r="H428">
        <v>0</v>
      </c>
      <c r="I428">
        <v>210</v>
      </c>
      <c r="J428">
        <v>0</v>
      </c>
      <c r="K428">
        <v>0</v>
      </c>
      <c r="L428">
        <v>1</v>
      </c>
      <c r="M428">
        <v>1</v>
      </c>
      <c r="N428" t="s">
        <v>55</v>
      </c>
      <c r="O428" s="1">
        <f>result[[#This Row],[n_killed_mutants_cumulativa]]/result[[#This Row],[tot_mutants]]</f>
        <v>1</v>
      </c>
      <c r="P428" s="9" t="s">
        <v>360</v>
      </c>
    </row>
    <row r="429" spans="1:16" hidden="1" x14ac:dyDescent="0.25">
      <c r="A429" t="s">
        <v>96</v>
      </c>
      <c r="B429" t="s">
        <v>15</v>
      </c>
      <c r="C429" t="s">
        <v>16</v>
      </c>
      <c r="D429">
        <v>14427</v>
      </c>
      <c r="E429">
        <v>377</v>
      </c>
      <c r="F429">
        <v>10</v>
      </c>
      <c r="G429">
        <v>100</v>
      </c>
      <c r="H429">
        <v>124</v>
      </c>
      <c r="I429">
        <v>264</v>
      </c>
      <c r="J429">
        <v>0</v>
      </c>
      <c r="K429">
        <v>0</v>
      </c>
      <c r="L429">
        <v>12</v>
      </c>
      <c r="M429">
        <v>0</v>
      </c>
      <c r="N429" t="s">
        <v>17</v>
      </c>
      <c r="O429" s="1">
        <f>result[[#This Row],[n_killed_mutants_cumulativa]]/result[[#This Row],[tot_mutants]]</f>
        <v>0</v>
      </c>
    </row>
    <row r="430" spans="1:16" hidden="1" x14ac:dyDescent="0.25">
      <c r="A430" t="s">
        <v>96</v>
      </c>
      <c r="B430" t="s">
        <v>18</v>
      </c>
      <c r="C430" t="s">
        <v>16</v>
      </c>
      <c r="D430">
        <v>26285</v>
      </c>
      <c r="E430">
        <v>397</v>
      </c>
      <c r="F430">
        <v>20</v>
      </c>
      <c r="G430">
        <v>400</v>
      </c>
      <c r="H430">
        <v>544</v>
      </c>
      <c r="I430">
        <v>1538</v>
      </c>
      <c r="J430">
        <v>0</v>
      </c>
      <c r="K430">
        <v>0</v>
      </c>
      <c r="L430">
        <v>12</v>
      </c>
      <c r="M430">
        <v>0</v>
      </c>
      <c r="N430" t="s">
        <v>17</v>
      </c>
      <c r="O430" s="1">
        <f>result[[#This Row],[n_killed_mutants_cumulativa]]/result[[#This Row],[tot_mutants]]</f>
        <v>0</v>
      </c>
    </row>
    <row r="431" spans="1:16" hidden="1" x14ac:dyDescent="0.25">
      <c r="A431" t="s">
        <v>96</v>
      </c>
      <c r="B431" t="s">
        <v>19</v>
      </c>
      <c r="C431" t="s">
        <v>16</v>
      </c>
      <c r="D431">
        <v>45135</v>
      </c>
      <c r="E431">
        <v>747</v>
      </c>
      <c r="F431">
        <v>30</v>
      </c>
      <c r="G431">
        <v>900</v>
      </c>
      <c r="H431">
        <v>1309</v>
      </c>
      <c r="I431">
        <v>3924</v>
      </c>
      <c r="J431">
        <v>0</v>
      </c>
      <c r="K431">
        <v>0</v>
      </c>
      <c r="L431">
        <v>12</v>
      </c>
      <c r="M431">
        <v>0</v>
      </c>
      <c r="N431" t="s">
        <v>17</v>
      </c>
      <c r="O431" s="1">
        <f>result[[#This Row],[n_killed_mutants_cumulativa]]/result[[#This Row],[tot_mutants]]</f>
        <v>0</v>
      </c>
    </row>
    <row r="432" spans="1:16" hidden="1" x14ac:dyDescent="0.25">
      <c r="A432" t="s">
        <v>96</v>
      </c>
      <c r="B432" t="s">
        <v>20</v>
      </c>
      <c r="C432" t="s">
        <v>16</v>
      </c>
      <c r="D432">
        <v>73492</v>
      </c>
      <c r="E432">
        <v>1453</v>
      </c>
      <c r="F432">
        <v>40</v>
      </c>
      <c r="G432">
        <v>1600</v>
      </c>
      <c r="H432">
        <v>2521</v>
      </c>
      <c r="I432">
        <v>8596</v>
      </c>
      <c r="J432">
        <v>0</v>
      </c>
      <c r="K432">
        <v>0</v>
      </c>
      <c r="L432">
        <v>12</v>
      </c>
      <c r="M432">
        <v>0</v>
      </c>
      <c r="N432" t="s">
        <v>17</v>
      </c>
      <c r="O432" s="1">
        <f>result[[#This Row],[n_killed_mutants_cumulativa]]/result[[#This Row],[tot_mutants]]</f>
        <v>0</v>
      </c>
    </row>
    <row r="433" spans="1:16" hidden="1" x14ac:dyDescent="0.25">
      <c r="A433" t="s">
        <v>96</v>
      </c>
      <c r="B433" t="s">
        <v>21</v>
      </c>
      <c r="C433" t="s">
        <v>16</v>
      </c>
      <c r="D433">
        <v>109282</v>
      </c>
      <c r="E433">
        <v>2150</v>
      </c>
      <c r="F433">
        <v>50</v>
      </c>
      <c r="G433">
        <v>2500</v>
      </c>
      <c r="H433">
        <v>3981</v>
      </c>
      <c r="I433">
        <v>15856</v>
      </c>
      <c r="J433">
        <v>0</v>
      </c>
      <c r="K433">
        <v>0</v>
      </c>
      <c r="L433">
        <v>12</v>
      </c>
      <c r="M433">
        <v>0</v>
      </c>
      <c r="N433" t="s">
        <v>17</v>
      </c>
      <c r="O433" s="1">
        <f>result[[#This Row],[n_killed_mutants_cumulativa]]/result[[#This Row],[tot_mutants]]</f>
        <v>0</v>
      </c>
    </row>
    <row r="434" spans="1:16" hidden="1" x14ac:dyDescent="0.25">
      <c r="A434" t="s">
        <v>96</v>
      </c>
      <c r="B434" t="s">
        <v>24</v>
      </c>
      <c r="C434" t="s">
        <v>16</v>
      </c>
      <c r="D434">
        <v>152190</v>
      </c>
      <c r="E434">
        <v>3082</v>
      </c>
      <c r="F434">
        <v>60</v>
      </c>
      <c r="G434">
        <v>3600</v>
      </c>
      <c r="H434">
        <v>5647</v>
      </c>
      <c r="I434">
        <v>24872</v>
      </c>
      <c r="J434">
        <v>0</v>
      </c>
      <c r="K434">
        <v>0</v>
      </c>
      <c r="L434">
        <v>12</v>
      </c>
      <c r="M434">
        <v>0</v>
      </c>
      <c r="N434" t="s">
        <v>17</v>
      </c>
      <c r="O434" s="1">
        <f>result[[#This Row],[n_killed_mutants_cumulativa]]/result[[#This Row],[tot_mutants]]</f>
        <v>0</v>
      </c>
    </row>
    <row r="435" spans="1:16" hidden="1" x14ac:dyDescent="0.25">
      <c r="A435" t="s">
        <v>96</v>
      </c>
      <c r="B435" t="s">
        <v>25</v>
      </c>
      <c r="C435" t="s">
        <v>16</v>
      </c>
      <c r="D435">
        <v>205034</v>
      </c>
      <c r="E435">
        <v>4335</v>
      </c>
      <c r="F435">
        <v>70</v>
      </c>
      <c r="G435">
        <v>4900</v>
      </c>
      <c r="H435">
        <v>8049</v>
      </c>
      <c r="I435">
        <v>35302</v>
      </c>
      <c r="J435">
        <v>0</v>
      </c>
      <c r="K435">
        <v>0</v>
      </c>
      <c r="L435">
        <v>12</v>
      </c>
      <c r="M435">
        <v>0</v>
      </c>
      <c r="N435" t="s">
        <v>17</v>
      </c>
      <c r="O435" s="1">
        <f>result[[#This Row],[n_killed_mutants_cumulativa]]/result[[#This Row],[tot_mutants]]</f>
        <v>0</v>
      </c>
    </row>
    <row r="436" spans="1:16" hidden="1" x14ac:dyDescent="0.25">
      <c r="A436" t="s">
        <v>96</v>
      </c>
      <c r="B436" t="s">
        <v>22</v>
      </c>
      <c r="C436" t="s">
        <v>16</v>
      </c>
      <c r="D436">
        <v>625845</v>
      </c>
      <c r="E436">
        <v>12541</v>
      </c>
      <c r="F436">
        <v>280</v>
      </c>
      <c r="G436">
        <v>14000</v>
      </c>
      <c r="H436">
        <v>22175</v>
      </c>
      <c r="I436">
        <v>90352</v>
      </c>
      <c r="J436">
        <v>0</v>
      </c>
      <c r="K436">
        <v>0</v>
      </c>
      <c r="L436">
        <v>12</v>
      </c>
      <c r="M436">
        <v>0</v>
      </c>
      <c r="N436" t="s">
        <v>17</v>
      </c>
      <c r="O436" s="1">
        <f>result[[#This Row],[n_killed_mutants_cumulativa]]/result[[#This Row],[tot_mutants]]</f>
        <v>0</v>
      </c>
      <c r="P436" s="9" t="s">
        <v>351</v>
      </c>
    </row>
    <row r="437" spans="1:16" hidden="1" x14ac:dyDescent="0.25">
      <c r="A437" t="s">
        <v>97</v>
      </c>
      <c r="B437" t="s">
        <v>15</v>
      </c>
      <c r="C437" t="s">
        <v>16</v>
      </c>
      <c r="D437">
        <v>2005</v>
      </c>
      <c r="E437">
        <v>108</v>
      </c>
      <c r="F437">
        <v>10</v>
      </c>
      <c r="G437">
        <v>10</v>
      </c>
      <c r="H437">
        <v>10</v>
      </c>
      <c r="I437">
        <v>30</v>
      </c>
      <c r="J437">
        <v>0</v>
      </c>
      <c r="K437">
        <v>0</v>
      </c>
      <c r="L437">
        <v>1</v>
      </c>
      <c r="M437">
        <v>1</v>
      </c>
      <c r="N437" t="s">
        <v>55</v>
      </c>
      <c r="O437" s="1">
        <f>result[[#This Row],[n_killed_mutants_cumulativa]]/result[[#This Row],[tot_mutants]]</f>
        <v>1</v>
      </c>
    </row>
    <row r="438" spans="1:16" x14ac:dyDescent="0.25">
      <c r="A438" t="s">
        <v>97</v>
      </c>
      <c r="B438" t="s">
        <v>22</v>
      </c>
      <c r="C438" t="s">
        <v>16</v>
      </c>
      <c r="D438">
        <v>2005</v>
      </c>
      <c r="E438">
        <v>108</v>
      </c>
      <c r="F438">
        <v>10</v>
      </c>
      <c r="G438">
        <v>10</v>
      </c>
      <c r="H438">
        <v>10</v>
      </c>
      <c r="I438">
        <v>30</v>
      </c>
      <c r="J438">
        <v>0</v>
      </c>
      <c r="K438">
        <v>0</v>
      </c>
      <c r="L438">
        <v>1</v>
      </c>
      <c r="M438">
        <v>1</v>
      </c>
      <c r="N438" t="s">
        <v>55</v>
      </c>
      <c r="O438" s="1">
        <f>result[[#This Row],[n_killed_mutants_cumulativa]]/result[[#This Row],[tot_mutants]]</f>
        <v>1</v>
      </c>
      <c r="P438" s="9" t="s">
        <v>360</v>
      </c>
    </row>
    <row r="439" spans="1:16" hidden="1" x14ac:dyDescent="0.25">
      <c r="A439" t="s">
        <v>98</v>
      </c>
      <c r="B439" t="s">
        <v>22</v>
      </c>
      <c r="C439" t="s">
        <v>99</v>
      </c>
      <c r="D439">
        <v>0</v>
      </c>
      <c r="E439">
        <v>172</v>
      </c>
      <c r="F439">
        <v>10</v>
      </c>
      <c r="G439">
        <v>100</v>
      </c>
      <c r="H439">
        <v>100</v>
      </c>
      <c r="I439">
        <v>180</v>
      </c>
      <c r="J439">
        <v>0</v>
      </c>
      <c r="K439">
        <v>0</v>
      </c>
      <c r="L439">
        <v>9</v>
      </c>
      <c r="M439">
        <v>0</v>
      </c>
      <c r="N439" t="s">
        <v>17</v>
      </c>
      <c r="O439" s="1">
        <f>result[[#This Row],[n_killed_mutants_cumulativa]]/result[[#This Row],[tot_mutants]]</f>
        <v>0</v>
      </c>
    </row>
    <row r="440" spans="1:16" hidden="1" x14ac:dyDescent="0.25">
      <c r="A440" t="s">
        <v>100</v>
      </c>
      <c r="B440" t="s">
        <v>15</v>
      </c>
      <c r="C440" t="s">
        <v>16</v>
      </c>
      <c r="D440">
        <v>2774</v>
      </c>
      <c r="E440">
        <v>473</v>
      </c>
      <c r="F440">
        <v>0</v>
      </c>
      <c r="G440">
        <v>0</v>
      </c>
      <c r="H440">
        <v>0</v>
      </c>
      <c r="I440">
        <v>0</v>
      </c>
      <c r="J440">
        <v>10</v>
      </c>
      <c r="K440">
        <v>0</v>
      </c>
      <c r="L440">
        <v>1</v>
      </c>
      <c r="M440">
        <v>0</v>
      </c>
      <c r="N440" t="s">
        <v>17</v>
      </c>
      <c r="O440" s="1">
        <f>result[[#This Row],[n_killed_mutants_cumulativa]]/result[[#This Row],[tot_mutants]]</f>
        <v>0</v>
      </c>
    </row>
    <row r="441" spans="1:16" hidden="1" x14ac:dyDescent="0.25">
      <c r="A441" t="s">
        <v>100</v>
      </c>
      <c r="B441" t="s">
        <v>18</v>
      </c>
      <c r="C441" t="s">
        <v>16</v>
      </c>
      <c r="D441">
        <v>2058</v>
      </c>
      <c r="E441">
        <v>746</v>
      </c>
      <c r="F441">
        <v>0</v>
      </c>
      <c r="G441">
        <v>0</v>
      </c>
      <c r="H441">
        <v>0</v>
      </c>
      <c r="I441">
        <v>0</v>
      </c>
      <c r="J441">
        <v>20</v>
      </c>
      <c r="K441">
        <v>0</v>
      </c>
      <c r="L441">
        <v>1</v>
      </c>
      <c r="M441">
        <v>0</v>
      </c>
      <c r="N441" t="s">
        <v>17</v>
      </c>
      <c r="O441" s="1">
        <f>result[[#This Row],[n_killed_mutants_cumulativa]]/result[[#This Row],[tot_mutants]]</f>
        <v>0</v>
      </c>
    </row>
    <row r="442" spans="1:16" hidden="1" x14ac:dyDescent="0.25">
      <c r="A442" t="s">
        <v>100</v>
      </c>
      <c r="B442" t="s">
        <v>19</v>
      </c>
      <c r="C442" t="s">
        <v>16</v>
      </c>
      <c r="D442">
        <v>2591</v>
      </c>
      <c r="E442">
        <v>796</v>
      </c>
      <c r="F442">
        <v>0</v>
      </c>
      <c r="G442">
        <v>0</v>
      </c>
      <c r="H442">
        <v>0</v>
      </c>
      <c r="I442">
        <v>0</v>
      </c>
      <c r="J442">
        <v>30</v>
      </c>
      <c r="K442">
        <v>0</v>
      </c>
      <c r="L442">
        <v>1</v>
      </c>
      <c r="M442">
        <v>0</v>
      </c>
      <c r="N442" t="s">
        <v>17</v>
      </c>
      <c r="O442" s="1">
        <f>result[[#This Row],[n_killed_mutants_cumulativa]]/result[[#This Row],[tot_mutants]]</f>
        <v>0</v>
      </c>
    </row>
    <row r="443" spans="1:16" hidden="1" x14ac:dyDescent="0.25">
      <c r="A443" t="s">
        <v>100</v>
      </c>
      <c r="B443" t="s">
        <v>20</v>
      </c>
      <c r="C443" t="s">
        <v>16</v>
      </c>
      <c r="D443">
        <v>3488</v>
      </c>
      <c r="E443">
        <v>1128</v>
      </c>
      <c r="F443">
        <v>0</v>
      </c>
      <c r="G443">
        <v>0</v>
      </c>
      <c r="H443">
        <v>0</v>
      </c>
      <c r="I443">
        <v>0</v>
      </c>
      <c r="J443">
        <v>40</v>
      </c>
      <c r="K443">
        <v>0</v>
      </c>
      <c r="L443">
        <v>1</v>
      </c>
      <c r="M443">
        <v>0</v>
      </c>
      <c r="N443" t="s">
        <v>17</v>
      </c>
      <c r="O443" s="1">
        <f>result[[#This Row],[n_killed_mutants_cumulativa]]/result[[#This Row],[tot_mutants]]</f>
        <v>0</v>
      </c>
    </row>
    <row r="444" spans="1:16" hidden="1" x14ac:dyDescent="0.25">
      <c r="A444" t="s">
        <v>100</v>
      </c>
      <c r="B444" t="s">
        <v>21</v>
      </c>
      <c r="C444" t="s">
        <v>16</v>
      </c>
      <c r="D444">
        <v>4316</v>
      </c>
      <c r="E444">
        <v>1611</v>
      </c>
      <c r="F444">
        <v>0</v>
      </c>
      <c r="G444">
        <v>0</v>
      </c>
      <c r="H444">
        <v>0</v>
      </c>
      <c r="I444">
        <v>0</v>
      </c>
      <c r="J444">
        <v>50</v>
      </c>
      <c r="K444">
        <v>0</v>
      </c>
      <c r="L444">
        <v>1</v>
      </c>
      <c r="M444">
        <v>0</v>
      </c>
      <c r="N444" t="s">
        <v>17</v>
      </c>
      <c r="O444" s="1">
        <f>result[[#This Row],[n_killed_mutants_cumulativa]]/result[[#This Row],[tot_mutants]]</f>
        <v>0</v>
      </c>
    </row>
    <row r="445" spans="1:16" hidden="1" x14ac:dyDescent="0.25">
      <c r="A445" t="s">
        <v>100</v>
      </c>
      <c r="B445" t="s">
        <v>22</v>
      </c>
      <c r="C445" t="s">
        <v>16</v>
      </c>
      <c r="D445">
        <v>15227</v>
      </c>
      <c r="E445">
        <v>4754</v>
      </c>
      <c r="F445">
        <v>0</v>
      </c>
      <c r="G445">
        <v>0</v>
      </c>
      <c r="H445">
        <v>0</v>
      </c>
      <c r="I445">
        <v>0</v>
      </c>
      <c r="J445">
        <v>150</v>
      </c>
      <c r="K445">
        <v>0</v>
      </c>
      <c r="L445">
        <v>1</v>
      </c>
      <c r="M445">
        <v>0</v>
      </c>
      <c r="N445" t="s">
        <v>17</v>
      </c>
      <c r="O445" s="1">
        <f>result[[#This Row],[n_killed_mutants_cumulativa]]/result[[#This Row],[tot_mutants]]</f>
        <v>0</v>
      </c>
    </row>
    <row r="446" spans="1:16" hidden="1" x14ac:dyDescent="0.25">
      <c r="A446" t="s">
        <v>101</v>
      </c>
      <c r="B446" t="s">
        <v>15</v>
      </c>
      <c r="C446" t="s">
        <v>16</v>
      </c>
      <c r="D446">
        <v>2195</v>
      </c>
      <c r="E446">
        <v>592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10</v>
      </c>
      <c r="L446">
        <v>5</v>
      </c>
      <c r="M446">
        <v>0</v>
      </c>
      <c r="N446" t="s">
        <v>17</v>
      </c>
      <c r="O446" s="1">
        <f>result[[#This Row],[n_killed_mutants_cumulativa]]/result[[#This Row],[tot_mutants]]</f>
        <v>0</v>
      </c>
    </row>
    <row r="447" spans="1:16" hidden="1" x14ac:dyDescent="0.25">
      <c r="A447" t="s">
        <v>101</v>
      </c>
      <c r="B447" t="s">
        <v>18</v>
      </c>
      <c r="C447" t="s">
        <v>16</v>
      </c>
      <c r="D447">
        <v>2430</v>
      </c>
      <c r="E447">
        <v>1441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20</v>
      </c>
      <c r="L447">
        <v>5</v>
      </c>
      <c r="M447">
        <v>0</v>
      </c>
      <c r="N447" t="s">
        <v>17</v>
      </c>
      <c r="O447" s="1">
        <f>result[[#This Row],[n_killed_mutants_cumulativa]]/result[[#This Row],[tot_mutants]]</f>
        <v>0</v>
      </c>
    </row>
    <row r="448" spans="1:16" hidden="1" x14ac:dyDescent="0.25">
      <c r="A448" t="s">
        <v>101</v>
      </c>
      <c r="B448" t="s">
        <v>19</v>
      </c>
      <c r="C448" t="s">
        <v>16</v>
      </c>
      <c r="D448">
        <v>4405</v>
      </c>
      <c r="E448">
        <v>3404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30</v>
      </c>
      <c r="L448">
        <v>5</v>
      </c>
      <c r="M448">
        <v>0</v>
      </c>
      <c r="N448" t="s">
        <v>17</v>
      </c>
      <c r="O448" s="1">
        <f>result[[#This Row],[n_killed_mutants_cumulativa]]/result[[#This Row],[tot_mutants]]</f>
        <v>0</v>
      </c>
    </row>
    <row r="449" spans="1:16" hidden="1" x14ac:dyDescent="0.25">
      <c r="A449" t="s">
        <v>101</v>
      </c>
      <c r="B449" t="s">
        <v>20</v>
      </c>
      <c r="C449" t="s">
        <v>16</v>
      </c>
      <c r="D449">
        <v>10298</v>
      </c>
      <c r="E449">
        <v>9196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40</v>
      </c>
      <c r="L449">
        <v>5</v>
      </c>
      <c r="M449">
        <v>0</v>
      </c>
      <c r="N449" t="s">
        <v>17</v>
      </c>
      <c r="O449" s="1">
        <f>result[[#This Row],[n_killed_mutants_cumulativa]]/result[[#This Row],[tot_mutants]]</f>
        <v>0</v>
      </c>
    </row>
    <row r="450" spans="1:16" hidden="1" x14ac:dyDescent="0.25">
      <c r="A450" t="s">
        <v>101</v>
      </c>
      <c r="B450" t="s">
        <v>21</v>
      </c>
      <c r="C450" t="s">
        <v>16</v>
      </c>
      <c r="D450">
        <v>23883</v>
      </c>
      <c r="E450">
        <v>22507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50</v>
      </c>
      <c r="L450">
        <v>5</v>
      </c>
      <c r="M450">
        <v>0</v>
      </c>
      <c r="N450" t="s">
        <v>17</v>
      </c>
      <c r="O450" s="1">
        <f>result[[#This Row],[n_killed_mutants_cumulativa]]/result[[#This Row],[tot_mutants]]</f>
        <v>0</v>
      </c>
    </row>
    <row r="451" spans="1:16" hidden="1" x14ac:dyDescent="0.25">
      <c r="A451" t="s">
        <v>101</v>
      </c>
      <c r="B451" t="s">
        <v>22</v>
      </c>
      <c r="C451" t="s">
        <v>16</v>
      </c>
      <c r="D451">
        <v>43211</v>
      </c>
      <c r="E451">
        <v>37140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150</v>
      </c>
      <c r="L451">
        <v>5</v>
      </c>
      <c r="M451">
        <v>0</v>
      </c>
      <c r="N451" t="s">
        <v>17</v>
      </c>
      <c r="O451" s="1">
        <f>result[[#This Row],[n_killed_mutants_cumulativa]]/result[[#This Row],[tot_mutants]]</f>
        <v>0</v>
      </c>
    </row>
    <row r="452" spans="1:16" hidden="1" x14ac:dyDescent="0.25">
      <c r="A452" t="s">
        <v>102</v>
      </c>
      <c r="B452" t="s">
        <v>15</v>
      </c>
      <c r="C452" t="s">
        <v>16</v>
      </c>
      <c r="D452">
        <v>1399</v>
      </c>
      <c r="E452">
        <v>39</v>
      </c>
      <c r="F452">
        <v>0</v>
      </c>
      <c r="G452">
        <v>0</v>
      </c>
      <c r="H452">
        <v>0</v>
      </c>
      <c r="I452">
        <v>0</v>
      </c>
      <c r="J452">
        <v>10</v>
      </c>
      <c r="K452">
        <v>0</v>
      </c>
      <c r="L452">
        <v>12</v>
      </c>
      <c r="M452">
        <v>0</v>
      </c>
      <c r="N452" t="s">
        <v>17</v>
      </c>
      <c r="O452" s="1">
        <f>result[[#This Row],[n_killed_mutants_cumulativa]]/result[[#This Row],[tot_mutants]]</f>
        <v>0</v>
      </c>
    </row>
    <row r="453" spans="1:16" hidden="1" x14ac:dyDescent="0.25">
      <c r="A453" t="s">
        <v>102</v>
      </c>
      <c r="B453" t="s">
        <v>18</v>
      </c>
      <c r="C453" t="s">
        <v>16</v>
      </c>
      <c r="D453">
        <v>1194</v>
      </c>
      <c r="E453">
        <v>14</v>
      </c>
      <c r="F453">
        <v>0</v>
      </c>
      <c r="G453">
        <v>0</v>
      </c>
      <c r="H453">
        <v>0</v>
      </c>
      <c r="I453">
        <v>0</v>
      </c>
      <c r="J453">
        <v>20</v>
      </c>
      <c r="K453">
        <v>0</v>
      </c>
      <c r="L453">
        <v>12</v>
      </c>
      <c r="M453">
        <v>0</v>
      </c>
      <c r="N453" t="s">
        <v>17</v>
      </c>
      <c r="O453" s="1">
        <f>result[[#This Row],[n_killed_mutants_cumulativa]]/result[[#This Row],[tot_mutants]]</f>
        <v>0</v>
      </c>
    </row>
    <row r="454" spans="1:16" hidden="1" x14ac:dyDescent="0.25">
      <c r="A454" t="s">
        <v>102</v>
      </c>
      <c r="B454" t="s">
        <v>19</v>
      </c>
      <c r="C454" t="s">
        <v>16</v>
      </c>
      <c r="D454">
        <v>1055</v>
      </c>
      <c r="E454">
        <v>14</v>
      </c>
      <c r="F454">
        <v>0</v>
      </c>
      <c r="G454">
        <v>0</v>
      </c>
      <c r="H454">
        <v>0</v>
      </c>
      <c r="I454">
        <v>0</v>
      </c>
      <c r="J454">
        <v>30</v>
      </c>
      <c r="K454">
        <v>0</v>
      </c>
      <c r="L454">
        <v>12</v>
      </c>
      <c r="M454">
        <v>0</v>
      </c>
      <c r="N454" t="s">
        <v>17</v>
      </c>
      <c r="O454" s="1">
        <f>result[[#This Row],[n_killed_mutants_cumulativa]]/result[[#This Row],[tot_mutants]]</f>
        <v>0</v>
      </c>
    </row>
    <row r="455" spans="1:16" hidden="1" x14ac:dyDescent="0.25">
      <c r="A455" t="s">
        <v>102</v>
      </c>
      <c r="B455" t="s">
        <v>20</v>
      </c>
      <c r="C455" t="s">
        <v>16</v>
      </c>
      <c r="D455">
        <v>1117</v>
      </c>
      <c r="E455">
        <v>13</v>
      </c>
      <c r="F455">
        <v>0</v>
      </c>
      <c r="G455">
        <v>0</v>
      </c>
      <c r="H455">
        <v>0</v>
      </c>
      <c r="I455">
        <v>0</v>
      </c>
      <c r="J455">
        <v>40</v>
      </c>
      <c r="K455">
        <v>0</v>
      </c>
      <c r="L455">
        <v>12</v>
      </c>
      <c r="M455">
        <v>0</v>
      </c>
      <c r="N455" t="s">
        <v>17</v>
      </c>
      <c r="O455" s="1">
        <f>result[[#This Row],[n_killed_mutants_cumulativa]]/result[[#This Row],[tot_mutants]]</f>
        <v>0</v>
      </c>
    </row>
    <row r="456" spans="1:16" hidden="1" x14ac:dyDescent="0.25">
      <c r="A456" t="s">
        <v>102</v>
      </c>
      <c r="B456" t="s">
        <v>21</v>
      </c>
      <c r="C456" t="s">
        <v>16</v>
      </c>
      <c r="D456">
        <v>1219</v>
      </c>
      <c r="E456">
        <v>14</v>
      </c>
      <c r="F456">
        <v>0</v>
      </c>
      <c r="G456">
        <v>0</v>
      </c>
      <c r="H456">
        <v>0</v>
      </c>
      <c r="I456">
        <v>0</v>
      </c>
      <c r="J456">
        <v>50</v>
      </c>
      <c r="K456">
        <v>0</v>
      </c>
      <c r="L456">
        <v>12</v>
      </c>
      <c r="M456">
        <v>0</v>
      </c>
      <c r="N456" t="s">
        <v>17</v>
      </c>
      <c r="O456" s="1">
        <f>result[[#This Row],[n_killed_mutants_cumulativa]]/result[[#This Row],[tot_mutants]]</f>
        <v>0</v>
      </c>
    </row>
    <row r="457" spans="1:16" hidden="1" x14ac:dyDescent="0.25">
      <c r="A457" t="s">
        <v>102</v>
      </c>
      <c r="B457" t="s">
        <v>22</v>
      </c>
      <c r="C457" t="s">
        <v>16</v>
      </c>
      <c r="D457">
        <v>5984</v>
      </c>
      <c r="E457">
        <v>94</v>
      </c>
      <c r="F457">
        <v>0</v>
      </c>
      <c r="G457">
        <v>0</v>
      </c>
      <c r="H457">
        <v>0</v>
      </c>
      <c r="I457">
        <v>0</v>
      </c>
      <c r="J457">
        <v>150</v>
      </c>
      <c r="K457">
        <v>0</v>
      </c>
      <c r="L457">
        <v>12</v>
      </c>
      <c r="M457">
        <v>0</v>
      </c>
      <c r="N457" t="s">
        <v>17</v>
      </c>
      <c r="O457" s="1">
        <f>result[[#This Row],[n_killed_mutants_cumulativa]]/result[[#This Row],[tot_mutants]]</f>
        <v>0</v>
      </c>
    </row>
    <row r="458" spans="1:16" hidden="1" x14ac:dyDescent="0.25">
      <c r="A458" t="s">
        <v>103</v>
      </c>
      <c r="B458" t="s">
        <v>15</v>
      </c>
      <c r="C458" t="s">
        <v>16</v>
      </c>
      <c r="D458">
        <v>1872</v>
      </c>
      <c r="E458">
        <v>131</v>
      </c>
      <c r="F458">
        <v>10</v>
      </c>
      <c r="G458">
        <v>100</v>
      </c>
      <c r="H458">
        <v>94</v>
      </c>
      <c r="I458">
        <v>110</v>
      </c>
      <c r="J458">
        <v>0</v>
      </c>
      <c r="K458">
        <v>0</v>
      </c>
      <c r="L458">
        <v>1</v>
      </c>
      <c r="M458">
        <v>1</v>
      </c>
      <c r="N458" t="s">
        <v>55</v>
      </c>
      <c r="O458" s="1">
        <f>result[[#This Row],[n_killed_mutants_cumulativa]]/result[[#This Row],[tot_mutants]]</f>
        <v>1</v>
      </c>
    </row>
    <row r="459" spans="1:16" x14ac:dyDescent="0.25">
      <c r="A459" t="s">
        <v>103</v>
      </c>
      <c r="B459" t="s">
        <v>22</v>
      </c>
      <c r="C459" t="s">
        <v>16</v>
      </c>
      <c r="D459">
        <v>1872</v>
      </c>
      <c r="E459">
        <v>131</v>
      </c>
      <c r="F459">
        <v>10</v>
      </c>
      <c r="G459">
        <v>100</v>
      </c>
      <c r="H459">
        <v>94</v>
      </c>
      <c r="I459">
        <v>110</v>
      </c>
      <c r="J459">
        <v>0</v>
      </c>
      <c r="K459">
        <v>0</v>
      </c>
      <c r="L459">
        <v>1</v>
      </c>
      <c r="M459">
        <v>1</v>
      </c>
      <c r="N459" t="s">
        <v>55</v>
      </c>
      <c r="O459" s="1">
        <f>result[[#This Row],[n_killed_mutants_cumulativa]]/result[[#This Row],[tot_mutants]]</f>
        <v>1</v>
      </c>
      <c r="P459" s="9" t="s">
        <v>359</v>
      </c>
    </row>
    <row r="460" spans="1:16" hidden="1" x14ac:dyDescent="0.25">
      <c r="A460" t="s">
        <v>104</v>
      </c>
      <c r="B460" t="s">
        <v>15</v>
      </c>
      <c r="C460" t="s">
        <v>16</v>
      </c>
      <c r="D460">
        <v>3017</v>
      </c>
      <c r="E460">
        <v>413</v>
      </c>
      <c r="F460">
        <v>10</v>
      </c>
      <c r="G460">
        <v>100</v>
      </c>
      <c r="H460">
        <v>0</v>
      </c>
      <c r="I460">
        <v>390</v>
      </c>
      <c r="J460">
        <v>0</v>
      </c>
      <c r="K460">
        <v>0</v>
      </c>
      <c r="L460">
        <v>1</v>
      </c>
      <c r="M460">
        <v>0</v>
      </c>
      <c r="N460" t="s">
        <v>17</v>
      </c>
      <c r="O460" s="1">
        <f>result[[#This Row],[n_killed_mutants_cumulativa]]/result[[#This Row],[tot_mutants]]</f>
        <v>0</v>
      </c>
    </row>
    <row r="461" spans="1:16" hidden="1" x14ac:dyDescent="0.25">
      <c r="A461" t="s">
        <v>104</v>
      </c>
      <c r="B461" t="s">
        <v>18</v>
      </c>
      <c r="C461" t="s">
        <v>16</v>
      </c>
      <c r="D461">
        <v>3168</v>
      </c>
      <c r="E461">
        <v>663</v>
      </c>
      <c r="F461">
        <v>20</v>
      </c>
      <c r="G461">
        <v>400</v>
      </c>
      <c r="H461">
        <v>0</v>
      </c>
      <c r="I461">
        <v>1480</v>
      </c>
      <c r="J461">
        <v>0</v>
      </c>
      <c r="K461">
        <v>0</v>
      </c>
      <c r="L461">
        <v>1</v>
      </c>
      <c r="M461">
        <v>0</v>
      </c>
      <c r="N461" t="s">
        <v>17</v>
      </c>
      <c r="O461" s="1">
        <f>result[[#This Row],[n_killed_mutants_cumulativa]]/result[[#This Row],[tot_mutants]]</f>
        <v>0</v>
      </c>
    </row>
    <row r="462" spans="1:16" hidden="1" x14ac:dyDescent="0.25">
      <c r="A462" t="s">
        <v>104</v>
      </c>
      <c r="B462" t="s">
        <v>19</v>
      </c>
      <c r="C462" t="s">
        <v>16</v>
      </c>
      <c r="D462">
        <v>3911</v>
      </c>
      <c r="E462">
        <v>977</v>
      </c>
      <c r="F462">
        <v>30</v>
      </c>
      <c r="G462">
        <v>900</v>
      </c>
      <c r="H462">
        <v>0</v>
      </c>
      <c r="I462">
        <v>3270</v>
      </c>
      <c r="J462">
        <v>0</v>
      </c>
      <c r="K462">
        <v>0</v>
      </c>
      <c r="L462">
        <v>1</v>
      </c>
      <c r="M462">
        <v>0</v>
      </c>
      <c r="N462" t="s">
        <v>17</v>
      </c>
      <c r="O462" s="1">
        <f>result[[#This Row],[n_killed_mutants_cumulativa]]/result[[#This Row],[tot_mutants]]</f>
        <v>0</v>
      </c>
    </row>
    <row r="463" spans="1:16" hidden="1" x14ac:dyDescent="0.25">
      <c r="A463" t="s">
        <v>104</v>
      </c>
      <c r="B463" t="s">
        <v>20</v>
      </c>
      <c r="C463" t="s">
        <v>16</v>
      </c>
      <c r="D463">
        <v>6388</v>
      </c>
      <c r="E463">
        <v>1730</v>
      </c>
      <c r="F463">
        <v>40</v>
      </c>
      <c r="G463">
        <v>1600</v>
      </c>
      <c r="H463">
        <v>0</v>
      </c>
      <c r="I463">
        <v>5760</v>
      </c>
      <c r="J463">
        <v>0</v>
      </c>
      <c r="K463">
        <v>0</v>
      </c>
      <c r="L463">
        <v>1</v>
      </c>
      <c r="M463">
        <v>0</v>
      </c>
      <c r="N463" t="s">
        <v>17</v>
      </c>
      <c r="O463" s="1">
        <f>result[[#This Row],[n_killed_mutants_cumulativa]]/result[[#This Row],[tot_mutants]]</f>
        <v>0</v>
      </c>
    </row>
    <row r="464" spans="1:16" hidden="1" x14ac:dyDescent="0.25">
      <c r="A464" t="s">
        <v>104</v>
      </c>
      <c r="B464" t="s">
        <v>21</v>
      </c>
      <c r="C464" t="s">
        <v>16</v>
      </c>
      <c r="D464">
        <v>9572</v>
      </c>
      <c r="E464">
        <v>3284</v>
      </c>
      <c r="F464">
        <v>50</v>
      </c>
      <c r="G464">
        <v>2500</v>
      </c>
      <c r="H464">
        <v>0</v>
      </c>
      <c r="I464">
        <v>8950</v>
      </c>
      <c r="J464">
        <v>0</v>
      </c>
      <c r="K464">
        <v>0</v>
      </c>
      <c r="L464">
        <v>1</v>
      </c>
      <c r="M464">
        <v>0</v>
      </c>
      <c r="N464" t="s">
        <v>17</v>
      </c>
      <c r="O464" s="1">
        <f>result[[#This Row],[n_killed_mutants_cumulativa]]/result[[#This Row],[tot_mutants]]</f>
        <v>0</v>
      </c>
    </row>
    <row r="465" spans="1:16" hidden="1" x14ac:dyDescent="0.25">
      <c r="A465" t="s">
        <v>104</v>
      </c>
      <c r="B465" t="s">
        <v>24</v>
      </c>
      <c r="C465" t="s">
        <v>16</v>
      </c>
      <c r="D465">
        <v>13806</v>
      </c>
      <c r="E465">
        <v>5151</v>
      </c>
      <c r="F465">
        <v>60</v>
      </c>
      <c r="G465">
        <v>3600</v>
      </c>
      <c r="H465">
        <v>0</v>
      </c>
      <c r="I465">
        <v>12840</v>
      </c>
      <c r="J465">
        <v>0</v>
      </c>
      <c r="K465">
        <v>0</v>
      </c>
      <c r="L465">
        <v>1</v>
      </c>
      <c r="M465">
        <v>0</v>
      </c>
      <c r="N465" t="s">
        <v>17</v>
      </c>
      <c r="O465" s="1">
        <f>result[[#This Row],[n_killed_mutants_cumulativa]]/result[[#This Row],[tot_mutants]]</f>
        <v>0</v>
      </c>
    </row>
    <row r="466" spans="1:16" hidden="1" x14ac:dyDescent="0.25">
      <c r="A466" t="s">
        <v>104</v>
      </c>
      <c r="B466" t="s">
        <v>25</v>
      </c>
      <c r="C466" t="s">
        <v>16</v>
      </c>
      <c r="D466">
        <v>19446</v>
      </c>
      <c r="E466">
        <v>8056</v>
      </c>
      <c r="F466">
        <v>70</v>
      </c>
      <c r="G466">
        <v>4900</v>
      </c>
      <c r="H466">
        <v>0</v>
      </c>
      <c r="I466">
        <v>17430</v>
      </c>
      <c r="J466">
        <v>0</v>
      </c>
      <c r="K466">
        <v>0</v>
      </c>
      <c r="L466">
        <v>1</v>
      </c>
      <c r="M466">
        <v>0</v>
      </c>
      <c r="N466" t="s">
        <v>17</v>
      </c>
      <c r="O466" s="1">
        <f>result[[#This Row],[n_killed_mutants_cumulativa]]/result[[#This Row],[tot_mutants]]</f>
        <v>0</v>
      </c>
    </row>
    <row r="467" spans="1:16" hidden="1" x14ac:dyDescent="0.25">
      <c r="A467" t="s">
        <v>104</v>
      </c>
      <c r="B467" t="s">
        <v>26</v>
      </c>
      <c r="C467" t="s">
        <v>16</v>
      </c>
      <c r="D467">
        <v>26605</v>
      </c>
      <c r="E467">
        <v>11770</v>
      </c>
      <c r="F467">
        <v>80</v>
      </c>
      <c r="G467">
        <v>6400</v>
      </c>
      <c r="H467">
        <v>0</v>
      </c>
      <c r="I467">
        <v>22720</v>
      </c>
      <c r="J467">
        <v>0</v>
      </c>
      <c r="K467">
        <v>0</v>
      </c>
      <c r="L467">
        <v>1</v>
      </c>
      <c r="M467">
        <v>0</v>
      </c>
      <c r="N467" t="s">
        <v>17</v>
      </c>
      <c r="O467" s="1">
        <f>result[[#This Row],[n_killed_mutants_cumulativa]]/result[[#This Row],[tot_mutants]]</f>
        <v>0</v>
      </c>
    </row>
    <row r="468" spans="1:16" hidden="1" x14ac:dyDescent="0.25">
      <c r="A468" t="s">
        <v>104</v>
      </c>
      <c r="B468" t="s">
        <v>27</v>
      </c>
      <c r="C468" t="s">
        <v>16</v>
      </c>
      <c r="D468">
        <v>34137</v>
      </c>
      <c r="E468">
        <v>15451</v>
      </c>
      <c r="F468">
        <v>90</v>
      </c>
      <c r="G468">
        <v>8100</v>
      </c>
      <c r="H468">
        <v>0</v>
      </c>
      <c r="I468">
        <v>28710</v>
      </c>
      <c r="J468">
        <v>0</v>
      </c>
      <c r="K468">
        <v>0</v>
      </c>
      <c r="L468">
        <v>1</v>
      </c>
      <c r="M468">
        <v>0</v>
      </c>
      <c r="N468" t="s">
        <v>17</v>
      </c>
      <c r="O468" s="1">
        <f>result[[#This Row],[n_killed_mutants_cumulativa]]/result[[#This Row],[tot_mutants]]</f>
        <v>0</v>
      </c>
    </row>
    <row r="469" spans="1:16" hidden="1" x14ac:dyDescent="0.25">
      <c r="A469" t="s">
        <v>104</v>
      </c>
      <c r="B469" t="s">
        <v>30</v>
      </c>
      <c r="C469" t="s">
        <v>16</v>
      </c>
      <c r="D469">
        <v>43731</v>
      </c>
      <c r="E469">
        <v>20901</v>
      </c>
      <c r="F469">
        <v>100</v>
      </c>
      <c r="G469">
        <v>10000</v>
      </c>
      <c r="H469">
        <v>0</v>
      </c>
      <c r="I469">
        <v>35400</v>
      </c>
      <c r="J469">
        <v>0</v>
      </c>
      <c r="K469">
        <v>0</v>
      </c>
      <c r="L469">
        <v>1</v>
      </c>
      <c r="M469">
        <v>0</v>
      </c>
      <c r="N469" t="s">
        <v>17</v>
      </c>
      <c r="O469" s="1">
        <f>result[[#This Row],[n_killed_mutants_cumulativa]]/result[[#This Row],[tot_mutants]]</f>
        <v>0</v>
      </c>
    </row>
    <row r="470" spans="1:16" hidden="1" x14ac:dyDescent="0.25">
      <c r="A470" t="s">
        <v>104</v>
      </c>
      <c r="B470" t="s">
        <v>31</v>
      </c>
      <c r="C470" t="s">
        <v>16</v>
      </c>
      <c r="D470">
        <v>55424</v>
      </c>
      <c r="E470">
        <v>27852</v>
      </c>
      <c r="F470">
        <v>110</v>
      </c>
      <c r="G470">
        <v>12100</v>
      </c>
      <c r="H470">
        <v>0</v>
      </c>
      <c r="I470">
        <v>42790</v>
      </c>
      <c r="J470">
        <v>0</v>
      </c>
      <c r="K470">
        <v>0</v>
      </c>
      <c r="L470">
        <v>1</v>
      </c>
      <c r="M470">
        <v>0</v>
      </c>
      <c r="N470" t="s">
        <v>17</v>
      </c>
      <c r="O470" s="1">
        <f>result[[#This Row],[n_killed_mutants_cumulativa]]/result[[#This Row],[tot_mutants]]</f>
        <v>0</v>
      </c>
    </row>
    <row r="471" spans="1:16" hidden="1" x14ac:dyDescent="0.25">
      <c r="A471" t="s">
        <v>104</v>
      </c>
      <c r="B471" t="s">
        <v>36</v>
      </c>
      <c r="C471" t="s">
        <v>16</v>
      </c>
      <c r="D471">
        <v>68821</v>
      </c>
      <c r="E471">
        <v>35573</v>
      </c>
      <c r="F471">
        <v>120</v>
      </c>
      <c r="G471">
        <v>14400</v>
      </c>
      <c r="H471">
        <v>0</v>
      </c>
      <c r="I471">
        <v>50880</v>
      </c>
      <c r="J471">
        <v>0</v>
      </c>
      <c r="K471">
        <v>0</v>
      </c>
      <c r="L471">
        <v>1</v>
      </c>
      <c r="M471">
        <v>0</v>
      </c>
      <c r="N471" t="s">
        <v>17</v>
      </c>
      <c r="O471" s="1">
        <f>result[[#This Row],[n_killed_mutants_cumulativa]]/result[[#This Row],[tot_mutants]]</f>
        <v>0</v>
      </c>
    </row>
    <row r="472" spans="1:16" hidden="1" x14ac:dyDescent="0.25">
      <c r="A472" t="s">
        <v>104</v>
      </c>
      <c r="B472" t="s">
        <v>40</v>
      </c>
      <c r="C472" t="s">
        <v>16</v>
      </c>
      <c r="D472">
        <v>83693</v>
      </c>
      <c r="E472">
        <v>44661</v>
      </c>
      <c r="F472">
        <v>130</v>
      </c>
      <c r="G472">
        <v>16900</v>
      </c>
      <c r="H472">
        <v>0</v>
      </c>
      <c r="I472">
        <v>59670</v>
      </c>
      <c r="J472">
        <v>0</v>
      </c>
      <c r="K472">
        <v>0</v>
      </c>
      <c r="L472">
        <v>1</v>
      </c>
      <c r="M472">
        <v>0</v>
      </c>
      <c r="N472" t="s">
        <v>17</v>
      </c>
      <c r="O472" s="1">
        <f>result[[#This Row],[n_killed_mutants_cumulativa]]/result[[#This Row],[tot_mutants]]</f>
        <v>0</v>
      </c>
    </row>
    <row r="473" spans="1:16" hidden="1" x14ac:dyDescent="0.25">
      <c r="A473" t="s">
        <v>104</v>
      </c>
      <c r="B473" t="s">
        <v>47</v>
      </c>
      <c r="C473" t="s">
        <v>16</v>
      </c>
      <c r="D473">
        <v>102184</v>
      </c>
      <c r="E473">
        <v>55672</v>
      </c>
      <c r="F473">
        <v>140</v>
      </c>
      <c r="G473">
        <v>19600</v>
      </c>
      <c r="H473">
        <v>0</v>
      </c>
      <c r="I473">
        <v>69160</v>
      </c>
      <c r="J473">
        <v>0</v>
      </c>
      <c r="K473">
        <v>0</v>
      </c>
      <c r="L473">
        <v>1</v>
      </c>
      <c r="M473">
        <v>0</v>
      </c>
      <c r="N473" t="s">
        <v>17</v>
      </c>
      <c r="O473" s="1">
        <f>result[[#This Row],[n_killed_mutants_cumulativa]]/result[[#This Row],[tot_mutants]]</f>
        <v>0</v>
      </c>
    </row>
    <row r="474" spans="1:16" hidden="1" x14ac:dyDescent="0.25">
      <c r="A474" t="s">
        <v>104</v>
      </c>
      <c r="B474" t="s">
        <v>48</v>
      </c>
      <c r="C474" t="s">
        <v>16</v>
      </c>
      <c r="D474">
        <v>121811</v>
      </c>
      <c r="E474">
        <v>67603</v>
      </c>
      <c r="F474">
        <v>150</v>
      </c>
      <c r="G474">
        <v>22500</v>
      </c>
      <c r="H474">
        <v>0</v>
      </c>
      <c r="I474">
        <v>79350</v>
      </c>
      <c r="J474">
        <v>0</v>
      </c>
      <c r="K474">
        <v>0</v>
      </c>
      <c r="L474">
        <v>1</v>
      </c>
      <c r="M474">
        <v>0</v>
      </c>
      <c r="N474" t="s">
        <v>17</v>
      </c>
      <c r="O474" s="1">
        <f>result[[#This Row],[n_killed_mutants_cumulativa]]/result[[#This Row],[tot_mutants]]</f>
        <v>0</v>
      </c>
    </row>
    <row r="475" spans="1:16" hidden="1" x14ac:dyDescent="0.25">
      <c r="A475" t="s">
        <v>104</v>
      </c>
      <c r="B475" t="s">
        <v>49</v>
      </c>
      <c r="C475" t="s">
        <v>16</v>
      </c>
      <c r="D475">
        <v>144719</v>
      </c>
      <c r="E475">
        <v>81509</v>
      </c>
      <c r="F475">
        <v>160</v>
      </c>
      <c r="G475">
        <v>25600</v>
      </c>
      <c r="H475">
        <v>0</v>
      </c>
      <c r="I475">
        <v>90240</v>
      </c>
      <c r="J475">
        <v>0</v>
      </c>
      <c r="K475">
        <v>0</v>
      </c>
      <c r="L475">
        <v>1</v>
      </c>
      <c r="M475">
        <v>0</v>
      </c>
      <c r="N475" t="s">
        <v>17</v>
      </c>
      <c r="O475" s="1">
        <f>result[[#This Row],[n_killed_mutants_cumulativa]]/result[[#This Row],[tot_mutants]]</f>
        <v>0</v>
      </c>
    </row>
    <row r="476" spans="1:16" hidden="1" x14ac:dyDescent="0.25">
      <c r="A476" t="s">
        <v>104</v>
      </c>
      <c r="B476" t="s">
        <v>22</v>
      </c>
      <c r="C476" t="s">
        <v>16</v>
      </c>
      <c r="D476">
        <v>740433</v>
      </c>
      <c r="E476">
        <v>381266</v>
      </c>
      <c r="F476">
        <v>1360</v>
      </c>
      <c r="G476">
        <v>149600</v>
      </c>
      <c r="H476">
        <v>0</v>
      </c>
      <c r="I476">
        <v>529040</v>
      </c>
      <c r="J476">
        <v>0</v>
      </c>
      <c r="K476">
        <v>0</v>
      </c>
      <c r="L476">
        <v>1</v>
      </c>
      <c r="M476">
        <v>0</v>
      </c>
      <c r="N476" t="s">
        <v>17</v>
      </c>
      <c r="O476" s="1">
        <f>result[[#This Row],[n_killed_mutants_cumulativa]]/result[[#This Row],[tot_mutants]]</f>
        <v>0</v>
      </c>
      <c r="P476" s="9" t="s">
        <v>346</v>
      </c>
    </row>
    <row r="477" spans="1:16" hidden="1" x14ac:dyDescent="0.25">
      <c r="A477" t="s">
        <v>105</v>
      </c>
      <c r="B477" t="s">
        <v>15</v>
      </c>
      <c r="C477" t="s">
        <v>16</v>
      </c>
      <c r="D477">
        <v>4024</v>
      </c>
      <c r="E477">
        <v>147</v>
      </c>
      <c r="F477">
        <v>10</v>
      </c>
      <c r="G477">
        <v>100</v>
      </c>
      <c r="H477">
        <v>100</v>
      </c>
      <c r="I477">
        <v>226</v>
      </c>
      <c r="J477">
        <v>0</v>
      </c>
      <c r="K477">
        <v>0</v>
      </c>
      <c r="L477">
        <v>5</v>
      </c>
      <c r="M477">
        <v>0</v>
      </c>
      <c r="N477" t="s">
        <v>17</v>
      </c>
      <c r="O477" s="1">
        <f>result[[#This Row],[n_killed_mutants_cumulativa]]/result[[#This Row],[tot_mutants]]</f>
        <v>0</v>
      </c>
    </row>
    <row r="478" spans="1:16" hidden="1" x14ac:dyDescent="0.25">
      <c r="A478" t="s">
        <v>105</v>
      </c>
      <c r="B478" t="s">
        <v>18</v>
      </c>
      <c r="C478" t="s">
        <v>16</v>
      </c>
      <c r="D478">
        <v>3977</v>
      </c>
      <c r="E478">
        <v>79</v>
      </c>
      <c r="F478">
        <v>20</v>
      </c>
      <c r="G478">
        <v>400</v>
      </c>
      <c r="H478">
        <v>400</v>
      </c>
      <c r="I478">
        <v>732</v>
      </c>
      <c r="J478">
        <v>0</v>
      </c>
      <c r="K478">
        <v>0</v>
      </c>
      <c r="L478">
        <v>5</v>
      </c>
      <c r="M478">
        <v>0</v>
      </c>
      <c r="N478" t="s">
        <v>17</v>
      </c>
      <c r="O478" s="1">
        <f>result[[#This Row],[n_killed_mutants_cumulativa]]/result[[#This Row],[tot_mutants]]</f>
        <v>0</v>
      </c>
    </row>
    <row r="479" spans="1:16" hidden="1" x14ac:dyDescent="0.25">
      <c r="A479" t="s">
        <v>105</v>
      </c>
      <c r="B479" t="s">
        <v>19</v>
      </c>
      <c r="C479" t="s">
        <v>16</v>
      </c>
      <c r="D479">
        <v>6106</v>
      </c>
      <c r="E479">
        <v>122</v>
      </c>
      <c r="F479">
        <v>30</v>
      </c>
      <c r="G479">
        <v>900</v>
      </c>
      <c r="H479">
        <v>900</v>
      </c>
      <c r="I479">
        <v>1638</v>
      </c>
      <c r="J479">
        <v>0</v>
      </c>
      <c r="K479">
        <v>0</v>
      </c>
      <c r="L479">
        <v>5</v>
      </c>
      <c r="M479">
        <v>0</v>
      </c>
      <c r="N479" t="s">
        <v>17</v>
      </c>
      <c r="O479" s="1">
        <f>result[[#This Row],[n_killed_mutants_cumulativa]]/result[[#This Row],[tot_mutants]]</f>
        <v>0</v>
      </c>
    </row>
    <row r="480" spans="1:16" hidden="1" x14ac:dyDescent="0.25">
      <c r="A480" t="s">
        <v>105</v>
      </c>
      <c r="B480" t="s">
        <v>20</v>
      </c>
      <c r="C480" t="s">
        <v>16</v>
      </c>
      <c r="D480">
        <v>8579</v>
      </c>
      <c r="E480">
        <v>150</v>
      </c>
      <c r="F480">
        <v>40</v>
      </c>
      <c r="G480">
        <v>1600</v>
      </c>
      <c r="H480">
        <v>1600</v>
      </c>
      <c r="I480">
        <v>2864</v>
      </c>
      <c r="J480">
        <v>0</v>
      </c>
      <c r="K480">
        <v>0</v>
      </c>
      <c r="L480">
        <v>5</v>
      </c>
      <c r="M480">
        <v>0</v>
      </c>
      <c r="N480" t="s">
        <v>17</v>
      </c>
      <c r="O480" s="1">
        <f>result[[#This Row],[n_killed_mutants_cumulativa]]/result[[#This Row],[tot_mutants]]</f>
        <v>0</v>
      </c>
    </row>
    <row r="481" spans="1:16" hidden="1" x14ac:dyDescent="0.25">
      <c r="A481" t="s">
        <v>105</v>
      </c>
      <c r="B481" t="s">
        <v>21</v>
      </c>
      <c r="C481" t="s">
        <v>16</v>
      </c>
      <c r="D481">
        <v>11924</v>
      </c>
      <c r="E481">
        <v>189</v>
      </c>
      <c r="F481">
        <v>50</v>
      </c>
      <c r="G481">
        <v>2500</v>
      </c>
      <c r="H481">
        <v>2500</v>
      </c>
      <c r="I481">
        <v>4374</v>
      </c>
      <c r="J481">
        <v>0</v>
      </c>
      <c r="K481">
        <v>0</v>
      </c>
      <c r="L481">
        <v>5</v>
      </c>
      <c r="M481">
        <v>0</v>
      </c>
      <c r="N481" t="s">
        <v>17</v>
      </c>
      <c r="O481" s="1">
        <f>result[[#This Row],[n_killed_mutants_cumulativa]]/result[[#This Row],[tot_mutants]]</f>
        <v>0</v>
      </c>
    </row>
    <row r="482" spans="1:16" hidden="1" x14ac:dyDescent="0.25">
      <c r="A482" t="s">
        <v>105</v>
      </c>
      <c r="B482" t="s">
        <v>24</v>
      </c>
      <c r="C482" t="s">
        <v>16</v>
      </c>
      <c r="D482">
        <v>16141</v>
      </c>
      <c r="E482">
        <v>293</v>
      </c>
      <c r="F482">
        <v>60</v>
      </c>
      <c r="G482">
        <v>3600</v>
      </c>
      <c r="H482">
        <v>3600</v>
      </c>
      <c r="I482">
        <v>6298</v>
      </c>
      <c r="J482">
        <v>0</v>
      </c>
      <c r="K482">
        <v>0</v>
      </c>
      <c r="L482">
        <v>5</v>
      </c>
      <c r="M482">
        <v>0</v>
      </c>
      <c r="N482" t="s">
        <v>17</v>
      </c>
      <c r="O482" s="1">
        <f>result[[#This Row],[n_killed_mutants_cumulativa]]/result[[#This Row],[tot_mutants]]</f>
        <v>0</v>
      </c>
    </row>
    <row r="483" spans="1:16" hidden="1" x14ac:dyDescent="0.25">
      <c r="A483" t="s">
        <v>105</v>
      </c>
      <c r="B483" t="s">
        <v>25</v>
      </c>
      <c r="C483" t="s">
        <v>16</v>
      </c>
      <c r="D483">
        <v>20886</v>
      </c>
      <c r="E483">
        <v>344</v>
      </c>
      <c r="F483">
        <v>70</v>
      </c>
      <c r="G483">
        <v>4900</v>
      </c>
      <c r="H483">
        <v>4900</v>
      </c>
      <c r="I483">
        <v>8486</v>
      </c>
      <c r="J483">
        <v>0</v>
      </c>
      <c r="K483">
        <v>0</v>
      </c>
      <c r="L483">
        <v>5</v>
      </c>
      <c r="M483">
        <v>0</v>
      </c>
      <c r="N483" t="s">
        <v>17</v>
      </c>
      <c r="O483" s="1">
        <f>result[[#This Row],[n_killed_mutants_cumulativa]]/result[[#This Row],[tot_mutants]]</f>
        <v>0</v>
      </c>
    </row>
    <row r="484" spans="1:16" hidden="1" x14ac:dyDescent="0.25">
      <c r="A484" t="s">
        <v>105</v>
      </c>
      <c r="B484" t="s">
        <v>26</v>
      </c>
      <c r="C484" t="s">
        <v>16</v>
      </c>
      <c r="D484">
        <v>26915</v>
      </c>
      <c r="E484">
        <v>452</v>
      </c>
      <c r="F484">
        <v>80</v>
      </c>
      <c r="G484">
        <v>6400</v>
      </c>
      <c r="H484">
        <v>6400</v>
      </c>
      <c r="I484">
        <v>11016</v>
      </c>
      <c r="J484">
        <v>0</v>
      </c>
      <c r="K484">
        <v>0</v>
      </c>
      <c r="L484">
        <v>5</v>
      </c>
      <c r="M484">
        <v>0</v>
      </c>
      <c r="N484" t="s">
        <v>17</v>
      </c>
      <c r="O484" s="1">
        <f>result[[#This Row],[n_killed_mutants_cumulativa]]/result[[#This Row],[tot_mutants]]</f>
        <v>0</v>
      </c>
    </row>
    <row r="485" spans="1:16" hidden="1" x14ac:dyDescent="0.25">
      <c r="A485" t="s">
        <v>105</v>
      </c>
      <c r="B485" t="s">
        <v>27</v>
      </c>
      <c r="C485" t="s">
        <v>16</v>
      </c>
      <c r="D485">
        <v>33841</v>
      </c>
      <c r="E485">
        <v>569</v>
      </c>
      <c r="F485">
        <v>90</v>
      </c>
      <c r="G485">
        <v>8100</v>
      </c>
      <c r="H485">
        <v>8100</v>
      </c>
      <c r="I485">
        <v>13844</v>
      </c>
      <c r="J485">
        <v>0</v>
      </c>
      <c r="K485">
        <v>0</v>
      </c>
      <c r="L485">
        <v>5</v>
      </c>
      <c r="M485">
        <v>0</v>
      </c>
      <c r="N485" t="s">
        <v>17</v>
      </c>
      <c r="O485" s="1">
        <f>result[[#This Row],[n_killed_mutants_cumulativa]]/result[[#This Row],[tot_mutants]]</f>
        <v>0</v>
      </c>
    </row>
    <row r="486" spans="1:16" hidden="1" x14ac:dyDescent="0.25">
      <c r="A486" t="s">
        <v>105</v>
      </c>
      <c r="B486" t="s">
        <v>30</v>
      </c>
      <c r="C486" t="s">
        <v>16</v>
      </c>
      <c r="D486">
        <v>41742</v>
      </c>
      <c r="E486">
        <v>701</v>
      </c>
      <c r="F486">
        <v>100</v>
      </c>
      <c r="G486">
        <v>10000</v>
      </c>
      <c r="H486">
        <v>10000</v>
      </c>
      <c r="I486">
        <v>17122</v>
      </c>
      <c r="J486">
        <v>0</v>
      </c>
      <c r="K486">
        <v>0</v>
      </c>
      <c r="L486">
        <v>5</v>
      </c>
      <c r="M486">
        <v>0</v>
      </c>
      <c r="N486" t="s">
        <v>17</v>
      </c>
      <c r="O486" s="1">
        <f>result[[#This Row],[n_killed_mutants_cumulativa]]/result[[#This Row],[tot_mutants]]</f>
        <v>0</v>
      </c>
    </row>
    <row r="487" spans="1:16" hidden="1" x14ac:dyDescent="0.25">
      <c r="A487" t="s">
        <v>105</v>
      </c>
      <c r="B487" t="s">
        <v>31</v>
      </c>
      <c r="C487" t="s">
        <v>16</v>
      </c>
      <c r="D487">
        <v>50807</v>
      </c>
      <c r="E487">
        <v>851</v>
      </c>
      <c r="F487">
        <v>110</v>
      </c>
      <c r="G487">
        <v>12100</v>
      </c>
      <c r="H487">
        <v>12100</v>
      </c>
      <c r="I487">
        <v>20440</v>
      </c>
      <c r="J487">
        <v>0</v>
      </c>
      <c r="K487">
        <v>0</v>
      </c>
      <c r="L487">
        <v>5</v>
      </c>
      <c r="M487">
        <v>0</v>
      </c>
      <c r="N487" t="s">
        <v>17</v>
      </c>
      <c r="O487" s="1">
        <f>result[[#This Row],[n_killed_mutants_cumulativa]]/result[[#This Row],[tot_mutants]]</f>
        <v>0</v>
      </c>
    </row>
    <row r="488" spans="1:16" hidden="1" x14ac:dyDescent="0.25">
      <c r="A488" t="s">
        <v>105</v>
      </c>
      <c r="B488" t="s">
        <v>36</v>
      </c>
      <c r="C488" t="s">
        <v>16</v>
      </c>
      <c r="D488">
        <v>61979</v>
      </c>
      <c r="E488">
        <v>1023</v>
      </c>
      <c r="F488">
        <v>120</v>
      </c>
      <c r="G488">
        <v>14400</v>
      </c>
      <c r="H488">
        <v>14400</v>
      </c>
      <c r="I488">
        <v>24718</v>
      </c>
      <c r="J488">
        <v>0</v>
      </c>
      <c r="K488">
        <v>0</v>
      </c>
      <c r="L488">
        <v>5</v>
      </c>
      <c r="M488">
        <v>0</v>
      </c>
      <c r="N488" t="s">
        <v>17</v>
      </c>
      <c r="O488" s="1">
        <f>result[[#This Row],[n_killed_mutants_cumulativa]]/result[[#This Row],[tot_mutants]]</f>
        <v>0</v>
      </c>
    </row>
    <row r="489" spans="1:16" hidden="1" x14ac:dyDescent="0.25">
      <c r="A489" t="s">
        <v>105</v>
      </c>
      <c r="B489" t="s">
        <v>40</v>
      </c>
      <c r="C489" t="s">
        <v>16</v>
      </c>
      <c r="D489">
        <v>73627</v>
      </c>
      <c r="E489">
        <v>1185</v>
      </c>
      <c r="F489">
        <v>130</v>
      </c>
      <c r="G489">
        <v>16900</v>
      </c>
      <c r="H489">
        <v>16900</v>
      </c>
      <c r="I489">
        <v>28926</v>
      </c>
      <c r="J489">
        <v>0</v>
      </c>
      <c r="K489">
        <v>0</v>
      </c>
      <c r="L489">
        <v>5</v>
      </c>
      <c r="M489">
        <v>0</v>
      </c>
      <c r="N489" t="s">
        <v>17</v>
      </c>
      <c r="O489" s="1">
        <f>result[[#This Row],[n_killed_mutants_cumulativa]]/result[[#This Row],[tot_mutants]]</f>
        <v>0</v>
      </c>
    </row>
    <row r="490" spans="1:16" hidden="1" x14ac:dyDescent="0.25">
      <c r="A490" t="s">
        <v>105</v>
      </c>
      <c r="B490" t="s">
        <v>47</v>
      </c>
      <c r="C490" t="s">
        <v>16</v>
      </c>
      <c r="D490">
        <v>86234</v>
      </c>
      <c r="E490">
        <v>1361</v>
      </c>
      <c r="F490">
        <v>140</v>
      </c>
      <c r="G490">
        <v>19600</v>
      </c>
      <c r="H490">
        <v>19600</v>
      </c>
      <c r="I490">
        <v>33210</v>
      </c>
      <c r="J490">
        <v>0</v>
      </c>
      <c r="K490">
        <v>0</v>
      </c>
      <c r="L490">
        <v>5</v>
      </c>
      <c r="M490">
        <v>0</v>
      </c>
      <c r="N490" t="s">
        <v>17</v>
      </c>
      <c r="O490" s="1">
        <f>result[[#This Row],[n_killed_mutants_cumulativa]]/result[[#This Row],[tot_mutants]]</f>
        <v>0</v>
      </c>
    </row>
    <row r="491" spans="1:16" hidden="1" x14ac:dyDescent="0.25">
      <c r="A491" t="s">
        <v>105</v>
      </c>
      <c r="B491" t="s">
        <v>48</v>
      </c>
      <c r="C491" t="s">
        <v>16</v>
      </c>
      <c r="D491">
        <v>101475</v>
      </c>
      <c r="E491">
        <v>1568</v>
      </c>
      <c r="F491">
        <v>150</v>
      </c>
      <c r="G491">
        <v>22500</v>
      </c>
      <c r="H491">
        <v>22500</v>
      </c>
      <c r="I491">
        <v>38360</v>
      </c>
      <c r="J491">
        <v>0</v>
      </c>
      <c r="K491">
        <v>0</v>
      </c>
      <c r="L491">
        <v>5</v>
      </c>
      <c r="M491">
        <v>0</v>
      </c>
      <c r="N491" t="s">
        <v>17</v>
      </c>
      <c r="O491" s="1">
        <f>result[[#This Row],[n_killed_mutants_cumulativa]]/result[[#This Row],[tot_mutants]]</f>
        <v>0</v>
      </c>
    </row>
    <row r="492" spans="1:16" hidden="1" x14ac:dyDescent="0.25">
      <c r="A492" t="s">
        <v>105</v>
      </c>
      <c r="B492" t="s">
        <v>49</v>
      </c>
      <c r="C492" t="s">
        <v>16</v>
      </c>
      <c r="D492">
        <v>118399</v>
      </c>
      <c r="E492">
        <v>1786</v>
      </c>
      <c r="F492">
        <v>160</v>
      </c>
      <c r="G492">
        <v>25600</v>
      </c>
      <c r="H492">
        <v>25600</v>
      </c>
      <c r="I492">
        <v>43770</v>
      </c>
      <c r="J492">
        <v>0</v>
      </c>
      <c r="K492">
        <v>0</v>
      </c>
      <c r="L492">
        <v>5</v>
      </c>
      <c r="M492">
        <v>0</v>
      </c>
      <c r="N492" t="s">
        <v>17</v>
      </c>
      <c r="O492" s="1">
        <f>result[[#This Row],[n_killed_mutants_cumulativa]]/result[[#This Row],[tot_mutants]]</f>
        <v>0</v>
      </c>
    </row>
    <row r="493" spans="1:16" hidden="1" x14ac:dyDescent="0.25">
      <c r="A493" t="s">
        <v>105</v>
      </c>
      <c r="B493" t="s">
        <v>22</v>
      </c>
      <c r="C493" t="s">
        <v>16</v>
      </c>
      <c r="D493">
        <v>666656</v>
      </c>
      <c r="E493">
        <v>10820</v>
      </c>
      <c r="F493">
        <v>1360</v>
      </c>
      <c r="G493">
        <v>149600</v>
      </c>
      <c r="H493">
        <v>149600</v>
      </c>
      <c r="I493">
        <v>256024</v>
      </c>
      <c r="J493">
        <v>0</v>
      </c>
      <c r="K493">
        <v>0</v>
      </c>
      <c r="L493">
        <v>5</v>
      </c>
      <c r="M493">
        <v>0</v>
      </c>
      <c r="N493" t="s">
        <v>17</v>
      </c>
      <c r="O493" s="1">
        <f>result[[#This Row],[n_killed_mutants_cumulativa]]/result[[#This Row],[tot_mutants]]</f>
        <v>0</v>
      </c>
      <c r="P493" s="9" t="s">
        <v>357</v>
      </c>
    </row>
    <row r="494" spans="1:16" hidden="1" x14ac:dyDescent="0.25">
      <c r="A494" t="s">
        <v>106</v>
      </c>
      <c r="B494" t="s">
        <v>15</v>
      </c>
      <c r="C494" t="s">
        <v>16</v>
      </c>
      <c r="D494">
        <v>24709</v>
      </c>
      <c r="E494">
        <v>117</v>
      </c>
      <c r="F494">
        <v>10</v>
      </c>
      <c r="G494">
        <v>100</v>
      </c>
      <c r="H494">
        <v>103</v>
      </c>
      <c r="I494">
        <v>210</v>
      </c>
      <c r="J494">
        <v>0</v>
      </c>
      <c r="K494">
        <v>0</v>
      </c>
      <c r="L494">
        <v>82</v>
      </c>
      <c r="M494">
        <v>1</v>
      </c>
      <c r="N494" t="s">
        <v>349</v>
      </c>
      <c r="O494" s="1">
        <f>result[[#This Row],[n_killed_mutants_cumulativa]]/result[[#This Row],[tot_mutants]]</f>
        <v>1.2195121951219513E-2</v>
      </c>
    </row>
    <row r="495" spans="1:16" hidden="1" x14ac:dyDescent="0.25">
      <c r="A495" t="s">
        <v>106</v>
      </c>
      <c r="B495" t="s">
        <v>18</v>
      </c>
      <c r="C495" t="s">
        <v>16</v>
      </c>
      <c r="D495">
        <v>47435</v>
      </c>
      <c r="E495">
        <v>43</v>
      </c>
      <c r="F495">
        <v>20</v>
      </c>
      <c r="G495">
        <v>400</v>
      </c>
      <c r="H495">
        <v>407</v>
      </c>
      <c r="I495">
        <v>820</v>
      </c>
      <c r="J495">
        <v>0</v>
      </c>
      <c r="K495">
        <v>0</v>
      </c>
      <c r="L495">
        <v>82</v>
      </c>
      <c r="M495">
        <v>1</v>
      </c>
      <c r="N495" t="s">
        <v>349</v>
      </c>
      <c r="O495" s="1">
        <f>result[[#This Row],[n_killed_mutants_cumulativa]]/result[[#This Row],[tot_mutants]]</f>
        <v>1.2195121951219513E-2</v>
      </c>
    </row>
    <row r="496" spans="1:16" hidden="1" x14ac:dyDescent="0.25">
      <c r="A496" t="s">
        <v>106</v>
      </c>
      <c r="B496" t="s">
        <v>19</v>
      </c>
      <c r="C496" t="s">
        <v>16</v>
      </c>
      <c r="D496">
        <v>82728</v>
      </c>
      <c r="E496">
        <v>72</v>
      </c>
      <c r="F496">
        <v>30</v>
      </c>
      <c r="G496">
        <v>900</v>
      </c>
      <c r="H496">
        <v>918</v>
      </c>
      <c r="I496">
        <v>1830</v>
      </c>
      <c r="J496">
        <v>0</v>
      </c>
      <c r="K496">
        <v>0</v>
      </c>
      <c r="L496">
        <v>82</v>
      </c>
      <c r="M496">
        <v>1</v>
      </c>
      <c r="N496" t="s">
        <v>349</v>
      </c>
      <c r="O496" s="1">
        <f>result[[#This Row],[n_killed_mutants_cumulativa]]/result[[#This Row],[tot_mutants]]</f>
        <v>1.2195121951219513E-2</v>
      </c>
    </row>
    <row r="497" spans="1:16" hidden="1" x14ac:dyDescent="0.25">
      <c r="A497" t="s">
        <v>106</v>
      </c>
      <c r="B497" t="s">
        <v>20</v>
      </c>
      <c r="C497" t="s">
        <v>16</v>
      </c>
      <c r="D497">
        <v>126156</v>
      </c>
      <c r="E497">
        <v>121</v>
      </c>
      <c r="F497">
        <v>40</v>
      </c>
      <c r="G497">
        <v>1600</v>
      </c>
      <c r="H497">
        <v>1635</v>
      </c>
      <c r="I497">
        <v>3240</v>
      </c>
      <c r="J497">
        <v>0</v>
      </c>
      <c r="K497">
        <v>0</v>
      </c>
      <c r="L497">
        <v>82</v>
      </c>
      <c r="M497">
        <v>1</v>
      </c>
      <c r="N497" t="s">
        <v>349</v>
      </c>
      <c r="O497" s="1">
        <f>result[[#This Row],[n_killed_mutants_cumulativa]]/result[[#This Row],[tot_mutants]]</f>
        <v>1.2195121951219513E-2</v>
      </c>
    </row>
    <row r="498" spans="1:16" hidden="1" x14ac:dyDescent="0.25">
      <c r="A498" t="s">
        <v>106</v>
      </c>
      <c r="B498" t="s">
        <v>21</v>
      </c>
      <c r="C498" t="s">
        <v>16</v>
      </c>
      <c r="D498">
        <v>178232</v>
      </c>
      <c r="E498">
        <v>173</v>
      </c>
      <c r="F498">
        <v>50</v>
      </c>
      <c r="G498">
        <v>2500</v>
      </c>
      <c r="H498">
        <v>2542</v>
      </c>
      <c r="I498">
        <v>5050</v>
      </c>
      <c r="J498">
        <v>0</v>
      </c>
      <c r="K498">
        <v>0</v>
      </c>
      <c r="L498">
        <v>82</v>
      </c>
      <c r="M498">
        <v>1</v>
      </c>
      <c r="N498" t="s">
        <v>349</v>
      </c>
      <c r="O498" s="1">
        <f>result[[#This Row],[n_killed_mutants_cumulativa]]/result[[#This Row],[tot_mutants]]</f>
        <v>1.2195121951219513E-2</v>
      </c>
    </row>
    <row r="499" spans="1:16" hidden="1" x14ac:dyDescent="0.25">
      <c r="A499" t="s">
        <v>106</v>
      </c>
      <c r="B499" t="s">
        <v>24</v>
      </c>
      <c r="C499" t="s">
        <v>16</v>
      </c>
      <c r="D499">
        <v>244631</v>
      </c>
      <c r="E499">
        <v>232</v>
      </c>
      <c r="F499">
        <v>60</v>
      </c>
      <c r="G499">
        <v>3600</v>
      </c>
      <c r="H499">
        <v>3675</v>
      </c>
      <c r="I499">
        <v>7260</v>
      </c>
      <c r="J499">
        <v>0</v>
      </c>
      <c r="K499">
        <v>0</v>
      </c>
      <c r="L499">
        <v>82</v>
      </c>
      <c r="M499">
        <v>1</v>
      </c>
      <c r="N499" t="s">
        <v>349</v>
      </c>
      <c r="O499" s="1">
        <f>result[[#This Row],[n_killed_mutants_cumulativa]]/result[[#This Row],[tot_mutants]]</f>
        <v>1.2195121951219513E-2</v>
      </c>
    </row>
    <row r="500" spans="1:16" x14ac:dyDescent="0.25">
      <c r="A500" t="s">
        <v>106</v>
      </c>
      <c r="B500" t="s">
        <v>22</v>
      </c>
      <c r="C500" t="s">
        <v>16</v>
      </c>
      <c r="D500">
        <v>703891</v>
      </c>
      <c r="E500">
        <v>758</v>
      </c>
      <c r="F500">
        <v>210</v>
      </c>
      <c r="G500">
        <v>9100</v>
      </c>
      <c r="H500">
        <v>9280</v>
      </c>
      <c r="I500">
        <v>18410</v>
      </c>
      <c r="J500">
        <v>0</v>
      </c>
      <c r="K500">
        <v>0</v>
      </c>
      <c r="L500">
        <v>82</v>
      </c>
      <c r="M500">
        <v>1</v>
      </c>
      <c r="N500" t="s">
        <v>349</v>
      </c>
      <c r="O500" s="1">
        <f>result[[#This Row],[n_killed_mutants_cumulativa]]/result[[#This Row],[tot_mutants]]</f>
        <v>1.2195121951219513E-2</v>
      </c>
      <c r="P500" s="9" t="s">
        <v>359</v>
      </c>
    </row>
    <row r="501" spans="1:16" hidden="1" x14ac:dyDescent="0.25">
      <c r="A501" t="s">
        <v>107</v>
      </c>
      <c r="B501" t="s">
        <v>15</v>
      </c>
      <c r="C501" t="s">
        <v>16</v>
      </c>
      <c r="D501">
        <v>1647</v>
      </c>
      <c r="E501">
        <v>74</v>
      </c>
      <c r="F501">
        <v>10</v>
      </c>
      <c r="G501">
        <v>100</v>
      </c>
      <c r="H501">
        <v>0</v>
      </c>
      <c r="I501">
        <v>110</v>
      </c>
      <c r="J501">
        <v>0</v>
      </c>
      <c r="K501">
        <v>0</v>
      </c>
      <c r="L501">
        <v>1</v>
      </c>
      <c r="M501">
        <v>1</v>
      </c>
      <c r="N501" t="s">
        <v>55</v>
      </c>
      <c r="O501" s="1">
        <f>result[[#This Row],[n_killed_mutants_cumulativa]]/result[[#This Row],[tot_mutants]]</f>
        <v>1</v>
      </c>
    </row>
    <row r="502" spans="1:16" x14ac:dyDescent="0.25">
      <c r="A502" t="s">
        <v>107</v>
      </c>
      <c r="B502" t="s">
        <v>22</v>
      </c>
      <c r="C502" t="s">
        <v>16</v>
      </c>
      <c r="D502">
        <v>1647</v>
      </c>
      <c r="E502">
        <v>74</v>
      </c>
      <c r="F502">
        <v>10</v>
      </c>
      <c r="G502">
        <v>100</v>
      </c>
      <c r="H502">
        <v>0</v>
      </c>
      <c r="I502">
        <v>110</v>
      </c>
      <c r="J502">
        <v>0</v>
      </c>
      <c r="K502">
        <v>0</v>
      </c>
      <c r="L502">
        <v>1</v>
      </c>
      <c r="M502">
        <v>1</v>
      </c>
      <c r="N502" t="s">
        <v>55</v>
      </c>
      <c r="O502" s="1">
        <f>result[[#This Row],[n_killed_mutants_cumulativa]]/result[[#This Row],[tot_mutants]]</f>
        <v>1</v>
      </c>
      <c r="P502" s="9" t="s">
        <v>359</v>
      </c>
    </row>
    <row r="503" spans="1:16" hidden="1" x14ac:dyDescent="0.25">
      <c r="A503" t="s">
        <v>108</v>
      </c>
      <c r="B503" t="s">
        <v>15</v>
      </c>
      <c r="C503" t="s">
        <v>16</v>
      </c>
      <c r="D503">
        <v>5164</v>
      </c>
      <c r="E503">
        <v>140</v>
      </c>
      <c r="F503">
        <v>10</v>
      </c>
      <c r="G503">
        <v>100</v>
      </c>
      <c r="H503">
        <v>243</v>
      </c>
      <c r="I503">
        <v>356</v>
      </c>
      <c r="J503">
        <v>0</v>
      </c>
      <c r="K503">
        <v>0</v>
      </c>
      <c r="L503">
        <v>8</v>
      </c>
      <c r="M503">
        <v>1</v>
      </c>
      <c r="N503" t="s">
        <v>29</v>
      </c>
      <c r="O503" s="1">
        <f>result[[#This Row],[n_killed_mutants_cumulativa]]/result[[#This Row],[tot_mutants]]</f>
        <v>0.125</v>
      </c>
    </row>
    <row r="504" spans="1:16" hidden="1" x14ac:dyDescent="0.25">
      <c r="A504" t="s">
        <v>108</v>
      </c>
      <c r="B504" t="s">
        <v>18</v>
      </c>
      <c r="C504" t="s">
        <v>16</v>
      </c>
      <c r="D504">
        <v>6455</v>
      </c>
      <c r="E504">
        <v>82</v>
      </c>
      <c r="F504">
        <v>20</v>
      </c>
      <c r="G504">
        <v>400</v>
      </c>
      <c r="H504">
        <v>967</v>
      </c>
      <c r="I504">
        <v>1441</v>
      </c>
      <c r="J504">
        <v>0</v>
      </c>
      <c r="K504">
        <v>0</v>
      </c>
      <c r="L504">
        <v>8</v>
      </c>
      <c r="M504">
        <v>1</v>
      </c>
      <c r="N504" t="s">
        <v>29</v>
      </c>
      <c r="O504" s="1">
        <f>result[[#This Row],[n_killed_mutants_cumulativa]]/result[[#This Row],[tot_mutants]]</f>
        <v>0.125</v>
      </c>
    </row>
    <row r="505" spans="1:16" hidden="1" x14ac:dyDescent="0.25">
      <c r="A505" t="s">
        <v>108</v>
      </c>
      <c r="B505" t="s">
        <v>19</v>
      </c>
      <c r="C505" t="s">
        <v>16</v>
      </c>
      <c r="D505">
        <v>10352</v>
      </c>
      <c r="E505">
        <v>90</v>
      </c>
      <c r="F505">
        <v>30</v>
      </c>
      <c r="G505">
        <v>900</v>
      </c>
      <c r="H505">
        <v>2215</v>
      </c>
      <c r="I505">
        <v>3308</v>
      </c>
      <c r="J505">
        <v>0</v>
      </c>
      <c r="K505">
        <v>0</v>
      </c>
      <c r="L505">
        <v>8</v>
      </c>
      <c r="M505">
        <v>1</v>
      </c>
      <c r="N505" t="s">
        <v>29</v>
      </c>
      <c r="O505" s="1">
        <f>result[[#This Row],[n_killed_mutants_cumulativa]]/result[[#This Row],[tot_mutants]]</f>
        <v>0.125</v>
      </c>
    </row>
    <row r="506" spans="1:16" hidden="1" x14ac:dyDescent="0.25">
      <c r="A506" t="s">
        <v>108</v>
      </c>
      <c r="B506" t="s">
        <v>20</v>
      </c>
      <c r="C506" t="s">
        <v>16</v>
      </c>
      <c r="D506">
        <v>16066</v>
      </c>
      <c r="E506">
        <v>179</v>
      </c>
      <c r="F506">
        <v>40</v>
      </c>
      <c r="G506">
        <v>1600</v>
      </c>
      <c r="H506">
        <v>3893</v>
      </c>
      <c r="I506">
        <v>6032</v>
      </c>
      <c r="J506">
        <v>0</v>
      </c>
      <c r="K506">
        <v>0</v>
      </c>
      <c r="L506">
        <v>8</v>
      </c>
      <c r="M506">
        <v>1</v>
      </c>
      <c r="N506" t="s">
        <v>29</v>
      </c>
      <c r="O506" s="1">
        <f>result[[#This Row],[n_killed_mutants_cumulativa]]/result[[#This Row],[tot_mutants]]</f>
        <v>0.125</v>
      </c>
    </row>
    <row r="507" spans="1:16" hidden="1" x14ac:dyDescent="0.25">
      <c r="A507" t="s">
        <v>108</v>
      </c>
      <c r="B507" t="s">
        <v>21</v>
      </c>
      <c r="C507" t="s">
        <v>16</v>
      </c>
      <c r="D507">
        <v>23572</v>
      </c>
      <c r="E507">
        <v>183</v>
      </c>
      <c r="F507">
        <v>50</v>
      </c>
      <c r="G507">
        <v>2500</v>
      </c>
      <c r="H507">
        <v>6132</v>
      </c>
      <c r="I507">
        <v>9504</v>
      </c>
      <c r="J507">
        <v>0</v>
      </c>
      <c r="K507">
        <v>0</v>
      </c>
      <c r="L507">
        <v>8</v>
      </c>
      <c r="M507">
        <v>1</v>
      </c>
      <c r="N507" t="s">
        <v>29</v>
      </c>
      <c r="O507" s="1">
        <f>result[[#This Row],[n_killed_mutants_cumulativa]]/result[[#This Row],[tot_mutants]]</f>
        <v>0.125</v>
      </c>
    </row>
    <row r="508" spans="1:16" hidden="1" x14ac:dyDescent="0.25">
      <c r="A508" t="s">
        <v>108</v>
      </c>
      <c r="B508" t="s">
        <v>24</v>
      </c>
      <c r="C508" t="s">
        <v>16</v>
      </c>
      <c r="D508">
        <v>32658</v>
      </c>
      <c r="E508">
        <v>258</v>
      </c>
      <c r="F508">
        <v>60</v>
      </c>
      <c r="G508">
        <v>3600</v>
      </c>
      <c r="H508">
        <v>8789</v>
      </c>
      <c r="I508">
        <v>13865</v>
      </c>
      <c r="J508">
        <v>0</v>
      </c>
      <c r="K508">
        <v>0</v>
      </c>
      <c r="L508">
        <v>8</v>
      </c>
      <c r="M508">
        <v>1</v>
      </c>
      <c r="N508" t="s">
        <v>29</v>
      </c>
      <c r="O508" s="1">
        <f>result[[#This Row],[n_killed_mutants_cumulativa]]/result[[#This Row],[tot_mutants]]</f>
        <v>0.125</v>
      </c>
    </row>
    <row r="509" spans="1:16" hidden="1" x14ac:dyDescent="0.25">
      <c r="A509" t="s">
        <v>108</v>
      </c>
      <c r="B509" t="s">
        <v>25</v>
      </c>
      <c r="C509" t="s">
        <v>16</v>
      </c>
      <c r="D509">
        <v>43820</v>
      </c>
      <c r="E509">
        <v>348</v>
      </c>
      <c r="F509">
        <v>70</v>
      </c>
      <c r="G509">
        <v>4900</v>
      </c>
      <c r="H509">
        <v>11940</v>
      </c>
      <c r="I509">
        <v>18878</v>
      </c>
      <c r="J509">
        <v>0</v>
      </c>
      <c r="K509">
        <v>0</v>
      </c>
      <c r="L509">
        <v>8</v>
      </c>
      <c r="M509">
        <v>1</v>
      </c>
      <c r="N509" t="s">
        <v>29</v>
      </c>
      <c r="O509" s="1">
        <f>result[[#This Row],[n_killed_mutants_cumulativa]]/result[[#This Row],[tot_mutants]]</f>
        <v>0.125</v>
      </c>
    </row>
    <row r="510" spans="1:16" hidden="1" x14ac:dyDescent="0.25">
      <c r="A510" t="s">
        <v>108</v>
      </c>
      <c r="B510" t="s">
        <v>26</v>
      </c>
      <c r="C510" t="s">
        <v>16</v>
      </c>
      <c r="D510">
        <v>57015</v>
      </c>
      <c r="E510">
        <v>448</v>
      </c>
      <c r="F510">
        <v>80</v>
      </c>
      <c r="G510">
        <v>6400</v>
      </c>
      <c r="H510">
        <v>15660</v>
      </c>
      <c r="I510">
        <v>24807</v>
      </c>
      <c r="J510">
        <v>0</v>
      </c>
      <c r="K510">
        <v>0</v>
      </c>
      <c r="L510">
        <v>8</v>
      </c>
      <c r="M510">
        <v>1</v>
      </c>
      <c r="N510" t="s">
        <v>29</v>
      </c>
      <c r="O510" s="1">
        <f>result[[#This Row],[n_killed_mutants_cumulativa]]/result[[#This Row],[tot_mutants]]</f>
        <v>0.125</v>
      </c>
    </row>
    <row r="511" spans="1:16" hidden="1" x14ac:dyDescent="0.25">
      <c r="A511" t="s">
        <v>108</v>
      </c>
      <c r="B511" t="s">
        <v>27</v>
      </c>
      <c r="C511" t="s">
        <v>16</v>
      </c>
      <c r="D511">
        <v>72526</v>
      </c>
      <c r="E511">
        <v>571</v>
      </c>
      <c r="F511">
        <v>90</v>
      </c>
      <c r="G511">
        <v>8100</v>
      </c>
      <c r="H511">
        <v>19746</v>
      </c>
      <c r="I511">
        <v>31634</v>
      </c>
      <c r="J511">
        <v>0</v>
      </c>
      <c r="K511">
        <v>0</v>
      </c>
      <c r="L511">
        <v>8</v>
      </c>
      <c r="M511">
        <v>1</v>
      </c>
      <c r="N511" t="s">
        <v>29</v>
      </c>
      <c r="O511" s="1">
        <f>result[[#This Row],[n_killed_mutants_cumulativa]]/result[[#This Row],[tot_mutants]]</f>
        <v>0.125</v>
      </c>
    </row>
    <row r="512" spans="1:16" hidden="1" x14ac:dyDescent="0.25">
      <c r="A512" t="s">
        <v>108</v>
      </c>
      <c r="B512" t="s">
        <v>30</v>
      </c>
      <c r="C512" t="s">
        <v>16</v>
      </c>
      <c r="D512">
        <v>91070</v>
      </c>
      <c r="E512">
        <v>700</v>
      </c>
      <c r="F512">
        <v>100</v>
      </c>
      <c r="G512">
        <v>10000</v>
      </c>
      <c r="H512">
        <v>24424</v>
      </c>
      <c r="I512">
        <v>39248</v>
      </c>
      <c r="J512">
        <v>0</v>
      </c>
      <c r="K512">
        <v>0</v>
      </c>
      <c r="L512">
        <v>8</v>
      </c>
      <c r="M512">
        <v>1</v>
      </c>
      <c r="N512" t="s">
        <v>29</v>
      </c>
      <c r="O512" s="1">
        <f>result[[#This Row],[n_killed_mutants_cumulativa]]/result[[#This Row],[tot_mutants]]</f>
        <v>0.125</v>
      </c>
    </row>
    <row r="513" spans="1:16" hidden="1" x14ac:dyDescent="0.25">
      <c r="A513" t="s">
        <v>108</v>
      </c>
      <c r="B513" t="s">
        <v>31</v>
      </c>
      <c r="C513" t="s">
        <v>16</v>
      </c>
      <c r="D513">
        <v>112047</v>
      </c>
      <c r="E513">
        <v>851</v>
      </c>
      <c r="F513">
        <v>110</v>
      </c>
      <c r="G513">
        <v>12100</v>
      </c>
      <c r="H513">
        <v>29515</v>
      </c>
      <c r="I513">
        <v>47463</v>
      </c>
      <c r="J513">
        <v>0</v>
      </c>
      <c r="K513">
        <v>0</v>
      </c>
      <c r="L513">
        <v>8</v>
      </c>
      <c r="M513">
        <v>1</v>
      </c>
      <c r="N513" t="s">
        <v>29</v>
      </c>
      <c r="O513" s="1">
        <f>result[[#This Row],[n_killed_mutants_cumulativa]]/result[[#This Row],[tot_mutants]]</f>
        <v>0.125</v>
      </c>
    </row>
    <row r="514" spans="1:16" hidden="1" x14ac:dyDescent="0.25">
      <c r="A514" t="s">
        <v>108</v>
      </c>
      <c r="B514" t="s">
        <v>36</v>
      </c>
      <c r="C514" t="s">
        <v>16</v>
      </c>
      <c r="D514">
        <v>135536</v>
      </c>
      <c r="E514">
        <v>1016</v>
      </c>
      <c r="F514">
        <v>120</v>
      </c>
      <c r="G514">
        <v>14400</v>
      </c>
      <c r="H514">
        <v>35131</v>
      </c>
      <c r="I514">
        <v>56629</v>
      </c>
      <c r="J514">
        <v>0</v>
      </c>
      <c r="K514">
        <v>0</v>
      </c>
      <c r="L514">
        <v>8</v>
      </c>
      <c r="M514">
        <v>1</v>
      </c>
      <c r="N514" t="s">
        <v>29</v>
      </c>
      <c r="O514" s="1">
        <f>result[[#This Row],[n_killed_mutants_cumulativa]]/result[[#This Row],[tot_mutants]]</f>
        <v>0.125</v>
      </c>
    </row>
    <row r="515" spans="1:16" x14ac:dyDescent="0.25">
      <c r="A515" t="s">
        <v>108</v>
      </c>
      <c r="B515" t="s">
        <v>22</v>
      </c>
      <c r="C515" t="s">
        <v>16</v>
      </c>
      <c r="D515">
        <v>606281</v>
      </c>
      <c r="E515">
        <v>4866</v>
      </c>
      <c r="F515">
        <v>780</v>
      </c>
      <c r="G515">
        <v>65000</v>
      </c>
      <c r="H515">
        <v>158655</v>
      </c>
      <c r="I515">
        <v>253165</v>
      </c>
      <c r="J515">
        <v>0</v>
      </c>
      <c r="K515">
        <v>0</v>
      </c>
      <c r="L515">
        <v>8</v>
      </c>
      <c r="M515">
        <v>1</v>
      </c>
      <c r="N515" t="s">
        <v>29</v>
      </c>
      <c r="O515" s="1">
        <f>result[[#This Row],[n_killed_mutants_cumulativa]]/result[[#This Row],[tot_mutants]]</f>
        <v>0.125</v>
      </c>
      <c r="P515" s="9" t="s">
        <v>359</v>
      </c>
    </row>
    <row r="516" spans="1:16" hidden="1" x14ac:dyDescent="0.25">
      <c r="A516" t="s">
        <v>109</v>
      </c>
      <c r="B516" t="s">
        <v>15</v>
      </c>
      <c r="C516" t="s">
        <v>16</v>
      </c>
      <c r="D516">
        <v>2585</v>
      </c>
      <c r="E516">
        <v>947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10</v>
      </c>
      <c r="L516">
        <v>8</v>
      </c>
      <c r="M516">
        <v>0</v>
      </c>
      <c r="N516" t="s">
        <v>17</v>
      </c>
      <c r="O516" s="1">
        <f>result[[#This Row],[n_killed_mutants_cumulativa]]/result[[#This Row],[tot_mutants]]</f>
        <v>0</v>
      </c>
    </row>
    <row r="517" spans="1:16" hidden="1" x14ac:dyDescent="0.25">
      <c r="A517" t="s">
        <v>109</v>
      </c>
      <c r="B517" t="s">
        <v>18</v>
      </c>
      <c r="C517" t="s">
        <v>16</v>
      </c>
      <c r="D517">
        <v>3064</v>
      </c>
      <c r="E517">
        <v>2195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20</v>
      </c>
      <c r="L517">
        <v>8</v>
      </c>
      <c r="M517">
        <v>0</v>
      </c>
      <c r="N517" t="s">
        <v>17</v>
      </c>
      <c r="O517" s="1">
        <f>result[[#This Row],[n_killed_mutants_cumulativa]]/result[[#This Row],[tot_mutants]]</f>
        <v>0</v>
      </c>
    </row>
    <row r="518" spans="1:16" hidden="1" x14ac:dyDescent="0.25">
      <c r="A518" t="s">
        <v>109</v>
      </c>
      <c r="B518" t="s">
        <v>19</v>
      </c>
      <c r="C518" t="s">
        <v>16</v>
      </c>
      <c r="D518">
        <v>6325</v>
      </c>
      <c r="E518">
        <v>5199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30</v>
      </c>
      <c r="L518">
        <v>8</v>
      </c>
      <c r="M518">
        <v>0</v>
      </c>
      <c r="N518" t="s">
        <v>17</v>
      </c>
      <c r="O518" s="1">
        <f>result[[#This Row],[n_killed_mutants_cumulativa]]/result[[#This Row],[tot_mutants]]</f>
        <v>0</v>
      </c>
    </row>
    <row r="519" spans="1:16" hidden="1" x14ac:dyDescent="0.25">
      <c r="A519" t="s">
        <v>109</v>
      </c>
      <c r="B519" t="s">
        <v>20</v>
      </c>
      <c r="C519" t="s">
        <v>16</v>
      </c>
      <c r="D519">
        <v>12403</v>
      </c>
      <c r="E519">
        <v>11062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40</v>
      </c>
      <c r="L519">
        <v>8</v>
      </c>
      <c r="M519">
        <v>0</v>
      </c>
      <c r="N519" t="s">
        <v>17</v>
      </c>
      <c r="O519" s="1">
        <f>result[[#This Row],[n_killed_mutants_cumulativa]]/result[[#This Row],[tot_mutants]]</f>
        <v>0</v>
      </c>
    </row>
    <row r="520" spans="1:16" hidden="1" x14ac:dyDescent="0.25">
      <c r="A520" t="s">
        <v>109</v>
      </c>
      <c r="B520" t="s">
        <v>21</v>
      </c>
      <c r="C520" t="s">
        <v>16</v>
      </c>
      <c r="D520">
        <v>22861</v>
      </c>
      <c r="E520">
        <v>21178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50</v>
      </c>
      <c r="L520">
        <v>8</v>
      </c>
      <c r="M520">
        <v>0</v>
      </c>
      <c r="N520" t="s">
        <v>17</v>
      </c>
      <c r="O520" s="1">
        <f>result[[#This Row],[n_killed_mutants_cumulativa]]/result[[#This Row],[tot_mutants]]</f>
        <v>0</v>
      </c>
    </row>
    <row r="521" spans="1:16" hidden="1" x14ac:dyDescent="0.25">
      <c r="A521" t="s">
        <v>109</v>
      </c>
      <c r="B521" t="s">
        <v>22</v>
      </c>
      <c r="C521" t="s">
        <v>16</v>
      </c>
      <c r="D521">
        <v>47238</v>
      </c>
      <c r="E521">
        <v>40581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150</v>
      </c>
      <c r="L521">
        <v>8</v>
      </c>
      <c r="M521">
        <v>0</v>
      </c>
      <c r="N521" t="s">
        <v>17</v>
      </c>
      <c r="O521" s="1">
        <f>result[[#This Row],[n_killed_mutants_cumulativa]]/result[[#This Row],[tot_mutants]]</f>
        <v>0</v>
      </c>
    </row>
    <row r="522" spans="1:16" hidden="1" x14ac:dyDescent="0.25">
      <c r="A522" t="s">
        <v>110</v>
      </c>
      <c r="B522" t="s">
        <v>15</v>
      </c>
      <c r="C522" t="s">
        <v>16</v>
      </c>
      <c r="D522">
        <v>4886</v>
      </c>
      <c r="E522">
        <v>4658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54</v>
      </c>
      <c r="M522">
        <v>0</v>
      </c>
      <c r="N522" t="s">
        <v>17</v>
      </c>
      <c r="O522" s="1">
        <f>result[[#This Row],[n_killed_mutants_cumulativa]]/result[[#This Row],[tot_mutants]]</f>
        <v>0</v>
      </c>
    </row>
    <row r="523" spans="1:16" hidden="1" x14ac:dyDescent="0.25">
      <c r="A523" t="s">
        <v>110</v>
      </c>
      <c r="B523" t="s">
        <v>18</v>
      </c>
      <c r="C523" t="s">
        <v>16</v>
      </c>
      <c r="D523">
        <v>7468</v>
      </c>
      <c r="E523">
        <v>7391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54</v>
      </c>
      <c r="M523">
        <v>0</v>
      </c>
      <c r="N523" t="s">
        <v>17</v>
      </c>
      <c r="O523" s="1">
        <f>result[[#This Row],[n_killed_mutants_cumulativa]]/result[[#This Row],[tot_mutants]]</f>
        <v>0</v>
      </c>
    </row>
    <row r="524" spans="1:16" hidden="1" x14ac:dyDescent="0.25">
      <c r="A524" t="s">
        <v>110</v>
      </c>
      <c r="B524" t="s">
        <v>19</v>
      </c>
      <c r="C524" t="s">
        <v>16</v>
      </c>
      <c r="D524">
        <v>10215</v>
      </c>
      <c r="E524">
        <v>10157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54</v>
      </c>
      <c r="M524">
        <v>0</v>
      </c>
      <c r="N524" t="s">
        <v>17</v>
      </c>
      <c r="O524" s="1">
        <f>result[[#This Row],[n_killed_mutants_cumulativa]]/result[[#This Row],[tot_mutants]]</f>
        <v>0</v>
      </c>
    </row>
    <row r="525" spans="1:16" hidden="1" x14ac:dyDescent="0.25">
      <c r="A525" t="s">
        <v>110</v>
      </c>
      <c r="B525" t="s">
        <v>20</v>
      </c>
      <c r="C525" t="s">
        <v>16</v>
      </c>
      <c r="D525">
        <v>17818</v>
      </c>
      <c r="E525">
        <v>17768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54</v>
      </c>
      <c r="M525">
        <v>0</v>
      </c>
      <c r="N525" t="s">
        <v>17</v>
      </c>
      <c r="O525" s="1">
        <f>result[[#This Row],[n_killed_mutants_cumulativa]]/result[[#This Row],[tot_mutants]]</f>
        <v>0</v>
      </c>
    </row>
    <row r="526" spans="1:16" hidden="1" x14ac:dyDescent="0.25">
      <c r="A526" t="s">
        <v>110</v>
      </c>
      <c r="B526" t="s">
        <v>21</v>
      </c>
      <c r="C526" t="s">
        <v>16</v>
      </c>
      <c r="D526">
        <v>17400</v>
      </c>
      <c r="E526">
        <v>17342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54</v>
      </c>
      <c r="M526">
        <v>0</v>
      </c>
      <c r="N526" t="s">
        <v>17</v>
      </c>
      <c r="O526" s="1">
        <f>result[[#This Row],[n_killed_mutants_cumulativa]]/result[[#This Row],[tot_mutants]]</f>
        <v>0</v>
      </c>
    </row>
    <row r="527" spans="1:16" hidden="1" x14ac:dyDescent="0.25">
      <c r="A527" t="s">
        <v>110</v>
      </c>
      <c r="B527" t="s">
        <v>22</v>
      </c>
      <c r="C527" t="s">
        <v>16</v>
      </c>
      <c r="D527">
        <v>57787</v>
      </c>
      <c r="E527">
        <v>57316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54</v>
      </c>
      <c r="M527">
        <v>0</v>
      </c>
      <c r="N527" t="s">
        <v>17</v>
      </c>
      <c r="O527" s="1">
        <f>result[[#This Row],[n_killed_mutants_cumulativa]]/result[[#This Row],[tot_mutants]]</f>
        <v>0</v>
      </c>
    </row>
    <row r="528" spans="1:16" hidden="1" x14ac:dyDescent="0.25">
      <c r="A528" t="s">
        <v>111</v>
      </c>
      <c r="B528" t="s">
        <v>15</v>
      </c>
      <c r="C528" t="s">
        <v>16</v>
      </c>
      <c r="D528">
        <v>3659</v>
      </c>
      <c r="E528">
        <v>3484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52</v>
      </c>
      <c r="M528">
        <v>0</v>
      </c>
      <c r="N528" t="s">
        <v>17</v>
      </c>
      <c r="O528" s="1">
        <f>result[[#This Row],[n_killed_mutants_cumulativa]]/result[[#This Row],[tot_mutants]]</f>
        <v>0</v>
      </c>
    </row>
    <row r="529" spans="1:15" hidden="1" x14ac:dyDescent="0.25">
      <c r="A529" t="s">
        <v>111</v>
      </c>
      <c r="B529" t="s">
        <v>18</v>
      </c>
      <c r="C529" t="s">
        <v>16</v>
      </c>
      <c r="D529">
        <v>4889</v>
      </c>
      <c r="E529">
        <v>4820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52</v>
      </c>
      <c r="M529">
        <v>0</v>
      </c>
      <c r="N529" t="s">
        <v>17</v>
      </c>
      <c r="O529" s="1">
        <f>result[[#This Row],[n_killed_mutants_cumulativa]]/result[[#This Row],[tot_mutants]]</f>
        <v>0</v>
      </c>
    </row>
    <row r="530" spans="1:15" hidden="1" x14ac:dyDescent="0.25">
      <c r="A530" t="s">
        <v>111</v>
      </c>
      <c r="B530" t="s">
        <v>19</v>
      </c>
      <c r="C530" t="s">
        <v>16</v>
      </c>
      <c r="D530">
        <v>9917</v>
      </c>
      <c r="E530">
        <v>9858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52</v>
      </c>
      <c r="M530">
        <v>0</v>
      </c>
      <c r="N530" t="s">
        <v>17</v>
      </c>
      <c r="O530" s="1">
        <f>result[[#This Row],[n_killed_mutants_cumulativa]]/result[[#This Row],[tot_mutants]]</f>
        <v>0</v>
      </c>
    </row>
    <row r="531" spans="1:15" hidden="1" x14ac:dyDescent="0.25">
      <c r="A531" t="s">
        <v>111</v>
      </c>
      <c r="B531" t="s">
        <v>20</v>
      </c>
      <c r="C531" t="s">
        <v>16</v>
      </c>
      <c r="D531">
        <v>10741</v>
      </c>
      <c r="E531">
        <v>10685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52</v>
      </c>
      <c r="M531">
        <v>0</v>
      </c>
      <c r="N531" t="s">
        <v>17</v>
      </c>
      <c r="O531" s="1">
        <f>result[[#This Row],[n_killed_mutants_cumulativa]]/result[[#This Row],[tot_mutants]]</f>
        <v>0</v>
      </c>
    </row>
    <row r="532" spans="1:15" hidden="1" x14ac:dyDescent="0.25">
      <c r="A532" t="s">
        <v>111</v>
      </c>
      <c r="B532" t="s">
        <v>21</v>
      </c>
      <c r="C532" t="s">
        <v>16</v>
      </c>
      <c r="D532">
        <v>11509</v>
      </c>
      <c r="E532">
        <v>11457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52</v>
      </c>
      <c r="M532">
        <v>0</v>
      </c>
      <c r="N532" t="s">
        <v>17</v>
      </c>
      <c r="O532" s="1">
        <f>result[[#This Row],[n_killed_mutants_cumulativa]]/result[[#This Row],[tot_mutants]]</f>
        <v>0</v>
      </c>
    </row>
    <row r="533" spans="1:15" hidden="1" x14ac:dyDescent="0.25">
      <c r="A533" t="s">
        <v>111</v>
      </c>
      <c r="B533" t="s">
        <v>22</v>
      </c>
      <c r="C533" t="s">
        <v>16</v>
      </c>
      <c r="D533">
        <v>40715</v>
      </c>
      <c r="E533">
        <v>40304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52</v>
      </c>
      <c r="M533">
        <v>0</v>
      </c>
      <c r="N533" t="s">
        <v>17</v>
      </c>
      <c r="O533" s="1">
        <f>result[[#This Row],[n_killed_mutants_cumulativa]]/result[[#This Row],[tot_mutants]]</f>
        <v>0</v>
      </c>
    </row>
    <row r="534" spans="1:15" hidden="1" x14ac:dyDescent="0.25">
      <c r="A534" t="s">
        <v>112</v>
      </c>
      <c r="B534" t="s">
        <v>15</v>
      </c>
      <c r="C534" t="s">
        <v>16</v>
      </c>
      <c r="D534">
        <v>2466</v>
      </c>
      <c r="E534">
        <v>827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10</v>
      </c>
      <c r="L534">
        <v>8</v>
      </c>
      <c r="M534">
        <v>0</v>
      </c>
      <c r="N534" t="s">
        <v>17</v>
      </c>
      <c r="O534" s="1">
        <f>result[[#This Row],[n_killed_mutants_cumulativa]]/result[[#This Row],[tot_mutants]]</f>
        <v>0</v>
      </c>
    </row>
    <row r="535" spans="1:15" hidden="1" x14ac:dyDescent="0.25">
      <c r="A535" t="s">
        <v>112</v>
      </c>
      <c r="B535" t="s">
        <v>18</v>
      </c>
      <c r="C535" t="s">
        <v>16</v>
      </c>
      <c r="D535">
        <v>3287</v>
      </c>
      <c r="E535">
        <v>2318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20</v>
      </c>
      <c r="L535">
        <v>8</v>
      </c>
      <c r="M535">
        <v>0</v>
      </c>
      <c r="N535" t="s">
        <v>17</v>
      </c>
      <c r="O535" s="1">
        <f>result[[#This Row],[n_killed_mutants_cumulativa]]/result[[#This Row],[tot_mutants]]</f>
        <v>0</v>
      </c>
    </row>
    <row r="536" spans="1:15" hidden="1" x14ac:dyDescent="0.25">
      <c r="A536" t="s">
        <v>112</v>
      </c>
      <c r="B536" t="s">
        <v>19</v>
      </c>
      <c r="C536" t="s">
        <v>16</v>
      </c>
      <c r="D536">
        <v>6164</v>
      </c>
      <c r="E536">
        <v>5025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30</v>
      </c>
      <c r="L536">
        <v>8</v>
      </c>
      <c r="M536">
        <v>0</v>
      </c>
      <c r="N536" t="s">
        <v>17</v>
      </c>
      <c r="O536" s="1">
        <f>result[[#This Row],[n_killed_mutants_cumulativa]]/result[[#This Row],[tot_mutants]]</f>
        <v>0</v>
      </c>
    </row>
    <row r="537" spans="1:15" hidden="1" x14ac:dyDescent="0.25">
      <c r="A537" t="s">
        <v>112</v>
      </c>
      <c r="B537" t="s">
        <v>20</v>
      </c>
      <c r="C537" t="s">
        <v>16</v>
      </c>
      <c r="D537">
        <v>12819</v>
      </c>
      <c r="E537">
        <v>11412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40</v>
      </c>
      <c r="L537">
        <v>8</v>
      </c>
      <c r="M537">
        <v>0</v>
      </c>
      <c r="N537" t="s">
        <v>17</v>
      </c>
      <c r="O537" s="1">
        <f>result[[#This Row],[n_killed_mutants_cumulativa]]/result[[#This Row],[tot_mutants]]</f>
        <v>0</v>
      </c>
    </row>
    <row r="538" spans="1:15" hidden="1" x14ac:dyDescent="0.25">
      <c r="A538" t="s">
        <v>112</v>
      </c>
      <c r="B538" t="s">
        <v>21</v>
      </c>
      <c r="C538" t="s">
        <v>16</v>
      </c>
      <c r="D538">
        <v>23125</v>
      </c>
      <c r="E538">
        <v>21405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50</v>
      </c>
      <c r="L538">
        <v>8</v>
      </c>
      <c r="M538">
        <v>0</v>
      </c>
      <c r="N538" t="s">
        <v>17</v>
      </c>
      <c r="O538" s="1">
        <f>result[[#This Row],[n_killed_mutants_cumulativa]]/result[[#This Row],[tot_mutants]]</f>
        <v>0</v>
      </c>
    </row>
    <row r="539" spans="1:15" hidden="1" x14ac:dyDescent="0.25">
      <c r="A539" t="s">
        <v>112</v>
      </c>
      <c r="B539" t="s">
        <v>22</v>
      </c>
      <c r="C539" t="s">
        <v>16</v>
      </c>
      <c r="D539">
        <v>47861</v>
      </c>
      <c r="E539">
        <v>40987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150</v>
      </c>
      <c r="L539">
        <v>8</v>
      </c>
      <c r="M539">
        <v>0</v>
      </c>
      <c r="N539" t="s">
        <v>17</v>
      </c>
      <c r="O539" s="1">
        <f>result[[#This Row],[n_killed_mutants_cumulativa]]/result[[#This Row],[tot_mutants]]</f>
        <v>0</v>
      </c>
    </row>
    <row r="540" spans="1:15" hidden="1" x14ac:dyDescent="0.25">
      <c r="A540" t="s">
        <v>113</v>
      </c>
      <c r="B540" t="s">
        <v>22</v>
      </c>
      <c r="C540" t="s">
        <v>99</v>
      </c>
      <c r="D540">
        <v>0</v>
      </c>
      <c r="E540">
        <v>168</v>
      </c>
      <c r="F540">
        <v>10</v>
      </c>
      <c r="G540">
        <v>100</v>
      </c>
      <c r="H540">
        <v>100</v>
      </c>
      <c r="I540">
        <v>180</v>
      </c>
      <c r="J540">
        <v>0</v>
      </c>
      <c r="K540">
        <v>0</v>
      </c>
      <c r="L540">
        <v>9</v>
      </c>
      <c r="M540">
        <v>0</v>
      </c>
      <c r="N540" t="s">
        <v>17</v>
      </c>
      <c r="O540" s="1">
        <f>result[[#This Row],[n_killed_mutants_cumulativa]]/result[[#This Row],[tot_mutants]]</f>
        <v>0</v>
      </c>
    </row>
    <row r="541" spans="1:15" hidden="1" x14ac:dyDescent="0.25">
      <c r="A541" t="s">
        <v>114</v>
      </c>
      <c r="B541" t="s">
        <v>15</v>
      </c>
      <c r="C541" t="s">
        <v>16</v>
      </c>
      <c r="D541">
        <v>388</v>
      </c>
      <c r="E541">
        <v>170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2</v>
      </c>
      <c r="M541">
        <v>0</v>
      </c>
      <c r="N541" t="s">
        <v>17</v>
      </c>
      <c r="O541" s="1">
        <f>result[[#This Row],[n_killed_mutants_cumulativa]]/result[[#This Row],[tot_mutants]]</f>
        <v>0</v>
      </c>
    </row>
    <row r="542" spans="1:15" hidden="1" x14ac:dyDescent="0.25">
      <c r="A542" t="s">
        <v>114</v>
      </c>
      <c r="B542" t="s">
        <v>18</v>
      </c>
      <c r="C542" t="s">
        <v>16</v>
      </c>
      <c r="D542">
        <v>390</v>
      </c>
      <c r="E542">
        <v>273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2</v>
      </c>
      <c r="M542">
        <v>0</v>
      </c>
      <c r="N542" t="s">
        <v>17</v>
      </c>
      <c r="O542" s="1">
        <f>result[[#This Row],[n_killed_mutants_cumulativa]]/result[[#This Row],[tot_mutants]]</f>
        <v>0</v>
      </c>
    </row>
    <row r="543" spans="1:15" hidden="1" x14ac:dyDescent="0.25">
      <c r="A543" t="s">
        <v>114</v>
      </c>
      <c r="B543" t="s">
        <v>19</v>
      </c>
      <c r="C543" t="s">
        <v>16</v>
      </c>
      <c r="D543">
        <v>344</v>
      </c>
      <c r="E543">
        <v>226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</v>
      </c>
      <c r="M543">
        <v>0</v>
      </c>
      <c r="N543" t="s">
        <v>17</v>
      </c>
      <c r="O543" s="1">
        <f>result[[#This Row],[n_killed_mutants_cumulativa]]/result[[#This Row],[tot_mutants]]</f>
        <v>0</v>
      </c>
    </row>
    <row r="544" spans="1:15" hidden="1" x14ac:dyDescent="0.25">
      <c r="A544" t="s">
        <v>114</v>
      </c>
      <c r="B544" t="s">
        <v>20</v>
      </c>
      <c r="C544" t="s">
        <v>16</v>
      </c>
      <c r="D544">
        <v>349</v>
      </c>
      <c r="E544">
        <v>236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2</v>
      </c>
      <c r="M544">
        <v>0</v>
      </c>
      <c r="N544" t="s">
        <v>17</v>
      </c>
      <c r="O544" s="1">
        <f>result[[#This Row],[n_killed_mutants_cumulativa]]/result[[#This Row],[tot_mutants]]</f>
        <v>0</v>
      </c>
    </row>
    <row r="545" spans="1:16" hidden="1" x14ac:dyDescent="0.25">
      <c r="A545" t="s">
        <v>114</v>
      </c>
      <c r="B545" t="s">
        <v>21</v>
      </c>
      <c r="C545" t="s">
        <v>16</v>
      </c>
      <c r="D545">
        <v>582</v>
      </c>
      <c r="E545">
        <v>443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2</v>
      </c>
      <c r="M545">
        <v>0</v>
      </c>
      <c r="N545" t="s">
        <v>17</v>
      </c>
      <c r="O545" s="1">
        <f>result[[#This Row],[n_killed_mutants_cumulativa]]/result[[#This Row],[tot_mutants]]</f>
        <v>0</v>
      </c>
    </row>
    <row r="546" spans="1:16" hidden="1" x14ac:dyDescent="0.25">
      <c r="A546" t="s">
        <v>114</v>
      </c>
      <c r="B546" t="s">
        <v>22</v>
      </c>
      <c r="C546" t="s">
        <v>16</v>
      </c>
      <c r="D546">
        <v>2053</v>
      </c>
      <c r="E546">
        <v>1348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2</v>
      </c>
      <c r="M546">
        <v>0</v>
      </c>
      <c r="N546" t="s">
        <v>17</v>
      </c>
      <c r="O546" s="1">
        <f>result[[#This Row],[n_killed_mutants_cumulativa]]/result[[#This Row],[tot_mutants]]</f>
        <v>0</v>
      </c>
    </row>
    <row r="547" spans="1:16" hidden="1" x14ac:dyDescent="0.25">
      <c r="A547" t="s">
        <v>115</v>
      </c>
      <c r="B547" t="s">
        <v>15</v>
      </c>
      <c r="C547" t="s">
        <v>16</v>
      </c>
      <c r="D547">
        <v>5564</v>
      </c>
      <c r="E547">
        <v>97</v>
      </c>
      <c r="F547">
        <v>10</v>
      </c>
      <c r="G547">
        <v>100</v>
      </c>
      <c r="H547">
        <v>60</v>
      </c>
      <c r="I547">
        <v>648</v>
      </c>
      <c r="J547">
        <v>0</v>
      </c>
      <c r="K547">
        <v>0</v>
      </c>
      <c r="L547">
        <v>8</v>
      </c>
      <c r="M547">
        <v>1</v>
      </c>
      <c r="N547" t="s">
        <v>86</v>
      </c>
      <c r="O547" s="1">
        <f>result[[#This Row],[n_killed_mutants_cumulativa]]/result[[#This Row],[tot_mutants]]</f>
        <v>0.125</v>
      </c>
    </row>
    <row r="548" spans="1:16" hidden="1" x14ac:dyDescent="0.25">
      <c r="A548" t="s">
        <v>115</v>
      </c>
      <c r="B548" t="s">
        <v>18</v>
      </c>
      <c r="C548" t="s">
        <v>16</v>
      </c>
      <c r="D548">
        <v>6598</v>
      </c>
      <c r="E548">
        <v>27</v>
      </c>
      <c r="F548">
        <v>20</v>
      </c>
      <c r="G548">
        <v>400</v>
      </c>
      <c r="H548">
        <v>89</v>
      </c>
      <c r="I548">
        <v>2393</v>
      </c>
      <c r="J548">
        <v>0</v>
      </c>
      <c r="K548">
        <v>0</v>
      </c>
      <c r="L548">
        <v>8</v>
      </c>
      <c r="M548">
        <v>1</v>
      </c>
      <c r="N548" t="s">
        <v>86</v>
      </c>
      <c r="O548" s="1">
        <f>result[[#This Row],[n_killed_mutants_cumulativa]]/result[[#This Row],[tot_mutants]]</f>
        <v>0.125</v>
      </c>
    </row>
    <row r="549" spans="1:16" hidden="1" x14ac:dyDescent="0.25">
      <c r="A549" t="s">
        <v>115</v>
      </c>
      <c r="B549" t="s">
        <v>19</v>
      </c>
      <c r="C549" t="s">
        <v>16</v>
      </c>
      <c r="D549">
        <v>11421</v>
      </c>
      <c r="E549">
        <v>33</v>
      </c>
      <c r="F549">
        <v>30</v>
      </c>
      <c r="G549">
        <v>900</v>
      </c>
      <c r="H549">
        <v>125</v>
      </c>
      <c r="I549">
        <v>5193</v>
      </c>
      <c r="J549">
        <v>0</v>
      </c>
      <c r="K549">
        <v>0</v>
      </c>
      <c r="L549">
        <v>8</v>
      </c>
      <c r="M549">
        <v>1</v>
      </c>
      <c r="N549" t="s">
        <v>86</v>
      </c>
      <c r="O549" s="1">
        <f>result[[#This Row],[n_killed_mutants_cumulativa]]/result[[#This Row],[tot_mutants]]</f>
        <v>0.125</v>
      </c>
    </row>
    <row r="550" spans="1:16" hidden="1" x14ac:dyDescent="0.25">
      <c r="A550" t="s">
        <v>115</v>
      </c>
      <c r="B550" t="s">
        <v>20</v>
      </c>
      <c r="C550" t="s">
        <v>16</v>
      </c>
      <c r="D550">
        <v>17553</v>
      </c>
      <c r="E550">
        <v>40</v>
      </c>
      <c r="F550">
        <v>40</v>
      </c>
      <c r="G550">
        <v>1600</v>
      </c>
      <c r="H550">
        <v>157</v>
      </c>
      <c r="I550">
        <v>9657</v>
      </c>
      <c r="J550">
        <v>0</v>
      </c>
      <c r="K550">
        <v>0</v>
      </c>
      <c r="L550">
        <v>8</v>
      </c>
      <c r="M550">
        <v>1</v>
      </c>
      <c r="N550" t="s">
        <v>86</v>
      </c>
      <c r="O550" s="1">
        <f>result[[#This Row],[n_killed_mutants_cumulativa]]/result[[#This Row],[tot_mutants]]</f>
        <v>0.125</v>
      </c>
    </row>
    <row r="551" spans="1:16" hidden="1" x14ac:dyDescent="0.25">
      <c r="A551" t="s">
        <v>115</v>
      </c>
      <c r="B551" t="s">
        <v>21</v>
      </c>
      <c r="C551" t="s">
        <v>16</v>
      </c>
      <c r="D551">
        <v>24928</v>
      </c>
      <c r="E551">
        <v>56</v>
      </c>
      <c r="F551">
        <v>50</v>
      </c>
      <c r="G551">
        <v>2500</v>
      </c>
      <c r="H551">
        <v>260</v>
      </c>
      <c r="I551">
        <v>14342</v>
      </c>
      <c r="J551">
        <v>0</v>
      </c>
      <c r="K551">
        <v>0</v>
      </c>
      <c r="L551">
        <v>8</v>
      </c>
      <c r="M551">
        <v>1</v>
      </c>
      <c r="N551" t="s">
        <v>86</v>
      </c>
      <c r="O551" s="1">
        <f>result[[#This Row],[n_killed_mutants_cumulativa]]/result[[#This Row],[tot_mutants]]</f>
        <v>0.125</v>
      </c>
    </row>
    <row r="552" spans="1:16" hidden="1" x14ac:dyDescent="0.25">
      <c r="A552" t="s">
        <v>115</v>
      </c>
      <c r="B552" t="s">
        <v>24</v>
      </c>
      <c r="C552" t="s">
        <v>16</v>
      </c>
      <c r="D552">
        <v>34226</v>
      </c>
      <c r="E552">
        <v>70</v>
      </c>
      <c r="F552">
        <v>60</v>
      </c>
      <c r="G552">
        <v>3600</v>
      </c>
      <c r="H552">
        <v>270</v>
      </c>
      <c r="I552">
        <v>20310</v>
      </c>
      <c r="J552">
        <v>0</v>
      </c>
      <c r="K552">
        <v>0</v>
      </c>
      <c r="L552">
        <v>8</v>
      </c>
      <c r="M552">
        <v>1</v>
      </c>
      <c r="N552" t="s">
        <v>86</v>
      </c>
      <c r="O552" s="1">
        <f>result[[#This Row],[n_killed_mutants_cumulativa]]/result[[#This Row],[tot_mutants]]</f>
        <v>0.125</v>
      </c>
    </row>
    <row r="553" spans="1:16" hidden="1" x14ac:dyDescent="0.25">
      <c r="A553" t="s">
        <v>115</v>
      </c>
      <c r="B553" t="s">
        <v>25</v>
      </c>
      <c r="C553" t="s">
        <v>16</v>
      </c>
      <c r="D553">
        <v>47004</v>
      </c>
      <c r="E553">
        <v>97</v>
      </c>
      <c r="F553">
        <v>70</v>
      </c>
      <c r="G553">
        <v>4900</v>
      </c>
      <c r="H553">
        <v>334</v>
      </c>
      <c r="I553">
        <v>28853</v>
      </c>
      <c r="J553">
        <v>0</v>
      </c>
      <c r="K553">
        <v>0</v>
      </c>
      <c r="L553">
        <v>8</v>
      </c>
      <c r="M553">
        <v>1</v>
      </c>
      <c r="N553" t="s">
        <v>86</v>
      </c>
      <c r="O553" s="1">
        <f>result[[#This Row],[n_killed_mutants_cumulativa]]/result[[#This Row],[tot_mutants]]</f>
        <v>0.125</v>
      </c>
    </row>
    <row r="554" spans="1:16" hidden="1" x14ac:dyDescent="0.25">
      <c r="A554" t="s">
        <v>115</v>
      </c>
      <c r="B554" t="s">
        <v>26</v>
      </c>
      <c r="C554" t="s">
        <v>16</v>
      </c>
      <c r="D554">
        <v>59336</v>
      </c>
      <c r="E554">
        <v>119</v>
      </c>
      <c r="F554">
        <v>80</v>
      </c>
      <c r="G554">
        <v>6400</v>
      </c>
      <c r="H554">
        <v>303</v>
      </c>
      <c r="I554">
        <v>35773</v>
      </c>
      <c r="J554">
        <v>0</v>
      </c>
      <c r="K554">
        <v>0</v>
      </c>
      <c r="L554">
        <v>8</v>
      </c>
      <c r="M554">
        <v>1</v>
      </c>
      <c r="N554" t="s">
        <v>86</v>
      </c>
      <c r="O554" s="1">
        <f>result[[#This Row],[n_killed_mutants_cumulativa]]/result[[#This Row],[tot_mutants]]</f>
        <v>0.125</v>
      </c>
    </row>
    <row r="555" spans="1:16" hidden="1" x14ac:dyDescent="0.25">
      <c r="A555" t="s">
        <v>115</v>
      </c>
      <c r="B555" t="s">
        <v>27</v>
      </c>
      <c r="C555" t="s">
        <v>16</v>
      </c>
      <c r="D555">
        <v>79721</v>
      </c>
      <c r="E555">
        <v>149</v>
      </c>
      <c r="F555">
        <v>90</v>
      </c>
      <c r="G555">
        <v>8100</v>
      </c>
      <c r="H555">
        <v>455</v>
      </c>
      <c r="I555">
        <v>49341</v>
      </c>
      <c r="J555">
        <v>0</v>
      </c>
      <c r="K555">
        <v>0</v>
      </c>
      <c r="L555">
        <v>8</v>
      </c>
      <c r="M555">
        <v>1</v>
      </c>
      <c r="N555" t="s">
        <v>86</v>
      </c>
      <c r="O555" s="1">
        <f>result[[#This Row],[n_killed_mutants_cumulativa]]/result[[#This Row],[tot_mutants]]</f>
        <v>0.125</v>
      </c>
    </row>
    <row r="556" spans="1:16" hidden="1" x14ac:dyDescent="0.25">
      <c r="A556" t="s">
        <v>115</v>
      </c>
      <c r="B556" t="s">
        <v>30</v>
      </c>
      <c r="C556" t="s">
        <v>16</v>
      </c>
      <c r="D556">
        <v>96337</v>
      </c>
      <c r="E556">
        <v>174</v>
      </c>
      <c r="F556">
        <v>100</v>
      </c>
      <c r="G556">
        <v>10000</v>
      </c>
      <c r="H556">
        <v>446</v>
      </c>
      <c r="I556">
        <v>57275</v>
      </c>
      <c r="J556">
        <v>0</v>
      </c>
      <c r="K556">
        <v>0</v>
      </c>
      <c r="L556">
        <v>8</v>
      </c>
      <c r="M556">
        <v>1</v>
      </c>
      <c r="N556" t="s">
        <v>86</v>
      </c>
      <c r="O556" s="1">
        <f>result[[#This Row],[n_killed_mutants_cumulativa]]/result[[#This Row],[tot_mutants]]</f>
        <v>0.125</v>
      </c>
    </row>
    <row r="557" spans="1:16" hidden="1" x14ac:dyDescent="0.25">
      <c r="A557" t="s">
        <v>115</v>
      </c>
      <c r="B557" t="s">
        <v>31</v>
      </c>
      <c r="C557" t="s">
        <v>16</v>
      </c>
      <c r="D557">
        <v>115380</v>
      </c>
      <c r="E557">
        <v>348</v>
      </c>
      <c r="F557">
        <v>110</v>
      </c>
      <c r="G557">
        <v>12100</v>
      </c>
      <c r="H557">
        <v>382</v>
      </c>
      <c r="I557">
        <v>66933</v>
      </c>
      <c r="J557">
        <v>0</v>
      </c>
      <c r="K557">
        <v>0</v>
      </c>
      <c r="L557">
        <v>8</v>
      </c>
      <c r="M557">
        <v>1</v>
      </c>
      <c r="N557" t="s">
        <v>86</v>
      </c>
      <c r="O557" s="1">
        <f>result[[#This Row],[n_killed_mutants_cumulativa]]/result[[#This Row],[tot_mutants]]</f>
        <v>0.125</v>
      </c>
    </row>
    <row r="558" spans="1:16" hidden="1" x14ac:dyDescent="0.25">
      <c r="A558" t="s">
        <v>115</v>
      </c>
      <c r="B558" t="s">
        <v>36</v>
      </c>
      <c r="C558" t="s">
        <v>16</v>
      </c>
      <c r="D558">
        <v>141191</v>
      </c>
      <c r="E558">
        <v>250</v>
      </c>
      <c r="F558">
        <v>120</v>
      </c>
      <c r="G558">
        <v>14400</v>
      </c>
      <c r="H558">
        <v>537</v>
      </c>
      <c r="I558">
        <v>81655</v>
      </c>
      <c r="J558">
        <v>0</v>
      </c>
      <c r="K558">
        <v>0</v>
      </c>
      <c r="L558">
        <v>8</v>
      </c>
      <c r="M558">
        <v>1</v>
      </c>
      <c r="N558" t="s">
        <v>86</v>
      </c>
      <c r="O558" s="1">
        <f>result[[#This Row],[n_killed_mutants_cumulativa]]/result[[#This Row],[tot_mutants]]</f>
        <v>0.125</v>
      </c>
    </row>
    <row r="559" spans="1:16" x14ac:dyDescent="0.25">
      <c r="A559" t="s">
        <v>115</v>
      </c>
      <c r="B559" t="s">
        <v>22</v>
      </c>
      <c r="C559" t="s">
        <v>16</v>
      </c>
      <c r="D559">
        <v>639259</v>
      </c>
      <c r="E559">
        <v>1460</v>
      </c>
      <c r="F559">
        <v>780</v>
      </c>
      <c r="G559">
        <v>65000</v>
      </c>
      <c r="H559">
        <v>3418</v>
      </c>
      <c r="I559">
        <v>372373</v>
      </c>
      <c r="J559">
        <v>0</v>
      </c>
      <c r="K559">
        <v>0</v>
      </c>
      <c r="L559">
        <v>8</v>
      </c>
      <c r="M559">
        <v>1</v>
      </c>
      <c r="N559" t="s">
        <v>86</v>
      </c>
      <c r="O559" s="1">
        <f>result[[#This Row],[n_killed_mutants_cumulativa]]/result[[#This Row],[tot_mutants]]</f>
        <v>0.125</v>
      </c>
      <c r="P559" s="9" t="s">
        <v>360</v>
      </c>
    </row>
    <row r="560" spans="1:16" hidden="1" x14ac:dyDescent="0.25">
      <c r="A560" t="s">
        <v>116</v>
      </c>
      <c r="B560" t="s">
        <v>15</v>
      </c>
      <c r="C560" t="s">
        <v>16</v>
      </c>
      <c r="D560">
        <v>3123</v>
      </c>
      <c r="E560">
        <v>75</v>
      </c>
      <c r="F560">
        <v>10</v>
      </c>
      <c r="G560">
        <v>100</v>
      </c>
      <c r="H560">
        <v>100</v>
      </c>
      <c r="I560">
        <v>93</v>
      </c>
      <c r="J560">
        <v>0</v>
      </c>
      <c r="K560">
        <v>0</v>
      </c>
      <c r="L560">
        <v>3</v>
      </c>
      <c r="M560">
        <v>0</v>
      </c>
      <c r="N560" t="s">
        <v>17</v>
      </c>
      <c r="O560" s="1">
        <f>result[[#This Row],[n_killed_mutants_cumulativa]]/result[[#This Row],[tot_mutants]]</f>
        <v>0</v>
      </c>
    </row>
    <row r="561" spans="1:15" hidden="1" x14ac:dyDescent="0.25">
      <c r="A561" t="s">
        <v>116</v>
      </c>
      <c r="B561" t="s">
        <v>18</v>
      </c>
      <c r="C561" t="s">
        <v>16</v>
      </c>
      <c r="D561">
        <v>2594</v>
      </c>
      <c r="E561">
        <v>53</v>
      </c>
      <c r="F561">
        <v>20</v>
      </c>
      <c r="G561">
        <v>400</v>
      </c>
      <c r="H561">
        <v>400</v>
      </c>
      <c r="I561">
        <v>478</v>
      </c>
      <c r="J561">
        <v>0</v>
      </c>
      <c r="K561">
        <v>0</v>
      </c>
      <c r="L561">
        <v>3</v>
      </c>
      <c r="M561">
        <v>0</v>
      </c>
      <c r="N561" t="s">
        <v>17</v>
      </c>
      <c r="O561" s="1">
        <f>result[[#This Row],[n_killed_mutants_cumulativa]]/result[[#This Row],[tot_mutants]]</f>
        <v>0</v>
      </c>
    </row>
    <row r="562" spans="1:15" hidden="1" x14ac:dyDescent="0.25">
      <c r="A562" t="s">
        <v>116</v>
      </c>
      <c r="B562" t="s">
        <v>19</v>
      </c>
      <c r="C562" t="s">
        <v>16</v>
      </c>
      <c r="D562">
        <v>4110</v>
      </c>
      <c r="E562">
        <v>38</v>
      </c>
      <c r="F562">
        <v>30</v>
      </c>
      <c r="G562">
        <v>900</v>
      </c>
      <c r="H562">
        <v>900</v>
      </c>
      <c r="I562">
        <v>1221</v>
      </c>
      <c r="J562">
        <v>0</v>
      </c>
      <c r="K562">
        <v>0</v>
      </c>
      <c r="L562">
        <v>3</v>
      </c>
      <c r="M562">
        <v>0</v>
      </c>
      <c r="N562" t="s">
        <v>17</v>
      </c>
      <c r="O562" s="1">
        <f>result[[#This Row],[n_killed_mutants_cumulativa]]/result[[#This Row],[tot_mutants]]</f>
        <v>0</v>
      </c>
    </row>
    <row r="563" spans="1:15" hidden="1" x14ac:dyDescent="0.25">
      <c r="A563" t="s">
        <v>116</v>
      </c>
      <c r="B563" t="s">
        <v>20</v>
      </c>
      <c r="C563" t="s">
        <v>16</v>
      </c>
      <c r="D563">
        <v>5054</v>
      </c>
      <c r="E563">
        <v>53</v>
      </c>
      <c r="F563">
        <v>40</v>
      </c>
      <c r="G563">
        <v>1600</v>
      </c>
      <c r="H563">
        <v>1600</v>
      </c>
      <c r="I563">
        <v>2464</v>
      </c>
      <c r="J563">
        <v>0</v>
      </c>
      <c r="K563">
        <v>0</v>
      </c>
      <c r="L563">
        <v>3</v>
      </c>
      <c r="M563">
        <v>0</v>
      </c>
      <c r="N563" t="s">
        <v>17</v>
      </c>
      <c r="O563" s="1">
        <f>result[[#This Row],[n_killed_mutants_cumulativa]]/result[[#This Row],[tot_mutants]]</f>
        <v>0</v>
      </c>
    </row>
    <row r="564" spans="1:15" hidden="1" x14ac:dyDescent="0.25">
      <c r="A564" t="s">
        <v>116</v>
      </c>
      <c r="B564" t="s">
        <v>21</v>
      </c>
      <c r="C564" t="s">
        <v>16</v>
      </c>
      <c r="D564">
        <v>7323</v>
      </c>
      <c r="E564">
        <v>63</v>
      </c>
      <c r="F564">
        <v>50</v>
      </c>
      <c r="G564">
        <v>2500</v>
      </c>
      <c r="H564">
        <v>2500</v>
      </c>
      <c r="I564">
        <v>4016</v>
      </c>
      <c r="J564">
        <v>0</v>
      </c>
      <c r="K564">
        <v>0</v>
      </c>
      <c r="L564">
        <v>3</v>
      </c>
      <c r="M564">
        <v>0</v>
      </c>
      <c r="N564" t="s">
        <v>17</v>
      </c>
      <c r="O564" s="1">
        <f>result[[#This Row],[n_killed_mutants_cumulativa]]/result[[#This Row],[tot_mutants]]</f>
        <v>0</v>
      </c>
    </row>
    <row r="565" spans="1:15" hidden="1" x14ac:dyDescent="0.25">
      <c r="A565" t="s">
        <v>116</v>
      </c>
      <c r="B565" t="s">
        <v>24</v>
      </c>
      <c r="C565" t="s">
        <v>16</v>
      </c>
      <c r="D565">
        <v>9863</v>
      </c>
      <c r="E565">
        <v>92</v>
      </c>
      <c r="F565">
        <v>60</v>
      </c>
      <c r="G565">
        <v>3600</v>
      </c>
      <c r="H565">
        <v>3600</v>
      </c>
      <c r="I565">
        <v>6143</v>
      </c>
      <c r="J565">
        <v>0</v>
      </c>
      <c r="K565">
        <v>0</v>
      </c>
      <c r="L565">
        <v>3</v>
      </c>
      <c r="M565">
        <v>0</v>
      </c>
      <c r="N565" t="s">
        <v>17</v>
      </c>
      <c r="O565" s="1">
        <f>result[[#This Row],[n_killed_mutants_cumulativa]]/result[[#This Row],[tot_mutants]]</f>
        <v>0</v>
      </c>
    </row>
    <row r="566" spans="1:15" hidden="1" x14ac:dyDescent="0.25">
      <c r="A566" t="s">
        <v>116</v>
      </c>
      <c r="B566" t="s">
        <v>25</v>
      </c>
      <c r="C566" t="s">
        <v>16</v>
      </c>
      <c r="D566">
        <v>12954</v>
      </c>
      <c r="E566">
        <v>99</v>
      </c>
      <c r="F566">
        <v>70</v>
      </c>
      <c r="G566">
        <v>4900</v>
      </c>
      <c r="H566">
        <v>4900</v>
      </c>
      <c r="I566">
        <v>8597</v>
      </c>
      <c r="J566">
        <v>0</v>
      </c>
      <c r="K566">
        <v>0</v>
      </c>
      <c r="L566">
        <v>3</v>
      </c>
      <c r="M566">
        <v>0</v>
      </c>
      <c r="N566" t="s">
        <v>17</v>
      </c>
      <c r="O566" s="1">
        <f>result[[#This Row],[n_killed_mutants_cumulativa]]/result[[#This Row],[tot_mutants]]</f>
        <v>0</v>
      </c>
    </row>
    <row r="567" spans="1:15" hidden="1" x14ac:dyDescent="0.25">
      <c r="A567" t="s">
        <v>116</v>
      </c>
      <c r="B567" t="s">
        <v>26</v>
      </c>
      <c r="C567" t="s">
        <v>16</v>
      </c>
      <c r="D567">
        <v>16727</v>
      </c>
      <c r="E567">
        <v>132</v>
      </c>
      <c r="F567">
        <v>80</v>
      </c>
      <c r="G567">
        <v>6400</v>
      </c>
      <c r="H567">
        <v>6400</v>
      </c>
      <c r="I567">
        <v>11364</v>
      </c>
      <c r="J567">
        <v>0</v>
      </c>
      <c r="K567">
        <v>0</v>
      </c>
      <c r="L567">
        <v>3</v>
      </c>
      <c r="M567">
        <v>0</v>
      </c>
      <c r="N567" t="s">
        <v>17</v>
      </c>
      <c r="O567" s="1">
        <f>result[[#This Row],[n_killed_mutants_cumulativa]]/result[[#This Row],[tot_mutants]]</f>
        <v>0</v>
      </c>
    </row>
    <row r="568" spans="1:15" hidden="1" x14ac:dyDescent="0.25">
      <c r="A568" t="s">
        <v>116</v>
      </c>
      <c r="B568" t="s">
        <v>27</v>
      </c>
      <c r="C568" t="s">
        <v>16</v>
      </c>
      <c r="D568">
        <v>20897</v>
      </c>
      <c r="E568">
        <v>163</v>
      </c>
      <c r="F568">
        <v>90</v>
      </c>
      <c r="G568">
        <v>8100</v>
      </c>
      <c r="H568">
        <v>8100</v>
      </c>
      <c r="I568">
        <v>14564</v>
      </c>
      <c r="J568">
        <v>0</v>
      </c>
      <c r="K568">
        <v>0</v>
      </c>
      <c r="L568">
        <v>3</v>
      </c>
      <c r="M568">
        <v>0</v>
      </c>
      <c r="N568" t="s">
        <v>17</v>
      </c>
      <c r="O568" s="1">
        <f>result[[#This Row],[n_killed_mutants_cumulativa]]/result[[#This Row],[tot_mutants]]</f>
        <v>0</v>
      </c>
    </row>
    <row r="569" spans="1:15" hidden="1" x14ac:dyDescent="0.25">
      <c r="A569" t="s">
        <v>116</v>
      </c>
      <c r="B569" t="s">
        <v>30</v>
      </c>
      <c r="C569" t="s">
        <v>16</v>
      </c>
      <c r="D569">
        <v>25969</v>
      </c>
      <c r="E569">
        <v>202</v>
      </c>
      <c r="F569">
        <v>100</v>
      </c>
      <c r="G569">
        <v>10000</v>
      </c>
      <c r="H569">
        <v>10000</v>
      </c>
      <c r="I569">
        <v>18140</v>
      </c>
      <c r="J569">
        <v>0</v>
      </c>
      <c r="K569">
        <v>0</v>
      </c>
      <c r="L569">
        <v>3</v>
      </c>
      <c r="M569">
        <v>0</v>
      </c>
      <c r="N569" t="s">
        <v>17</v>
      </c>
      <c r="O569" s="1">
        <f>result[[#This Row],[n_killed_mutants_cumulativa]]/result[[#This Row],[tot_mutants]]</f>
        <v>0</v>
      </c>
    </row>
    <row r="570" spans="1:15" hidden="1" x14ac:dyDescent="0.25">
      <c r="A570" t="s">
        <v>116</v>
      </c>
      <c r="B570" t="s">
        <v>31</v>
      </c>
      <c r="C570" t="s">
        <v>16</v>
      </c>
      <c r="D570">
        <v>32217</v>
      </c>
      <c r="E570">
        <v>246</v>
      </c>
      <c r="F570">
        <v>110</v>
      </c>
      <c r="G570">
        <v>12100</v>
      </c>
      <c r="H570">
        <v>12100</v>
      </c>
      <c r="I570">
        <v>22260</v>
      </c>
      <c r="J570">
        <v>0</v>
      </c>
      <c r="K570">
        <v>0</v>
      </c>
      <c r="L570">
        <v>3</v>
      </c>
      <c r="M570">
        <v>0</v>
      </c>
      <c r="N570" t="s">
        <v>17</v>
      </c>
      <c r="O570" s="1">
        <f>result[[#This Row],[n_killed_mutants_cumulativa]]/result[[#This Row],[tot_mutants]]</f>
        <v>0</v>
      </c>
    </row>
    <row r="571" spans="1:15" hidden="1" x14ac:dyDescent="0.25">
      <c r="A571" t="s">
        <v>116</v>
      </c>
      <c r="B571" t="s">
        <v>36</v>
      </c>
      <c r="C571" t="s">
        <v>16</v>
      </c>
      <c r="D571">
        <v>39074</v>
      </c>
      <c r="E571">
        <v>290</v>
      </c>
      <c r="F571">
        <v>120</v>
      </c>
      <c r="G571">
        <v>14400</v>
      </c>
      <c r="H571">
        <v>14400</v>
      </c>
      <c r="I571">
        <v>26567</v>
      </c>
      <c r="J571">
        <v>0</v>
      </c>
      <c r="K571">
        <v>0</v>
      </c>
      <c r="L571">
        <v>3</v>
      </c>
      <c r="M571">
        <v>0</v>
      </c>
      <c r="N571" t="s">
        <v>17</v>
      </c>
      <c r="O571" s="1">
        <f>result[[#This Row],[n_killed_mutants_cumulativa]]/result[[#This Row],[tot_mutants]]</f>
        <v>0</v>
      </c>
    </row>
    <row r="572" spans="1:15" hidden="1" x14ac:dyDescent="0.25">
      <c r="A572" t="s">
        <v>116</v>
      </c>
      <c r="B572" t="s">
        <v>40</v>
      </c>
      <c r="C572" t="s">
        <v>16</v>
      </c>
      <c r="D572">
        <v>46400</v>
      </c>
      <c r="E572">
        <v>327</v>
      </c>
      <c r="F572">
        <v>130</v>
      </c>
      <c r="G572">
        <v>16900</v>
      </c>
      <c r="H572">
        <v>16900</v>
      </c>
      <c r="I572">
        <v>31462</v>
      </c>
      <c r="J572">
        <v>0</v>
      </c>
      <c r="K572">
        <v>0</v>
      </c>
      <c r="L572">
        <v>3</v>
      </c>
      <c r="M572">
        <v>0</v>
      </c>
      <c r="N572" t="s">
        <v>17</v>
      </c>
      <c r="O572" s="1">
        <f>result[[#This Row],[n_killed_mutants_cumulativa]]/result[[#This Row],[tot_mutants]]</f>
        <v>0</v>
      </c>
    </row>
    <row r="573" spans="1:15" hidden="1" x14ac:dyDescent="0.25">
      <c r="A573" t="s">
        <v>116</v>
      </c>
      <c r="B573" t="s">
        <v>47</v>
      </c>
      <c r="C573" t="s">
        <v>16</v>
      </c>
      <c r="D573">
        <v>54885</v>
      </c>
      <c r="E573">
        <v>390</v>
      </c>
      <c r="F573">
        <v>140</v>
      </c>
      <c r="G573">
        <v>19600</v>
      </c>
      <c r="H573">
        <v>19600</v>
      </c>
      <c r="I573">
        <v>36808</v>
      </c>
      <c r="J573">
        <v>0</v>
      </c>
      <c r="K573">
        <v>0</v>
      </c>
      <c r="L573">
        <v>3</v>
      </c>
      <c r="M573">
        <v>0</v>
      </c>
      <c r="N573" t="s">
        <v>17</v>
      </c>
      <c r="O573" s="1">
        <f>result[[#This Row],[n_killed_mutants_cumulativa]]/result[[#This Row],[tot_mutants]]</f>
        <v>0</v>
      </c>
    </row>
    <row r="574" spans="1:15" hidden="1" x14ac:dyDescent="0.25">
      <c r="A574" t="s">
        <v>116</v>
      </c>
      <c r="B574" t="s">
        <v>48</v>
      </c>
      <c r="C574" t="s">
        <v>16</v>
      </c>
      <c r="D574">
        <v>64136</v>
      </c>
      <c r="E574">
        <v>436</v>
      </c>
      <c r="F574">
        <v>150</v>
      </c>
      <c r="G574">
        <v>22500</v>
      </c>
      <c r="H574">
        <v>22500</v>
      </c>
      <c r="I574">
        <v>42333</v>
      </c>
      <c r="J574">
        <v>0</v>
      </c>
      <c r="K574">
        <v>0</v>
      </c>
      <c r="L574">
        <v>3</v>
      </c>
      <c r="M574">
        <v>0</v>
      </c>
      <c r="N574" t="s">
        <v>17</v>
      </c>
      <c r="O574" s="1">
        <f>result[[#This Row],[n_killed_mutants_cumulativa]]/result[[#This Row],[tot_mutants]]</f>
        <v>0</v>
      </c>
    </row>
    <row r="575" spans="1:15" hidden="1" x14ac:dyDescent="0.25">
      <c r="A575" t="s">
        <v>116</v>
      </c>
      <c r="B575" t="s">
        <v>49</v>
      </c>
      <c r="C575" t="s">
        <v>16</v>
      </c>
      <c r="D575">
        <v>74558</v>
      </c>
      <c r="E575">
        <v>497</v>
      </c>
      <c r="F575">
        <v>160</v>
      </c>
      <c r="G575">
        <v>25600</v>
      </c>
      <c r="H575">
        <v>25600</v>
      </c>
      <c r="I575">
        <v>48352</v>
      </c>
      <c r="J575">
        <v>0</v>
      </c>
      <c r="K575">
        <v>0</v>
      </c>
      <c r="L575">
        <v>3</v>
      </c>
      <c r="M575">
        <v>0</v>
      </c>
      <c r="N575" t="s">
        <v>17</v>
      </c>
      <c r="O575" s="1">
        <f>result[[#This Row],[n_killed_mutants_cumulativa]]/result[[#This Row],[tot_mutants]]</f>
        <v>0</v>
      </c>
    </row>
    <row r="576" spans="1:15" hidden="1" x14ac:dyDescent="0.25">
      <c r="A576" t="s">
        <v>116</v>
      </c>
      <c r="B576" t="s">
        <v>50</v>
      </c>
      <c r="C576" t="s">
        <v>16</v>
      </c>
      <c r="D576">
        <v>85859</v>
      </c>
      <c r="E576">
        <v>557</v>
      </c>
      <c r="F576">
        <v>170</v>
      </c>
      <c r="G576">
        <v>28900</v>
      </c>
      <c r="H576">
        <v>28900</v>
      </c>
      <c r="I576">
        <v>54757</v>
      </c>
      <c r="J576">
        <v>0</v>
      </c>
      <c r="K576">
        <v>0</v>
      </c>
      <c r="L576">
        <v>3</v>
      </c>
      <c r="M576">
        <v>0</v>
      </c>
      <c r="N576" t="s">
        <v>17</v>
      </c>
      <c r="O576" s="1">
        <f>result[[#This Row],[n_killed_mutants_cumulativa]]/result[[#This Row],[tot_mutants]]</f>
        <v>0</v>
      </c>
    </row>
    <row r="577" spans="1:16" hidden="1" x14ac:dyDescent="0.25">
      <c r="A577" t="s">
        <v>116</v>
      </c>
      <c r="B577" t="s">
        <v>51</v>
      </c>
      <c r="C577" t="s">
        <v>16</v>
      </c>
      <c r="D577">
        <v>99693</v>
      </c>
      <c r="E577">
        <v>630</v>
      </c>
      <c r="F577">
        <v>180</v>
      </c>
      <c r="G577">
        <v>32400</v>
      </c>
      <c r="H577">
        <v>32400</v>
      </c>
      <c r="I577">
        <v>61623</v>
      </c>
      <c r="J577">
        <v>0</v>
      </c>
      <c r="K577">
        <v>0</v>
      </c>
      <c r="L577">
        <v>3</v>
      </c>
      <c r="M577">
        <v>0</v>
      </c>
      <c r="N577" t="s">
        <v>17</v>
      </c>
      <c r="O577" s="1">
        <f>result[[#This Row],[n_killed_mutants_cumulativa]]/result[[#This Row],[tot_mutants]]</f>
        <v>0</v>
      </c>
    </row>
    <row r="578" spans="1:16" hidden="1" x14ac:dyDescent="0.25">
      <c r="A578" t="s">
        <v>116</v>
      </c>
      <c r="B578" t="s">
        <v>22</v>
      </c>
      <c r="C578" t="s">
        <v>16</v>
      </c>
      <c r="D578">
        <v>605436</v>
      </c>
      <c r="E578">
        <v>4343</v>
      </c>
      <c r="F578">
        <v>1710</v>
      </c>
      <c r="G578">
        <v>210900</v>
      </c>
      <c r="H578">
        <v>210900</v>
      </c>
      <c r="I578">
        <v>391242</v>
      </c>
      <c r="J578">
        <v>0</v>
      </c>
      <c r="K578">
        <v>0</v>
      </c>
      <c r="L578">
        <v>3</v>
      </c>
      <c r="M578">
        <v>0</v>
      </c>
      <c r="N578" t="s">
        <v>17</v>
      </c>
      <c r="O578" s="1">
        <f>result[[#This Row],[n_killed_mutants_cumulativa]]/result[[#This Row],[tot_mutants]]</f>
        <v>0</v>
      </c>
      <c r="P578" s="9" t="s">
        <v>351</v>
      </c>
    </row>
    <row r="579" spans="1:16" hidden="1" x14ac:dyDescent="0.25">
      <c r="A579" t="s">
        <v>117</v>
      </c>
      <c r="B579" t="s">
        <v>15</v>
      </c>
      <c r="C579" t="s">
        <v>16</v>
      </c>
      <c r="D579">
        <v>1563</v>
      </c>
      <c r="E579">
        <v>192</v>
      </c>
      <c r="F579">
        <v>2</v>
      </c>
      <c r="G579">
        <v>20</v>
      </c>
      <c r="H579">
        <v>36</v>
      </c>
      <c r="I579">
        <v>43</v>
      </c>
      <c r="J579">
        <v>0</v>
      </c>
      <c r="K579">
        <v>0</v>
      </c>
      <c r="L579">
        <v>3</v>
      </c>
      <c r="M579">
        <v>2</v>
      </c>
      <c r="N579" t="s">
        <v>118</v>
      </c>
      <c r="O579" s="1">
        <f>result[[#This Row],[n_killed_mutants_cumulativa]]/result[[#This Row],[tot_mutants]]</f>
        <v>0.66666666666666663</v>
      </c>
    </row>
    <row r="580" spans="1:16" hidden="1" x14ac:dyDescent="0.25">
      <c r="A580" t="s">
        <v>117</v>
      </c>
      <c r="B580" t="s">
        <v>18</v>
      </c>
      <c r="C580" t="s">
        <v>16</v>
      </c>
      <c r="D580">
        <v>172</v>
      </c>
      <c r="E580">
        <v>159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3</v>
      </c>
      <c r="M580">
        <v>2</v>
      </c>
      <c r="N580" t="s">
        <v>118</v>
      </c>
      <c r="O580" s="1">
        <f>result[[#This Row],[n_killed_mutants_cumulativa]]/result[[#This Row],[tot_mutants]]</f>
        <v>0.66666666666666663</v>
      </c>
    </row>
    <row r="581" spans="1:16" hidden="1" x14ac:dyDescent="0.25">
      <c r="A581" t="s">
        <v>117</v>
      </c>
      <c r="B581" t="s">
        <v>19</v>
      </c>
      <c r="C581" t="s">
        <v>16</v>
      </c>
      <c r="D581">
        <v>210</v>
      </c>
      <c r="E581">
        <v>195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3</v>
      </c>
      <c r="M581">
        <v>2</v>
      </c>
      <c r="N581" t="s">
        <v>118</v>
      </c>
      <c r="O581" s="1">
        <f>result[[#This Row],[n_killed_mutants_cumulativa]]/result[[#This Row],[tot_mutants]]</f>
        <v>0.66666666666666663</v>
      </c>
    </row>
    <row r="582" spans="1:16" hidden="1" x14ac:dyDescent="0.25">
      <c r="A582" t="s">
        <v>117</v>
      </c>
      <c r="B582" t="s">
        <v>20</v>
      </c>
      <c r="C582" t="s">
        <v>16</v>
      </c>
      <c r="D582">
        <v>212</v>
      </c>
      <c r="E582">
        <v>197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3</v>
      </c>
      <c r="M582">
        <v>2</v>
      </c>
      <c r="N582" t="s">
        <v>118</v>
      </c>
      <c r="O582" s="1">
        <f>result[[#This Row],[n_killed_mutants_cumulativa]]/result[[#This Row],[tot_mutants]]</f>
        <v>0.66666666666666663</v>
      </c>
    </row>
    <row r="583" spans="1:16" hidden="1" x14ac:dyDescent="0.25">
      <c r="A583" t="s">
        <v>117</v>
      </c>
      <c r="B583" t="s">
        <v>21</v>
      </c>
      <c r="C583" t="s">
        <v>16</v>
      </c>
      <c r="D583">
        <v>219</v>
      </c>
      <c r="E583">
        <v>206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3</v>
      </c>
      <c r="M583">
        <v>2</v>
      </c>
      <c r="N583" t="s">
        <v>118</v>
      </c>
      <c r="O583" s="1">
        <f>result[[#This Row],[n_killed_mutants_cumulativa]]/result[[#This Row],[tot_mutants]]</f>
        <v>0.66666666666666663</v>
      </c>
    </row>
    <row r="584" spans="1:16" hidden="1" x14ac:dyDescent="0.25">
      <c r="A584" t="s">
        <v>117</v>
      </c>
      <c r="B584" t="s">
        <v>24</v>
      </c>
      <c r="C584" t="s">
        <v>16</v>
      </c>
      <c r="D584">
        <v>230</v>
      </c>
      <c r="E584">
        <v>218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3</v>
      </c>
      <c r="M584">
        <v>2</v>
      </c>
      <c r="N584" t="s">
        <v>118</v>
      </c>
      <c r="O584" s="1">
        <f>result[[#This Row],[n_killed_mutants_cumulativa]]/result[[#This Row],[tot_mutants]]</f>
        <v>0.66666666666666663</v>
      </c>
    </row>
    <row r="585" spans="1:16" hidden="1" x14ac:dyDescent="0.25">
      <c r="A585" t="s">
        <v>117</v>
      </c>
      <c r="B585" t="s">
        <v>25</v>
      </c>
      <c r="C585" t="s">
        <v>16</v>
      </c>
      <c r="D585">
        <v>179</v>
      </c>
      <c r="E585">
        <v>166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3</v>
      </c>
      <c r="M585">
        <v>2</v>
      </c>
      <c r="N585" t="s">
        <v>118</v>
      </c>
      <c r="O585" s="1">
        <f>result[[#This Row],[n_killed_mutants_cumulativa]]/result[[#This Row],[tot_mutants]]</f>
        <v>0.66666666666666663</v>
      </c>
    </row>
    <row r="586" spans="1:16" hidden="1" x14ac:dyDescent="0.25">
      <c r="A586" t="s">
        <v>117</v>
      </c>
      <c r="B586" t="s">
        <v>26</v>
      </c>
      <c r="C586" t="s">
        <v>16</v>
      </c>
      <c r="D586">
        <v>206</v>
      </c>
      <c r="E586">
        <v>195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3</v>
      </c>
      <c r="M586">
        <v>2</v>
      </c>
      <c r="N586" t="s">
        <v>118</v>
      </c>
      <c r="O586" s="1">
        <f>result[[#This Row],[n_killed_mutants_cumulativa]]/result[[#This Row],[tot_mutants]]</f>
        <v>0.66666666666666663</v>
      </c>
    </row>
    <row r="587" spans="1:16" hidden="1" x14ac:dyDescent="0.25">
      <c r="A587" t="s">
        <v>117</v>
      </c>
      <c r="B587" t="s">
        <v>27</v>
      </c>
      <c r="C587" t="s">
        <v>16</v>
      </c>
      <c r="D587">
        <v>305</v>
      </c>
      <c r="E587">
        <v>293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3</v>
      </c>
      <c r="M587">
        <v>2</v>
      </c>
      <c r="N587" t="s">
        <v>118</v>
      </c>
      <c r="O587" s="1">
        <f>result[[#This Row],[n_killed_mutants_cumulativa]]/result[[#This Row],[tot_mutants]]</f>
        <v>0.66666666666666663</v>
      </c>
    </row>
    <row r="588" spans="1:16" hidden="1" x14ac:dyDescent="0.25">
      <c r="A588" t="s">
        <v>117</v>
      </c>
      <c r="B588" t="s">
        <v>30</v>
      </c>
      <c r="C588" t="s">
        <v>16</v>
      </c>
      <c r="D588">
        <v>329</v>
      </c>
      <c r="E588">
        <v>316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3</v>
      </c>
      <c r="M588">
        <v>2</v>
      </c>
      <c r="N588" t="s">
        <v>118</v>
      </c>
      <c r="O588" s="1">
        <f>result[[#This Row],[n_killed_mutants_cumulativa]]/result[[#This Row],[tot_mutants]]</f>
        <v>0.66666666666666663</v>
      </c>
    </row>
    <row r="589" spans="1:16" hidden="1" x14ac:dyDescent="0.25">
      <c r="A589" t="s">
        <v>117</v>
      </c>
      <c r="B589" t="s">
        <v>31</v>
      </c>
      <c r="C589" t="s">
        <v>16</v>
      </c>
      <c r="D589">
        <v>333</v>
      </c>
      <c r="E589">
        <v>321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3</v>
      </c>
      <c r="M589">
        <v>2</v>
      </c>
      <c r="N589" t="s">
        <v>118</v>
      </c>
      <c r="O589" s="1">
        <f>result[[#This Row],[n_killed_mutants_cumulativa]]/result[[#This Row],[tot_mutants]]</f>
        <v>0.66666666666666663</v>
      </c>
    </row>
    <row r="590" spans="1:16" hidden="1" x14ac:dyDescent="0.25">
      <c r="A590" t="s">
        <v>117</v>
      </c>
      <c r="B590" t="s">
        <v>36</v>
      </c>
      <c r="C590" t="s">
        <v>16</v>
      </c>
      <c r="D590">
        <v>324</v>
      </c>
      <c r="E590">
        <v>313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3</v>
      </c>
      <c r="M590">
        <v>2</v>
      </c>
      <c r="N590" t="s">
        <v>118</v>
      </c>
      <c r="O590" s="1">
        <f>result[[#This Row],[n_killed_mutants_cumulativa]]/result[[#This Row],[tot_mutants]]</f>
        <v>0.66666666666666663</v>
      </c>
    </row>
    <row r="591" spans="1:16" hidden="1" x14ac:dyDescent="0.25">
      <c r="A591" t="s">
        <v>117</v>
      </c>
      <c r="B591" t="s">
        <v>40</v>
      </c>
      <c r="C591" t="s">
        <v>16</v>
      </c>
      <c r="D591">
        <v>275</v>
      </c>
      <c r="E591">
        <v>266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3</v>
      </c>
      <c r="M591">
        <v>2</v>
      </c>
      <c r="N591" t="s">
        <v>118</v>
      </c>
      <c r="O591" s="1">
        <f>result[[#This Row],[n_killed_mutants_cumulativa]]/result[[#This Row],[tot_mutants]]</f>
        <v>0.66666666666666663</v>
      </c>
    </row>
    <row r="592" spans="1:16" hidden="1" x14ac:dyDescent="0.25">
      <c r="A592" t="s">
        <v>117</v>
      </c>
      <c r="B592" t="s">
        <v>47</v>
      </c>
      <c r="C592" t="s">
        <v>16</v>
      </c>
      <c r="D592">
        <v>281</v>
      </c>
      <c r="E592">
        <v>272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</v>
      </c>
      <c r="M592">
        <v>2</v>
      </c>
      <c r="N592" t="s">
        <v>118</v>
      </c>
      <c r="O592" s="1">
        <f>result[[#This Row],[n_killed_mutants_cumulativa]]/result[[#This Row],[tot_mutants]]</f>
        <v>0.66666666666666663</v>
      </c>
    </row>
    <row r="593" spans="1:16" hidden="1" x14ac:dyDescent="0.25">
      <c r="A593" t="s">
        <v>117</v>
      </c>
      <c r="B593" t="s">
        <v>48</v>
      </c>
      <c r="C593" t="s">
        <v>16</v>
      </c>
      <c r="D593">
        <v>279</v>
      </c>
      <c r="E593">
        <v>270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3</v>
      </c>
      <c r="M593">
        <v>2</v>
      </c>
      <c r="N593" t="s">
        <v>118</v>
      </c>
      <c r="O593" s="1">
        <f>result[[#This Row],[n_killed_mutants_cumulativa]]/result[[#This Row],[tot_mutants]]</f>
        <v>0.66666666666666663</v>
      </c>
    </row>
    <row r="594" spans="1:16" hidden="1" x14ac:dyDescent="0.25">
      <c r="A594" t="s">
        <v>117</v>
      </c>
      <c r="B594" t="s">
        <v>49</v>
      </c>
      <c r="C594" t="s">
        <v>16</v>
      </c>
      <c r="D594">
        <v>305</v>
      </c>
      <c r="E594">
        <v>295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3</v>
      </c>
      <c r="M594">
        <v>2</v>
      </c>
      <c r="N594" t="s">
        <v>118</v>
      </c>
      <c r="O594" s="1">
        <f>result[[#This Row],[n_killed_mutants_cumulativa]]/result[[#This Row],[tot_mutants]]</f>
        <v>0.66666666666666663</v>
      </c>
    </row>
    <row r="595" spans="1:16" hidden="1" x14ac:dyDescent="0.25">
      <c r="A595" t="s">
        <v>117</v>
      </c>
      <c r="B595" t="s">
        <v>50</v>
      </c>
      <c r="C595" t="s">
        <v>16</v>
      </c>
      <c r="D595">
        <v>329</v>
      </c>
      <c r="E595">
        <v>320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3</v>
      </c>
      <c r="M595">
        <v>2</v>
      </c>
      <c r="N595" t="s">
        <v>118</v>
      </c>
      <c r="O595" s="1">
        <f>result[[#This Row],[n_killed_mutants_cumulativa]]/result[[#This Row],[tot_mutants]]</f>
        <v>0.66666666666666663</v>
      </c>
    </row>
    <row r="596" spans="1:16" hidden="1" x14ac:dyDescent="0.25">
      <c r="A596" t="s">
        <v>117</v>
      </c>
      <c r="B596" t="s">
        <v>51</v>
      </c>
      <c r="C596" t="s">
        <v>16</v>
      </c>
      <c r="D596">
        <v>315</v>
      </c>
      <c r="E596">
        <v>306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3</v>
      </c>
      <c r="M596">
        <v>2</v>
      </c>
      <c r="N596" t="s">
        <v>118</v>
      </c>
      <c r="O596" s="1">
        <f>result[[#This Row],[n_killed_mutants_cumulativa]]/result[[#This Row],[tot_mutants]]</f>
        <v>0.66666666666666663</v>
      </c>
    </row>
    <row r="597" spans="1:16" hidden="1" x14ac:dyDescent="0.25">
      <c r="A597" t="s">
        <v>117</v>
      </c>
      <c r="B597" t="s">
        <v>52</v>
      </c>
      <c r="C597" t="s">
        <v>16</v>
      </c>
      <c r="D597">
        <v>346</v>
      </c>
      <c r="E597">
        <v>338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3</v>
      </c>
      <c r="M597">
        <v>2</v>
      </c>
      <c r="N597" t="s">
        <v>118</v>
      </c>
      <c r="O597" s="1">
        <f>result[[#This Row],[n_killed_mutants_cumulativa]]/result[[#This Row],[tot_mutants]]</f>
        <v>0.66666666666666663</v>
      </c>
    </row>
    <row r="598" spans="1:16" hidden="1" x14ac:dyDescent="0.25">
      <c r="A598" t="s">
        <v>117</v>
      </c>
      <c r="B598" t="s">
        <v>53</v>
      </c>
      <c r="C598" t="s">
        <v>16</v>
      </c>
      <c r="D598">
        <v>369</v>
      </c>
      <c r="E598">
        <v>360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3</v>
      </c>
      <c r="M598">
        <v>2</v>
      </c>
      <c r="N598" t="s">
        <v>118</v>
      </c>
      <c r="O598" s="1">
        <f>result[[#This Row],[n_killed_mutants_cumulativa]]/result[[#This Row],[tot_mutants]]</f>
        <v>0.66666666666666663</v>
      </c>
    </row>
    <row r="599" spans="1:16" x14ac:dyDescent="0.25">
      <c r="A599" t="s">
        <v>117</v>
      </c>
      <c r="B599" t="s">
        <v>22</v>
      </c>
      <c r="C599" t="s">
        <v>16</v>
      </c>
      <c r="D599">
        <v>6781</v>
      </c>
      <c r="E599">
        <v>5198</v>
      </c>
      <c r="F599">
        <v>2</v>
      </c>
      <c r="G599">
        <v>20</v>
      </c>
      <c r="H599">
        <v>36</v>
      </c>
      <c r="I599">
        <v>43</v>
      </c>
      <c r="J599">
        <v>0</v>
      </c>
      <c r="K599">
        <v>0</v>
      </c>
      <c r="L599">
        <v>3</v>
      </c>
      <c r="M599">
        <v>2</v>
      </c>
      <c r="N599" t="s">
        <v>118</v>
      </c>
      <c r="O599" s="1">
        <f>result[[#This Row],[n_killed_mutants_cumulativa]]/result[[#This Row],[tot_mutants]]</f>
        <v>0.66666666666666663</v>
      </c>
      <c r="P599" s="9" t="s">
        <v>363</v>
      </c>
    </row>
    <row r="600" spans="1:16" hidden="1" x14ac:dyDescent="0.25">
      <c r="A600" t="s">
        <v>119</v>
      </c>
      <c r="B600" t="s">
        <v>15</v>
      </c>
      <c r="C600" t="s">
        <v>16</v>
      </c>
      <c r="D600">
        <v>566</v>
      </c>
      <c r="E600">
        <v>300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2</v>
      </c>
      <c r="M600">
        <v>0</v>
      </c>
      <c r="N600" t="s">
        <v>17</v>
      </c>
      <c r="O600" s="1">
        <f>result[[#This Row],[n_killed_mutants_cumulativa]]/result[[#This Row],[tot_mutants]]</f>
        <v>0</v>
      </c>
    </row>
    <row r="601" spans="1:16" hidden="1" x14ac:dyDescent="0.25">
      <c r="A601" t="s">
        <v>119</v>
      </c>
      <c r="B601" t="s">
        <v>18</v>
      </c>
      <c r="C601" t="s">
        <v>16</v>
      </c>
      <c r="D601">
        <v>455</v>
      </c>
      <c r="E601">
        <v>289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2</v>
      </c>
      <c r="M601">
        <v>0</v>
      </c>
      <c r="N601" t="s">
        <v>17</v>
      </c>
      <c r="O601" s="1">
        <f>result[[#This Row],[n_killed_mutants_cumulativa]]/result[[#This Row],[tot_mutants]]</f>
        <v>0</v>
      </c>
    </row>
    <row r="602" spans="1:16" hidden="1" x14ac:dyDescent="0.25">
      <c r="A602" t="s">
        <v>119</v>
      </c>
      <c r="B602" t="s">
        <v>19</v>
      </c>
      <c r="C602" t="s">
        <v>16</v>
      </c>
      <c r="D602">
        <v>333</v>
      </c>
      <c r="E602">
        <v>183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2</v>
      </c>
      <c r="M602">
        <v>0</v>
      </c>
      <c r="N602" t="s">
        <v>17</v>
      </c>
      <c r="O602" s="1">
        <f>result[[#This Row],[n_killed_mutants_cumulativa]]/result[[#This Row],[tot_mutants]]</f>
        <v>0</v>
      </c>
    </row>
    <row r="603" spans="1:16" hidden="1" x14ac:dyDescent="0.25">
      <c r="A603" t="s">
        <v>119</v>
      </c>
      <c r="B603" t="s">
        <v>20</v>
      </c>
      <c r="C603" t="s">
        <v>16</v>
      </c>
      <c r="D603">
        <v>515</v>
      </c>
      <c r="E603">
        <v>379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2</v>
      </c>
      <c r="M603">
        <v>0</v>
      </c>
      <c r="N603" t="s">
        <v>17</v>
      </c>
      <c r="O603" s="1">
        <f>result[[#This Row],[n_killed_mutants_cumulativa]]/result[[#This Row],[tot_mutants]]</f>
        <v>0</v>
      </c>
    </row>
    <row r="604" spans="1:16" hidden="1" x14ac:dyDescent="0.25">
      <c r="A604" t="s">
        <v>119</v>
      </c>
      <c r="B604" t="s">
        <v>21</v>
      </c>
      <c r="C604" t="s">
        <v>16</v>
      </c>
      <c r="D604">
        <v>482</v>
      </c>
      <c r="E604">
        <v>356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</v>
      </c>
      <c r="M604">
        <v>0</v>
      </c>
      <c r="N604" t="s">
        <v>17</v>
      </c>
      <c r="O604" s="1">
        <f>result[[#This Row],[n_killed_mutants_cumulativa]]/result[[#This Row],[tot_mutants]]</f>
        <v>0</v>
      </c>
    </row>
    <row r="605" spans="1:16" hidden="1" x14ac:dyDescent="0.25">
      <c r="A605" t="s">
        <v>119</v>
      </c>
      <c r="B605" t="s">
        <v>22</v>
      </c>
      <c r="C605" t="s">
        <v>16</v>
      </c>
      <c r="D605">
        <v>2351</v>
      </c>
      <c r="E605">
        <v>1507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2</v>
      </c>
      <c r="M605">
        <v>0</v>
      </c>
      <c r="N605" t="s">
        <v>17</v>
      </c>
      <c r="O605" s="1">
        <f>result[[#This Row],[n_killed_mutants_cumulativa]]/result[[#This Row],[tot_mutants]]</f>
        <v>0</v>
      </c>
    </row>
    <row r="606" spans="1:16" hidden="1" x14ac:dyDescent="0.25">
      <c r="A606" t="s">
        <v>120</v>
      </c>
      <c r="B606" t="s">
        <v>15</v>
      </c>
      <c r="C606" t="s">
        <v>16</v>
      </c>
      <c r="D606">
        <v>1738</v>
      </c>
      <c r="E606">
        <v>170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10</v>
      </c>
      <c r="L606">
        <v>4</v>
      </c>
      <c r="M606">
        <v>0</v>
      </c>
      <c r="N606" t="s">
        <v>17</v>
      </c>
      <c r="O606" s="1">
        <f>result[[#This Row],[n_killed_mutants_cumulativa]]/result[[#This Row],[tot_mutants]]</f>
        <v>0</v>
      </c>
    </row>
    <row r="607" spans="1:16" hidden="1" x14ac:dyDescent="0.25">
      <c r="A607" t="s">
        <v>120</v>
      </c>
      <c r="B607" t="s">
        <v>18</v>
      </c>
      <c r="C607" t="s">
        <v>16</v>
      </c>
      <c r="D607">
        <v>1500</v>
      </c>
      <c r="E607">
        <v>277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20</v>
      </c>
      <c r="L607">
        <v>4</v>
      </c>
      <c r="M607">
        <v>0</v>
      </c>
      <c r="N607" t="s">
        <v>17</v>
      </c>
      <c r="O607" s="1">
        <f>result[[#This Row],[n_killed_mutants_cumulativa]]/result[[#This Row],[tot_mutants]]</f>
        <v>0</v>
      </c>
    </row>
    <row r="608" spans="1:16" hidden="1" x14ac:dyDescent="0.25">
      <c r="A608" t="s">
        <v>120</v>
      </c>
      <c r="B608" t="s">
        <v>19</v>
      </c>
      <c r="C608" t="s">
        <v>16</v>
      </c>
      <c r="D608">
        <v>1733</v>
      </c>
      <c r="E608">
        <v>314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30</v>
      </c>
      <c r="L608">
        <v>4</v>
      </c>
      <c r="M608">
        <v>0</v>
      </c>
      <c r="N608" t="s">
        <v>17</v>
      </c>
      <c r="O608" s="1">
        <f>result[[#This Row],[n_killed_mutants_cumulativa]]/result[[#This Row],[tot_mutants]]</f>
        <v>0</v>
      </c>
    </row>
    <row r="609" spans="1:16" hidden="1" x14ac:dyDescent="0.25">
      <c r="A609" t="s">
        <v>120</v>
      </c>
      <c r="B609" t="s">
        <v>20</v>
      </c>
      <c r="C609" t="s">
        <v>16</v>
      </c>
      <c r="D609">
        <v>2242</v>
      </c>
      <c r="E609">
        <v>440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40</v>
      </c>
      <c r="L609">
        <v>4</v>
      </c>
      <c r="M609">
        <v>0</v>
      </c>
      <c r="N609" t="s">
        <v>17</v>
      </c>
      <c r="O609" s="1">
        <f>result[[#This Row],[n_killed_mutants_cumulativa]]/result[[#This Row],[tot_mutants]]</f>
        <v>0</v>
      </c>
    </row>
    <row r="610" spans="1:16" hidden="1" x14ac:dyDescent="0.25">
      <c r="A610" t="s">
        <v>120</v>
      </c>
      <c r="B610" t="s">
        <v>21</v>
      </c>
      <c r="C610" t="s">
        <v>16</v>
      </c>
      <c r="D610">
        <v>3192</v>
      </c>
      <c r="E610">
        <v>463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50</v>
      </c>
      <c r="L610">
        <v>4</v>
      </c>
      <c r="M610">
        <v>0</v>
      </c>
      <c r="N610" t="s">
        <v>17</v>
      </c>
      <c r="O610" s="1">
        <f>result[[#This Row],[n_killed_mutants_cumulativa]]/result[[#This Row],[tot_mutants]]</f>
        <v>0</v>
      </c>
    </row>
    <row r="611" spans="1:16" hidden="1" x14ac:dyDescent="0.25">
      <c r="A611" t="s">
        <v>120</v>
      </c>
      <c r="B611" t="s">
        <v>22</v>
      </c>
      <c r="C611" t="s">
        <v>16</v>
      </c>
      <c r="D611">
        <v>10405</v>
      </c>
      <c r="E611">
        <v>1664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150</v>
      </c>
      <c r="L611">
        <v>4</v>
      </c>
      <c r="M611">
        <v>0</v>
      </c>
      <c r="N611" t="s">
        <v>17</v>
      </c>
      <c r="O611" s="1">
        <f>result[[#This Row],[n_killed_mutants_cumulativa]]/result[[#This Row],[tot_mutants]]</f>
        <v>0</v>
      </c>
    </row>
    <row r="612" spans="1:16" hidden="1" x14ac:dyDescent="0.25">
      <c r="A612" t="s">
        <v>121</v>
      </c>
      <c r="B612" t="s">
        <v>15</v>
      </c>
      <c r="C612" t="s">
        <v>16</v>
      </c>
      <c r="D612">
        <v>3188</v>
      </c>
      <c r="E612">
        <v>721</v>
      </c>
      <c r="F612">
        <v>0</v>
      </c>
      <c r="G612">
        <v>0</v>
      </c>
      <c r="H612">
        <v>0</v>
      </c>
      <c r="I612">
        <v>0</v>
      </c>
      <c r="J612">
        <v>9</v>
      </c>
      <c r="K612">
        <v>1</v>
      </c>
      <c r="L612">
        <v>31</v>
      </c>
      <c r="M612">
        <v>0</v>
      </c>
      <c r="N612" t="s">
        <v>17</v>
      </c>
      <c r="O612" s="1">
        <f>result[[#This Row],[n_killed_mutants_cumulativa]]/result[[#This Row],[tot_mutants]]</f>
        <v>0</v>
      </c>
    </row>
    <row r="613" spans="1:16" hidden="1" x14ac:dyDescent="0.25">
      <c r="A613" t="s">
        <v>121</v>
      </c>
      <c r="B613" t="s">
        <v>18</v>
      </c>
      <c r="C613" t="s">
        <v>16</v>
      </c>
      <c r="D613">
        <v>2615</v>
      </c>
      <c r="E613">
        <v>965</v>
      </c>
      <c r="F613">
        <v>0</v>
      </c>
      <c r="G613">
        <v>0</v>
      </c>
      <c r="H613">
        <v>0</v>
      </c>
      <c r="I613">
        <v>0</v>
      </c>
      <c r="J613">
        <v>10</v>
      </c>
      <c r="K613">
        <v>10</v>
      </c>
      <c r="L613">
        <v>31</v>
      </c>
      <c r="M613">
        <v>0</v>
      </c>
      <c r="N613" t="s">
        <v>17</v>
      </c>
      <c r="O613" s="1">
        <f>result[[#This Row],[n_killed_mutants_cumulativa]]/result[[#This Row],[tot_mutants]]</f>
        <v>0</v>
      </c>
    </row>
    <row r="614" spans="1:16" hidden="1" x14ac:dyDescent="0.25">
      <c r="A614" t="s">
        <v>121</v>
      </c>
      <c r="B614" t="s">
        <v>19</v>
      </c>
      <c r="C614" t="s">
        <v>16</v>
      </c>
      <c r="D614">
        <v>3870</v>
      </c>
      <c r="E614">
        <v>1622</v>
      </c>
      <c r="F614">
        <v>0</v>
      </c>
      <c r="G614">
        <v>0</v>
      </c>
      <c r="H614">
        <v>0</v>
      </c>
      <c r="I614">
        <v>0</v>
      </c>
      <c r="J614">
        <v>18</v>
      </c>
      <c r="K614">
        <v>12</v>
      </c>
      <c r="L614">
        <v>31</v>
      </c>
      <c r="M614">
        <v>0</v>
      </c>
      <c r="N614" t="s">
        <v>17</v>
      </c>
      <c r="O614" s="1">
        <f>result[[#This Row],[n_killed_mutants_cumulativa]]/result[[#This Row],[tot_mutants]]</f>
        <v>0</v>
      </c>
    </row>
    <row r="615" spans="1:16" hidden="1" x14ac:dyDescent="0.25">
      <c r="A615" t="s">
        <v>121</v>
      </c>
      <c r="B615" t="s">
        <v>20</v>
      </c>
      <c r="C615" t="s">
        <v>16</v>
      </c>
      <c r="D615">
        <v>5039</v>
      </c>
      <c r="E615">
        <v>2305</v>
      </c>
      <c r="F615">
        <v>0</v>
      </c>
      <c r="G615">
        <v>0</v>
      </c>
      <c r="H615">
        <v>0</v>
      </c>
      <c r="I615">
        <v>0</v>
      </c>
      <c r="J615">
        <v>23</v>
      </c>
      <c r="K615">
        <v>17</v>
      </c>
      <c r="L615">
        <v>31</v>
      </c>
      <c r="M615">
        <v>0</v>
      </c>
      <c r="N615" t="s">
        <v>17</v>
      </c>
      <c r="O615" s="1">
        <f>result[[#This Row],[n_killed_mutants_cumulativa]]/result[[#This Row],[tot_mutants]]</f>
        <v>0</v>
      </c>
    </row>
    <row r="616" spans="1:16" hidden="1" x14ac:dyDescent="0.25">
      <c r="A616" t="s">
        <v>121</v>
      </c>
      <c r="B616" t="s">
        <v>21</v>
      </c>
      <c r="C616" t="s">
        <v>16</v>
      </c>
      <c r="D616">
        <v>7104</v>
      </c>
      <c r="E616">
        <v>3661</v>
      </c>
      <c r="F616">
        <v>0</v>
      </c>
      <c r="G616">
        <v>0</v>
      </c>
      <c r="H616">
        <v>0</v>
      </c>
      <c r="I616">
        <v>0</v>
      </c>
      <c r="J616">
        <v>28</v>
      </c>
      <c r="K616">
        <v>22</v>
      </c>
      <c r="L616">
        <v>31</v>
      </c>
      <c r="M616">
        <v>0</v>
      </c>
      <c r="N616" t="s">
        <v>17</v>
      </c>
      <c r="O616" s="1">
        <f>result[[#This Row],[n_killed_mutants_cumulativa]]/result[[#This Row],[tot_mutants]]</f>
        <v>0</v>
      </c>
    </row>
    <row r="617" spans="1:16" hidden="1" x14ac:dyDescent="0.25">
      <c r="A617" t="s">
        <v>121</v>
      </c>
      <c r="B617" t="s">
        <v>22</v>
      </c>
      <c r="C617" t="s">
        <v>16</v>
      </c>
      <c r="D617">
        <v>21816</v>
      </c>
      <c r="E617">
        <v>9274</v>
      </c>
      <c r="F617">
        <v>0</v>
      </c>
      <c r="G617">
        <v>0</v>
      </c>
      <c r="H617">
        <v>0</v>
      </c>
      <c r="I617">
        <v>0</v>
      </c>
      <c r="J617">
        <v>88</v>
      </c>
      <c r="K617">
        <v>62</v>
      </c>
      <c r="L617">
        <v>31</v>
      </c>
      <c r="M617">
        <v>0</v>
      </c>
      <c r="N617" t="s">
        <v>17</v>
      </c>
      <c r="O617" s="1">
        <f>result[[#This Row],[n_killed_mutants_cumulativa]]/result[[#This Row],[tot_mutants]]</f>
        <v>0</v>
      </c>
    </row>
    <row r="618" spans="1:16" hidden="1" x14ac:dyDescent="0.25">
      <c r="A618" t="s">
        <v>122</v>
      </c>
      <c r="B618" t="s">
        <v>15</v>
      </c>
      <c r="C618" t="s">
        <v>16</v>
      </c>
      <c r="D618">
        <v>30890</v>
      </c>
      <c r="E618">
        <v>444</v>
      </c>
      <c r="F618">
        <v>10</v>
      </c>
      <c r="G618">
        <v>100</v>
      </c>
      <c r="H618">
        <v>100</v>
      </c>
      <c r="I618">
        <v>218</v>
      </c>
      <c r="J618">
        <v>0</v>
      </c>
      <c r="K618">
        <v>0</v>
      </c>
      <c r="L618">
        <v>66</v>
      </c>
      <c r="M618">
        <v>0</v>
      </c>
      <c r="N618" t="s">
        <v>17</v>
      </c>
      <c r="O618" s="1">
        <f>result[[#This Row],[n_killed_mutants_cumulativa]]/result[[#This Row],[tot_mutants]]</f>
        <v>0</v>
      </c>
    </row>
    <row r="619" spans="1:16" hidden="1" x14ac:dyDescent="0.25">
      <c r="A619" t="s">
        <v>122</v>
      </c>
      <c r="B619" t="s">
        <v>18</v>
      </c>
      <c r="C619" t="s">
        <v>16</v>
      </c>
      <c r="D619">
        <v>71062</v>
      </c>
      <c r="E619">
        <v>281</v>
      </c>
      <c r="F619">
        <v>20</v>
      </c>
      <c r="G619">
        <v>400</v>
      </c>
      <c r="H619">
        <v>400</v>
      </c>
      <c r="I619">
        <v>1048</v>
      </c>
      <c r="J619">
        <v>0</v>
      </c>
      <c r="K619">
        <v>0</v>
      </c>
      <c r="L619">
        <v>66</v>
      </c>
      <c r="M619">
        <v>1</v>
      </c>
      <c r="N619" t="s">
        <v>123</v>
      </c>
      <c r="O619" s="1">
        <f>result[[#This Row],[n_killed_mutants_cumulativa]]/result[[#This Row],[tot_mutants]]</f>
        <v>1.5151515151515152E-2</v>
      </c>
    </row>
    <row r="620" spans="1:16" hidden="1" x14ac:dyDescent="0.25">
      <c r="A620" t="s">
        <v>122</v>
      </c>
      <c r="B620" t="s">
        <v>19</v>
      </c>
      <c r="C620" t="s">
        <v>16</v>
      </c>
      <c r="D620">
        <v>131135</v>
      </c>
      <c r="E620">
        <v>608</v>
      </c>
      <c r="F620">
        <v>30</v>
      </c>
      <c r="G620">
        <v>900</v>
      </c>
      <c r="H620">
        <v>900</v>
      </c>
      <c r="I620">
        <v>2798</v>
      </c>
      <c r="J620">
        <v>0</v>
      </c>
      <c r="K620">
        <v>0</v>
      </c>
      <c r="L620">
        <v>66</v>
      </c>
      <c r="M620">
        <v>1</v>
      </c>
      <c r="N620" t="s">
        <v>123</v>
      </c>
      <c r="O620" s="1">
        <f>result[[#This Row],[n_killed_mutants_cumulativa]]/result[[#This Row],[tot_mutants]]</f>
        <v>1.5151515151515152E-2</v>
      </c>
    </row>
    <row r="621" spans="1:16" hidden="1" x14ac:dyDescent="0.25">
      <c r="A621" t="s">
        <v>122</v>
      </c>
      <c r="B621" t="s">
        <v>20</v>
      </c>
      <c r="C621" t="s">
        <v>16</v>
      </c>
      <c r="D621">
        <v>208620</v>
      </c>
      <c r="E621">
        <v>1018</v>
      </c>
      <c r="F621">
        <v>40</v>
      </c>
      <c r="G621">
        <v>1600</v>
      </c>
      <c r="H621">
        <v>1600</v>
      </c>
      <c r="I621">
        <v>5007</v>
      </c>
      <c r="J621">
        <v>0</v>
      </c>
      <c r="K621">
        <v>0</v>
      </c>
      <c r="L621">
        <v>66</v>
      </c>
      <c r="M621">
        <v>1</v>
      </c>
      <c r="N621" t="s">
        <v>123</v>
      </c>
      <c r="O621" s="1">
        <f>result[[#This Row],[n_killed_mutants_cumulativa]]/result[[#This Row],[tot_mutants]]</f>
        <v>1.5151515151515152E-2</v>
      </c>
    </row>
    <row r="622" spans="1:16" hidden="1" x14ac:dyDescent="0.25">
      <c r="A622" t="s">
        <v>122</v>
      </c>
      <c r="B622" t="s">
        <v>21</v>
      </c>
      <c r="C622" t="s">
        <v>16</v>
      </c>
      <c r="D622">
        <v>307404</v>
      </c>
      <c r="E622">
        <v>1554</v>
      </c>
      <c r="F622">
        <v>50</v>
      </c>
      <c r="G622">
        <v>2500</v>
      </c>
      <c r="H622">
        <v>2500</v>
      </c>
      <c r="I622">
        <v>8269</v>
      </c>
      <c r="J622">
        <v>0</v>
      </c>
      <c r="K622">
        <v>0</v>
      </c>
      <c r="L622">
        <v>66</v>
      </c>
      <c r="M622">
        <v>1</v>
      </c>
      <c r="N622" t="s">
        <v>123</v>
      </c>
      <c r="O622" s="1">
        <f>result[[#This Row],[n_killed_mutants_cumulativa]]/result[[#This Row],[tot_mutants]]</f>
        <v>1.5151515151515152E-2</v>
      </c>
    </row>
    <row r="623" spans="1:16" x14ac:dyDescent="0.25">
      <c r="A623" t="s">
        <v>122</v>
      </c>
      <c r="B623" t="s">
        <v>22</v>
      </c>
      <c r="C623" t="s">
        <v>16</v>
      </c>
      <c r="D623">
        <v>749111</v>
      </c>
      <c r="E623">
        <v>3905</v>
      </c>
      <c r="F623">
        <v>150</v>
      </c>
      <c r="G623">
        <v>5500</v>
      </c>
      <c r="H623">
        <v>5500</v>
      </c>
      <c r="I623">
        <v>17340</v>
      </c>
      <c r="J623">
        <v>0</v>
      </c>
      <c r="K623">
        <v>0</v>
      </c>
      <c r="L623">
        <v>66</v>
      </c>
      <c r="M623">
        <v>1</v>
      </c>
      <c r="N623" t="s">
        <v>123</v>
      </c>
      <c r="O623" s="1">
        <f>result[[#This Row],[n_killed_mutants_cumulativa]]/result[[#This Row],[tot_mutants]]</f>
        <v>1.5151515151515152E-2</v>
      </c>
      <c r="P623" s="9" t="s">
        <v>360</v>
      </c>
    </row>
    <row r="624" spans="1:16" hidden="1" x14ac:dyDescent="0.25">
      <c r="A624" t="s">
        <v>124</v>
      </c>
      <c r="B624" t="s">
        <v>15</v>
      </c>
      <c r="C624" t="s">
        <v>16</v>
      </c>
      <c r="D624">
        <v>4193</v>
      </c>
      <c r="E624">
        <v>2704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10</v>
      </c>
      <c r="L624">
        <v>7</v>
      </c>
      <c r="M624">
        <v>0</v>
      </c>
      <c r="N624" t="s">
        <v>17</v>
      </c>
      <c r="O624" s="1">
        <f>result[[#This Row],[n_killed_mutants_cumulativa]]/result[[#This Row],[tot_mutants]]</f>
        <v>0</v>
      </c>
    </row>
    <row r="625" spans="1:15" hidden="1" x14ac:dyDescent="0.25">
      <c r="A625" t="s">
        <v>124</v>
      </c>
      <c r="B625" t="s">
        <v>18</v>
      </c>
      <c r="C625" t="s">
        <v>16</v>
      </c>
      <c r="D625">
        <v>13272</v>
      </c>
      <c r="E625">
        <v>12389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20</v>
      </c>
      <c r="L625">
        <v>7</v>
      </c>
      <c r="M625">
        <v>0</v>
      </c>
      <c r="N625" t="s">
        <v>17</v>
      </c>
      <c r="O625" s="1">
        <f>result[[#This Row],[n_killed_mutants_cumulativa]]/result[[#This Row],[tot_mutants]]</f>
        <v>0</v>
      </c>
    </row>
    <row r="626" spans="1:15" hidden="1" x14ac:dyDescent="0.25">
      <c r="A626" t="s">
        <v>124</v>
      </c>
      <c r="B626" t="s">
        <v>19</v>
      </c>
      <c r="C626" t="s">
        <v>16</v>
      </c>
      <c r="D626">
        <v>38172</v>
      </c>
      <c r="E626">
        <v>37162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30</v>
      </c>
      <c r="L626">
        <v>7</v>
      </c>
      <c r="M626">
        <v>0</v>
      </c>
      <c r="N626" t="s">
        <v>17</v>
      </c>
      <c r="O626" s="1">
        <f>result[[#This Row],[n_killed_mutants_cumulativa]]/result[[#This Row],[tot_mutants]]</f>
        <v>0</v>
      </c>
    </row>
    <row r="627" spans="1:15" hidden="1" x14ac:dyDescent="0.25">
      <c r="A627" t="s">
        <v>124</v>
      </c>
      <c r="B627" t="s">
        <v>20</v>
      </c>
      <c r="C627" t="s">
        <v>16</v>
      </c>
      <c r="D627">
        <v>87370</v>
      </c>
      <c r="E627">
        <v>86514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40</v>
      </c>
      <c r="L627">
        <v>7</v>
      </c>
      <c r="M627">
        <v>0</v>
      </c>
      <c r="N627" t="s">
        <v>17</v>
      </c>
      <c r="O627" s="1">
        <f>result[[#This Row],[n_killed_mutants_cumulativa]]/result[[#This Row],[tot_mutants]]</f>
        <v>0</v>
      </c>
    </row>
    <row r="628" spans="1:15" hidden="1" x14ac:dyDescent="0.25">
      <c r="A628" t="s">
        <v>124</v>
      </c>
      <c r="B628" t="s">
        <v>21</v>
      </c>
      <c r="C628" t="s">
        <v>16</v>
      </c>
      <c r="D628">
        <v>165382</v>
      </c>
      <c r="E628">
        <v>164356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50</v>
      </c>
      <c r="L628">
        <v>7</v>
      </c>
      <c r="M628">
        <v>0</v>
      </c>
      <c r="N628" t="s">
        <v>17</v>
      </c>
      <c r="O628" s="1">
        <f>result[[#This Row],[n_killed_mutants_cumulativa]]/result[[#This Row],[tot_mutants]]</f>
        <v>0</v>
      </c>
    </row>
    <row r="629" spans="1:15" hidden="1" x14ac:dyDescent="0.25">
      <c r="A629" t="s">
        <v>124</v>
      </c>
      <c r="B629" t="s">
        <v>22</v>
      </c>
      <c r="C629" t="s">
        <v>16</v>
      </c>
      <c r="D629">
        <v>308389</v>
      </c>
      <c r="E629">
        <v>303125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150</v>
      </c>
      <c r="L629">
        <v>7</v>
      </c>
      <c r="M629">
        <v>0</v>
      </c>
      <c r="N629" t="s">
        <v>17</v>
      </c>
      <c r="O629" s="1">
        <f>result[[#This Row],[n_killed_mutants_cumulativa]]/result[[#This Row],[tot_mutants]]</f>
        <v>0</v>
      </c>
    </row>
    <row r="630" spans="1:15" hidden="1" x14ac:dyDescent="0.25">
      <c r="A630" t="s">
        <v>125</v>
      </c>
      <c r="B630" t="s">
        <v>15</v>
      </c>
      <c r="C630" t="s">
        <v>16</v>
      </c>
      <c r="D630">
        <v>2868</v>
      </c>
      <c r="E630">
        <v>103</v>
      </c>
      <c r="F630">
        <v>10</v>
      </c>
      <c r="G630">
        <v>100</v>
      </c>
      <c r="H630">
        <v>23</v>
      </c>
      <c r="I630">
        <v>274</v>
      </c>
      <c r="J630">
        <v>0</v>
      </c>
      <c r="K630">
        <v>0</v>
      </c>
      <c r="L630">
        <v>2</v>
      </c>
      <c r="M630">
        <v>0</v>
      </c>
      <c r="N630" t="s">
        <v>17</v>
      </c>
      <c r="O630" s="1">
        <f>result[[#This Row],[n_killed_mutants_cumulativa]]/result[[#This Row],[tot_mutants]]</f>
        <v>0</v>
      </c>
    </row>
    <row r="631" spans="1:15" hidden="1" x14ac:dyDescent="0.25">
      <c r="A631" t="s">
        <v>125</v>
      </c>
      <c r="B631" t="s">
        <v>18</v>
      </c>
      <c r="C631" t="s">
        <v>16</v>
      </c>
      <c r="D631">
        <v>2538</v>
      </c>
      <c r="E631">
        <v>88</v>
      </c>
      <c r="F631">
        <v>20</v>
      </c>
      <c r="G631">
        <v>400</v>
      </c>
      <c r="H631">
        <v>40</v>
      </c>
      <c r="I631">
        <v>1160</v>
      </c>
      <c r="J631">
        <v>0</v>
      </c>
      <c r="K631">
        <v>0</v>
      </c>
      <c r="L631">
        <v>2</v>
      </c>
      <c r="M631">
        <v>0</v>
      </c>
      <c r="N631" t="s">
        <v>17</v>
      </c>
      <c r="O631" s="1">
        <f>result[[#This Row],[n_killed_mutants_cumulativa]]/result[[#This Row],[tot_mutants]]</f>
        <v>0</v>
      </c>
    </row>
    <row r="632" spans="1:15" hidden="1" x14ac:dyDescent="0.25">
      <c r="A632" t="s">
        <v>125</v>
      </c>
      <c r="B632" t="s">
        <v>19</v>
      </c>
      <c r="C632" t="s">
        <v>16</v>
      </c>
      <c r="D632">
        <v>3868</v>
      </c>
      <c r="E632">
        <v>54</v>
      </c>
      <c r="F632">
        <v>30</v>
      </c>
      <c r="G632">
        <v>900</v>
      </c>
      <c r="H632">
        <v>63</v>
      </c>
      <c r="I632">
        <v>2634</v>
      </c>
      <c r="J632">
        <v>0</v>
      </c>
      <c r="K632">
        <v>0</v>
      </c>
      <c r="L632">
        <v>2</v>
      </c>
      <c r="M632">
        <v>0</v>
      </c>
      <c r="N632" t="s">
        <v>17</v>
      </c>
      <c r="O632" s="1">
        <f>result[[#This Row],[n_killed_mutants_cumulativa]]/result[[#This Row],[tot_mutants]]</f>
        <v>0</v>
      </c>
    </row>
    <row r="633" spans="1:15" hidden="1" x14ac:dyDescent="0.25">
      <c r="A633" t="s">
        <v>125</v>
      </c>
      <c r="B633" t="s">
        <v>20</v>
      </c>
      <c r="C633" t="s">
        <v>16</v>
      </c>
      <c r="D633">
        <v>4945</v>
      </c>
      <c r="E633">
        <v>64</v>
      </c>
      <c r="F633">
        <v>40</v>
      </c>
      <c r="G633">
        <v>1600</v>
      </c>
      <c r="H633">
        <v>89</v>
      </c>
      <c r="I633">
        <v>4702</v>
      </c>
      <c r="J633">
        <v>0</v>
      </c>
      <c r="K633">
        <v>0</v>
      </c>
      <c r="L633">
        <v>2</v>
      </c>
      <c r="M633">
        <v>0</v>
      </c>
      <c r="N633" t="s">
        <v>17</v>
      </c>
      <c r="O633" s="1">
        <f>result[[#This Row],[n_killed_mutants_cumulativa]]/result[[#This Row],[tot_mutants]]</f>
        <v>0</v>
      </c>
    </row>
    <row r="634" spans="1:15" hidden="1" x14ac:dyDescent="0.25">
      <c r="A634" t="s">
        <v>125</v>
      </c>
      <c r="B634" t="s">
        <v>21</v>
      </c>
      <c r="C634" t="s">
        <v>16</v>
      </c>
      <c r="D634">
        <v>6831</v>
      </c>
      <c r="E634">
        <v>81</v>
      </c>
      <c r="F634">
        <v>50</v>
      </c>
      <c r="G634">
        <v>2500</v>
      </c>
      <c r="H634">
        <v>100</v>
      </c>
      <c r="I634">
        <v>7400</v>
      </c>
      <c r="J634">
        <v>0</v>
      </c>
      <c r="K634">
        <v>0</v>
      </c>
      <c r="L634">
        <v>2</v>
      </c>
      <c r="M634">
        <v>0</v>
      </c>
      <c r="N634" t="s">
        <v>17</v>
      </c>
      <c r="O634" s="1">
        <f>result[[#This Row],[n_killed_mutants_cumulativa]]/result[[#This Row],[tot_mutants]]</f>
        <v>0</v>
      </c>
    </row>
    <row r="635" spans="1:15" hidden="1" x14ac:dyDescent="0.25">
      <c r="A635" t="s">
        <v>125</v>
      </c>
      <c r="B635" t="s">
        <v>24</v>
      </c>
      <c r="C635" t="s">
        <v>16</v>
      </c>
      <c r="D635">
        <v>9332</v>
      </c>
      <c r="E635">
        <v>103</v>
      </c>
      <c r="F635">
        <v>59</v>
      </c>
      <c r="G635">
        <v>3540</v>
      </c>
      <c r="H635">
        <v>136</v>
      </c>
      <c r="I635">
        <v>10466</v>
      </c>
      <c r="J635">
        <v>0</v>
      </c>
      <c r="K635">
        <v>1</v>
      </c>
      <c r="L635">
        <v>2</v>
      </c>
      <c r="M635">
        <v>0</v>
      </c>
      <c r="N635" t="s">
        <v>17</v>
      </c>
      <c r="O635" s="1">
        <f>result[[#This Row],[n_killed_mutants_cumulativa]]/result[[#This Row],[tot_mutants]]</f>
        <v>0</v>
      </c>
    </row>
    <row r="636" spans="1:15" hidden="1" x14ac:dyDescent="0.25">
      <c r="A636" t="s">
        <v>125</v>
      </c>
      <c r="B636" t="s">
        <v>25</v>
      </c>
      <c r="C636" t="s">
        <v>16</v>
      </c>
      <c r="D636">
        <v>6156</v>
      </c>
      <c r="E636">
        <v>143</v>
      </c>
      <c r="F636">
        <v>17</v>
      </c>
      <c r="G636">
        <v>1190</v>
      </c>
      <c r="H636">
        <v>32</v>
      </c>
      <c r="I636">
        <v>3540</v>
      </c>
      <c r="J636">
        <v>0</v>
      </c>
      <c r="K636">
        <v>53</v>
      </c>
      <c r="L636">
        <v>2</v>
      </c>
      <c r="M636">
        <v>0</v>
      </c>
      <c r="N636" t="s">
        <v>17</v>
      </c>
      <c r="O636" s="1">
        <f>result[[#This Row],[n_killed_mutants_cumulativa]]/result[[#This Row],[tot_mutants]]</f>
        <v>0</v>
      </c>
    </row>
    <row r="637" spans="1:15" hidden="1" x14ac:dyDescent="0.25">
      <c r="A637" t="s">
        <v>125</v>
      </c>
      <c r="B637" t="s">
        <v>26</v>
      </c>
      <c r="C637" t="s">
        <v>16</v>
      </c>
      <c r="D637">
        <v>9556</v>
      </c>
      <c r="E637">
        <v>191</v>
      </c>
      <c r="F637">
        <v>32</v>
      </c>
      <c r="G637">
        <v>2560</v>
      </c>
      <c r="H637">
        <v>57</v>
      </c>
      <c r="I637">
        <v>7630</v>
      </c>
      <c r="J637">
        <v>0</v>
      </c>
      <c r="K637">
        <v>48</v>
      </c>
      <c r="L637">
        <v>2</v>
      </c>
      <c r="M637">
        <v>0</v>
      </c>
      <c r="N637" t="s">
        <v>17</v>
      </c>
      <c r="O637" s="1">
        <f>result[[#This Row],[n_killed_mutants_cumulativa]]/result[[#This Row],[tot_mutants]]</f>
        <v>0</v>
      </c>
    </row>
    <row r="638" spans="1:15" hidden="1" x14ac:dyDescent="0.25">
      <c r="A638" t="s">
        <v>125</v>
      </c>
      <c r="B638" t="s">
        <v>27</v>
      </c>
      <c r="C638" t="s">
        <v>16</v>
      </c>
      <c r="D638">
        <v>8955</v>
      </c>
      <c r="E638">
        <v>239</v>
      </c>
      <c r="F638">
        <v>19</v>
      </c>
      <c r="G638">
        <v>1710</v>
      </c>
      <c r="H638">
        <v>46</v>
      </c>
      <c r="I638">
        <v>5076</v>
      </c>
      <c r="J638">
        <v>0</v>
      </c>
      <c r="K638">
        <v>71</v>
      </c>
      <c r="L638">
        <v>2</v>
      </c>
      <c r="M638">
        <v>0</v>
      </c>
      <c r="N638" t="s">
        <v>17</v>
      </c>
      <c r="O638" s="1">
        <f>result[[#This Row],[n_killed_mutants_cumulativa]]/result[[#This Row],[tot_mutants]]</f>
        <v>0</v>
      </c>
    </row>
    <row r="639" spans="1:15" hidden="1" x14ac:dyDescent="0.25">
      <c r="A639" t="s">
        <v>125</v>
      </c>
      <c r="B639" t="s">
        <v>30</v>
      </c>
      <c r="C639" t="s">
        <v>16</v>
      </c>
      <c r="D639">
        <v>11309</v>
      </c>
      <c r="E639">
        <v>293</v>
      </c>
      <c r="F639">
        <v>23</v>
      </c>
      <c r="G639">
        <v>2300</v>
      </c>
      <c r="H639">
        <v>62</v>
      </c>
      <c r="I639">
        <v>6822</v>
      </c>
      <c r="J639">
        <v>0</v>
      </c>
      <c r="K639">
        <v>77</v>
      </c>
      <c r="L639">
        <v>2</v>
      </c>
      <c r="M639">
        <v>0</v>
      </c>
      <c r="N639" t="s">
        <v>17</v>
      </c>
      <c r="O639" s="1">
        <f>result[[#This Row],[n_killed_mutants_cumulativa]]/result[[#This Row],[tot_mutants]]</f>
        <v>0</v>
      </c>
    </row>
    <row r="640" spans="1:15" hidden="1" x14ac:dyDescent="0.25">
      <c r="A640" t="s">
        <v>125</v>
      </c>
      <c r="B640" t="s">
        <v>31</v>
      </c>
      <c r="C640" t="s">
        <v>16</v>
      </c>
      <c r="D640">
        <v>13989</v>
      </c>
      <c r="E640">
        <v>360</v>
      </c>
      <c r="F640">
        <v>29</v>
      </c>
      <c r="G640">
        <v>3190</v>
      </c>
      <c r="H640">
        <v>62</v>
      </c>
      <c r="I640">
        <v>9504</v>
      </c>
      <c r="J640">
        <v>0</v>
      </c>
      <c r="K640">
        <v>81</v>
      </c>
      <c r="L640">
        <v>2</v>
      </c>
      <c r="M640">
        <v>0</v>
      </c>
      <c r="N640" t="s">
        <v>17</v>
      </c>
      <c r="O640" s="1">
        <f>result[[#This Row],[n_killed_mutants_cumulativa]]/result[[#This Row],[tot_mutants]]</f>
        <v>0</v>
      </c>
    </row>
    <row r="641" spans="1:16" hidden="1" x14ac:dyDescent="0.25">
      <c r="A641" t="s">
        <v>125</v>
      </c>
      <c r="B641" t="s">
        <v>36</v>
      </c>
      <c r="C641" t="s">
        <v>16</v>
      </c>
      <c r="D641">
        <v>16244</v>
      </c>
      <c r="E641">
        <v>421</v>
      </c>
      <c r="F641">
        <v>30</v>
      </c>
      <c r="G641">
        <v>3600</v>
      </c>
      <c r="H641">
        <v>62</v>
      </c>
      <c r="I641">
        <v>10736</v>
      </c>
      <c r="J641">
        <v>0</v>
      </c>
      <c r="K641">
        <v>90</v>
      </c>
      <c r="L641">
        <v>2</v>
      </c>
      <c r="M641">
        <v>0</v>
      </c>
      <c r="N641" t="s">
        <v>17</v>
      </c>
      <c r="O641" s="1">
        <f>result[[#This Row],[n_killed_mutants_cumulativa]]/result[[#This Row],[tot_mutants]]</f>
        <v>0</v>
      </c>
    </row>
    <row r="642" spans="1:16" hidden="1" x14ac:dyDescent="0.25">
      <c r="A642" t="s">
        <v>125</v>
      </c>
      <c r="B642" t="s">
        <v>40</v>
      </c>
      <c r="C642" t="s">
        <v>16</v>
      </c>
      <c r="D642">
        <v>19942</v>
      </c>
      <c r="E642">
        <v>590</v>
      </c>
      <c r="F642">
        <v>36</v>
      </c>
      <c r="G642">
        <v>4680</v>
      </c>
      <c r="H642">
        <v>82</v>
      </c>
      <c r="I642">
        <v>13948</v>
      </c>
      <c r="J642">
        <v>0</v>
      </c>
      <c r="K642">
        <v>94</v>
      </c>
      <c r="L642">
        <v>2</v>
      </c>
      <c r="M642">
        <v>0</v>
      </c>
      <c r="N642" t="s">
        <v>17</v>
      </c>
      <c r="O642" s="1">
        <f>result[[#This Row],[n_killed_mutants_cumulativa]]/result[[#This Row],[tot_mutants]]</f>
        <v>0</v>
      </c>
    </row>
    <row r="643" spans="1:16" hidden="1" x14ac:dyDescent="0.25">
      <c r="A643" t="s">
        <v>125</v>
      </c>
      <c r="B643" t="s">
        <v>47</v>
      </c>
      <c r="C643" t="s">
        <v>16</v>
      </c>
      <c r="D643">
        <v>23675</v>
      </c>
      <c r="E643">
        <v>557</v>
      </c>
      <c r="F643">
        <v>41</v>
      </c>
      <c r="G643">
        <v>5740</v>
      </c>
      <c r="H643">
        <v>106</v>
      </c>
      <c r="I643">
        <v>17090</v>
      </c>
      <c r="J643">
        <v>0</v>
      </c>
      <c r="K643">
        <v>99</v>
      </c>
      <c r="L643">
        <v>2</v>
      </c>
      <c r="M643">
        <v>0</v>
      </c>
      <c r="N643" t="s">
        <v>17</v>
      </c>
      <c r="O643" s="1">
        <f>result[[#This Row],[n_killed_mutants_cumulativa]]/result[[#This Row],[tot_mutants]]</f>
        <v>0</v>
      </c>
    </row>
    <row r="644" spans="1:16" hidden="1" x14ac:dyDescent="0.25">
      <c r="A644" t="s">
        <v>125</v>
      </c>
      <c r="B644" t="s">
        <v>48</v>
      </c>
      <c r="C644" t="s">
        <v>16</v>
      </c>
      <c r="D644">
        <v>25213</v>
      </c>
      <c r="E644">
        <v>640</v>
      </c>
      <c r="F644">
        <v>37</v>
      </c>
      <c r="G644">
        <v>5550</v>
      </c>
      <c r="H644">
        <v>60</v>
      </c>
      <c r="I644">
        <v>16604</v>
      </c>
      <c r="J644">
        <v>0</v>
      </c>
      <c r="K644">
        <v>113</v>
      </c>
      <c r="L644">
        <v>2</v>
      </c>
      <c r="M644">
        <v>0</v>
      </c>
      <c r="N644" t="s">
        <v>17</v>
      </c>
      <c r="O644" s="1">
        <f>result[[#This Row],[n_killed_mutants_cumulativa]]/result[[#This Row],[tot_mutants]]</f>
        <v>0</v>
      </c>
    </row>
    <row r="645" spans="1:16" hidden="1" x14ac:dyDescent="0.25">
      <c r="A645" t="s">
        <v>125</v>
      </c>
      <c r="B645" t="s">
        <v>49</v>
      </c>
      <c r="C645" t="s">
        <v>16</v>
      </c>
      <c r="D645">
        <v>34061</v>
      </c>
      <c r="E645">
        <v>734</v>
      </c>
      <c r="F645">
        <v>55</v>
      </c>
      <c r="G645">
        <v>8800</v>
      </c>
      <c r="H645">
        <v>113</v>
      </c>
      <c r="I645">
        <v>26284</v>
      </c>
      <c r="J645">
        <v>0</v>
      </c>
      <c r="K645">
        <v>105</v>
      </c>
      <c r="L645">
        <v>2</v>
      </c>
      <c r="M645">
        <v>0</v>
      </c>
      <c r="N645" t="s">
        <v>17</v>
      </c>
      <c r="O645" s="1">
        <f>result[[#This Row],[n_killed_mutants_cumulativa]]/result[[#This Row],[tot_mutants]]</f>
        <v>0</v>
      </c>
    </row>
    <row r="646" spans="1:16" hidden="1" x14ac:dyDescent="0.25">
      <c r="A646" t="s">
        <v>125</v>
      </c>
      <c r="B646" t="s">
        <v>50</v>
      </c>
      <c r="C646" t="s">
        <v>16</v>
      </c>
      <c r="D646">
        <v>34565</v>
      </c>
      <c r="E646">
        <v>815</v>
      </c>
      <c r="F646">
        <v>47</v>
      </c>
      <c r="G646">
        <v>7990</v>
      </c>
      <c r="H646">
        <v>100</v>
      </c>
      <c r="I646">
        <v>23864</v>
      </c>
      <c r="J646">
        <v>0</v>
      </c>
      <c r="K646">
        <v>123</v>
      </c>
      <c r="L646">
        <v>2</v>
      </c>
      <c r="M646">
        <v>0</v>
      </c>
      <c r="N646" t="s">
        <v>17</v>
      </c>
      <c r="O646" s="1">
        <f>result[[#This Row],[n_killed_mutants_cumulativa]]/result[[#This Row],[tot_mutants]]</f>
        <v>0</v>
      </c>
    </row>
    <row r="647" spans="1:16" hidden="1" x14ac:dyDescent="0.25">
      <c r="A647" t="s">
        <v>125</v>
      </c>
      <c r="B647" t="s">
        <v>51</v>
      </c>
      <c r="C647" t="s">
        <v>16</v>
      </c>
      <c r="D647">
        <v>40265</v>
      </c>
      <c r="E647">
        <v>911</v>
      </c>
      <c r="F647">
        <v>52</v>
      </c>
      <c r="G647">
        <v>9360</v>
      </c>
      <c r="H647">
        <v>94</v>
      </c>
      <c r="I647">
        <v>27996</v>
      </c>
      <c r="J647">
        <v>0</v>
      </c>
      <c r="K647">
        <v>128</v>
      </c>
      <c r="L647">
        <v>2</v>
      </c>
      <c r="M647">
        <v>0</v>
      </c>
      <c r="N647" t="s">
        <v>17</v>
      </c>
      <c r="O647" s="1">
        <f>result[[#This Row],[n_killed_mutants_cumulativa]]/result[[#This Row],[tot_mutants]]</f>
        <v>0</v>
      </c>
    </row>
    <row r="648" spans="1:16" hidden="1" x14ac:dyDescent="0.25">
      <c r="A648" t="s">
        <v>125</v>
      </c>
      <c r="B648" t="s">
        <v>52</v>
      </c>
      <c r="C648" t="s">
        <v>16</v>
      </c>
      <c r="D648">
        <v>45181</v>
      </c>
      <c r="E648">
        <v>1030</v>
      </c>
      <c r="F648">
        <v>55</v>
      </c>
      <c r="G648">
        <v>10450</v>
      </c>
      <c r="H648">
        <v>118</v>
      </c>
      <c r="I648">
        <v>31224</v>
      </c>
      <c r="J648">
        <v>0</v>
      </c>
      <c r="K648">
        <v>135</v>
      </c>
      <c r="L648">
        <v>2</v>
      </c>
      <c r="M648">
        <v>0</v>
      </c>
      <c r="N648" t="s">
        <v>17</v>
      </c>
      <c r="O648" s="1">
        <f>result[[#This Row],[n_killed_mutants_cumulativa]]/result[[#This Row],[tot_mutants]]</f>
        <v>0</v>
      </c>
    </row>
    <row r="649" spans="1:16" hidden="1" x14ac:dyDescent="0.25">
      <c r="A649" t="s">
        <v>125</v>
      </c>
      <c r="B649" t="s">
        <v>53</v>
      </c>
      <c r="C649" t="s">
        <v>16</v>
      </c>
      <c r="D649">
        <v>51479</v>
      </c>
      <c r="E649">
        <v>1123</v>
      </c>
      <c r="F649">
        <v>60</v>
      </c>
      <c r="G649">
        <v>12000</v>
      </c>
      <c r="H649">
        <v>128</v>
      </c>
      <c r="I649">
        <v>35864</v>
      </c>
      <c r="J649">
        <v>0</v>
      </c>
      <c r="K649">
        <v>140</v>
      </c>
      <c r="L649">
        <v>2</v>
      </c>
      <c r="M649">
        <v>0</v>
      </c>
      <c r="N649" t="s">
        <v>17</v>
      </c>
      <c r="O649" s="1">
        <f>result[[#This Row],[n_killed_mutants_cumulativa]]/result[[#This Row],[tot_mutants]]</f>
        <v>0</v>
      </c>
    </row>
    <row r="650" spans="1:16" hidden="1" x14ac:dyDescent="0.25">
      <c r="A650" t="s">
        <v>125</v>
      </c>
      <c r="B650" t="s">
        <v>22</v>
      </c>
      <c r="C650" t="s">
        <v>16</v>
      </c>
      <c r="D650">
        <v>370972</v>
      </c>
      <c r="E650">
        <v>8540</v>
      </c>
      <c r="F650">
        <v>742</v>
      </c>
      <c r="G650">
        <v>88160</v>
      </c>
      <c r="H650">
        <v>1573</v>
      </c>
      <c r="I650">
        <v>262818</v>
      </c>
      <c r="J650">
        <v>0</v>
      </c>
      <c r="K650">
        <v>1358</v>
      </c>
      <c r="L650">
        <v>2</v>
      </c>
      <c r="M650">
        <v>0</v>
      </c>
      <c r="N650" t="s">
        <v>17</v>
      </c>
      <c r="O650" s="1">
        <f>result[[#This Row],[n_killed_mutants_cumulativa]]/result[[#This Row],[tot_mutants]]</f>
        <v>0</v>
      </c>
      <c r="P650" s="9" t="s">
        <v>351</v>
      </c>
    </row>
    <row r="651" spans="1:16" hidden="1" x14ac:dyDescent="0.25">
      <c r="A651" t="s">
        <v>126</v>
      </c>
      <c r="B651" t="s">
        <v>15</v>
      </c>
      <c r="C651" t="s">
        <v>16</v>
      </c>
      <c r="D651">
        <v>632536</v>
      </c>
      <c r="E651">
        <v>214826</v>
      </c>
      <c r="F651">
        <v>10</v>
      </c>
      <c r="G651">
        <v>100</v>
      </c>
      <c r="H651">
        <v>0</v>
      </c>
      <c r="I651">
        <v>940</v>
      </c>
      <c r="J651">
        <v>0</v>
      </c>
      <c r="K651">
        <v>0</v>
      </c>
      <c r="L651">
        <v>1</v>
      </c>
      <c r="M651">
        <v>0</v>
      </c>
      <c r="N651" t="s">
        <v>17</v>
      </c>
      <c r="O651" s="1">
        <f>result[[#This Row],[n_killed_mutants_cumulativa]]/result[[#This Row],[tot_mutants]]</f>
        <v>0</v>
      </c>
    </row>
    <row r="652" spans="1:16" hidden="1" x14ac:dyDescent="0.25">
      <c r="A652" t="s">
        <v>126</v>
      </c>
      <c r="B652" t="s">
        <v>22</v>
      </c>
      <c r="C652" t="s">
        <v>16</v>
      </c>
      <c r="D652">
        <v>632536</v>
      </c>
      <c r="E652">
        <v>214826</v>
      </c>
      <c r="F652">
        <v>10</v>
      </c>
      <c r="G652">
        <v>100</v>
      </c>
      <c r="H652">
        <v>0</v>
      </c>
      <c r="I652">
        <v>940</v>
      </c>
      <c r="J652">
        <v>0</v>
      </c>
      <c r="K652">
        <v>0</v>
      </c>
      <c r="L652">
        <v>1</v>
      </c>
      <c r="M652">
        <v>0</v>
      </c>
      <c r="N652" t="s">
        <v>17</v>
      </c>
      <c r="O652" s="1">
        <f>result[[#This Row],[n_killed_mutants_cumulativa]]/result[[#This Row],[tot_mutants]]</f>
        <v>0</v>
      </c>
      <c r="P652" s="9" t="s">
        <v>346</v>
      </c>
    </row>
    <row r="653" spans="1:16" hidden="1" x14ac:dyDescent="0.25">
      <c r="A653" t="s">
        <v>127</v>
      </c>
      <c r="B653" t="s">
        <v>15</v>
      </c>
      <c r="C653" t="s">
        <v>16</v>
      </c>
      <c r="D653">
        <v>3328</v>
      </c>
      <c r="E653">
        <v>869</v>
      </c>
      <c r="F653">
        <v>0</v>
      </c>
      <c r="G653">
        <v>0</v>
      </c>
      <c r="H653">
        <v>0</v>
      </c>
      <c r="I653">
        <v>0</v>
      </c>
      <c r="J653">
        <v>10</v>
      </c>
      <c r="K653">
        <v>0</v>
      </c>
      <c r="L653">
        <v>21</v>
      </c>
      <c r="M653">
        <v>0</v>
      </c>
      <c r="N653" t="s">
        <v>17</v>
      </c>
      <c r="O653" s="1">
        <f>result[[#This Row],[n_killed_mutants_cumulativa]]/result[[#This Row],[tot_mutants]]</f>
        <v>0</v>
      </c>
    </row>
    <row r="654" spans="1:16" hidden="1" x14ac:dyDescent="0.25">
      <c r="A654" t="s">
        <v>127</v>
      </c>
      <c r="B654" t="s">
        <v>18</v>
      </c>
      <c r="C654" t="s">
        <v>16</v>
      </c>
      <c r="D654">
        <v>3252</v>
      </c>
      <c r="E654">
        <v>1492</v>
      </c>
      <c r="F654">
        <v>0</v>
      </c>
      <c r="G654">
        <v>0</v>
      </c>
      <c r="H654">
        <v>0</v>
      </c>
      <c r="I654">
        <v>0</v>
      </c>
      <c r="J654">
        <v>19</v>
      </c>
      <c r="K654">
        <v>0</v>
      </c>
      <c r="L654">
        <v>21</v>
      </c>
      <c r="M654">
        <v>0</v>
      </c>
      <c r="N654" t="s">
        <v>17</v>
      </c>
      <c r="O654" s="1">
        <f>result[[#This Row],[n_killed_mutants_cumulativa]]/result[[#This Row],[tot_mutants]]</f>
        <v>0</v>
      </c>
    </row>
    <row r="655" spans="1:16" hidden="1" x14ac:dyDescent="0.25">
      <c r="A655" t="s">
        <v>127</v>
      </c>
      <c r="B655" t="s">
        <v>19</v>
      </c>
      <c r="C655" t="s">
        <v>16</v>
      </c>
      <c r="D655">
        <v>2995</v>
      </c>
      <c r="E655">
        <v>1684</v>
      </c>
      <c r="F655">
        <v>0</v>
      </c>
      <c r="G655">
        <v>0</v>
      </c>
      <c r="H655">
        <v>0</v>
      </c>
      <c r="I655">
        <v>0</v>
      </c>
      <c r="J655">
        <v>17</v>
      </c>
      <c r="K655">
        <v>0</v>
      </c>
      <c r="L655">
        <v>21</v>
      </c>
      <c r="M655">
        <v>0</v>
      </c>
      <c r="N655" t="s">
        <v>17</v>
      </c>
      <c r="O655" s="1">
        <f>result[[#This Row],[n_killed_mutants_cumulativa]]/result[[#This Row],[tot_mutants]]</f>
        <v>0</v>
      </c>
    </row>
    <row r="656" spans="1:16" hidden="1" x14ac:dyDescent="0.25">
      <c r="A656" t="s">
        <v>127</v>
      </c>
      <c r="B656" t="s">
        <v>20</v>
      </c>
      <c r="C656" t="s">
        <v>16</v>
      </c>
      <c r="D656">
        <v>3786</v>
      </c>
      <c r="E656">
        <v>2936</v>
      </c>
      <c r="F656">
        <v>0</v>
      </c>
      <c r="G656">
        <v>0</v>
      </c>
      <c r="H656">
        <v>0</v>
      </c>
      <c r="I656">
        <v>0</v>
      </c>
      <c r="J656">
        <v>10</v>
      </c>
      <c r="K656">
        <v>0</v>
      </c>
      <c r="L656">
        <v>21</v>
      </c>
      <c r="M656">
        <v>0</v>
      </c>
      <c r="N656" t="s">
        <v>17</v>
      </c>
      <c r="O656" s="1">
        <f>result[[#This Row],[n_killed_mutants_cumulativa]]/result[[#This Row],[tot_mutants]]</f>
        <v>0</v>
      </c>
    </row>
    <row r="657" spans="1:15" hidden="1" x14ac:dyDescent="0.25">
      <c r="A657" t="s">
        <v>127</v>
      </c>
      <c r="B657" t="s">
        <v>21</v>
      </c>
      <c r="C657" t="s">
        <v>16</v>
      </c>
      <c r="D657">
        <v>4526</v>
      </c>
      <c r="E657">
        <v>3912</v>
      </c>
      <c r="F657">
        <v>0</v>
      </c>
      <c r="G657">
        <v>0</v>
      </c>
      <c r="H657">
        <v>0</v>
      </c>
      <c r="I657">
        <v>0</v>
      </c>
      <c r="J657">
        <v>6</v>
      </c>
      <c r="K657">
        <v>0</v>
      </c>
      <c r="L657">
        <v>21</v>
      </c>
      <c r="M657">
        <v>0</v>
      </c>
      <c r="N657" t="s">
        <v>17</v>
      </c>
      <c r="O657" s="1">
        <f>result[[#This Row],[n_killed_mutants_cumulativa]]/result[[#This Row],[tot_mutants]]</f>
        <v>0</v>
      </c>
    </row>
    <row r="658" spans="1:15" hidden="1" x14ac:dyDescent="0.25">
      <c r="A658" t="s">
        <v>127</v>
      </c>
      <c r="B658" t="s">
        <v>22</v>
      </c>
      <c r="C658" t="s">
        <v>16</v>
      </c>
      <c r="D658">
        <v>17887</v>
      </c>
      <c r="E658">
        <v>10893</v>
      </c>
      <c r="F658">
        <v>0</v>
      </c>
      <c r="G658">
        <v>0</v>
      </c>
      <c r="H658">
        <v>0</v>
      </c>
      <c r="I658">
        <v>0</v>
      </c>
      <c r="J658">
        <v>62</v>
      </c>
      <c r="K658">
        <v>0</v>
      </c>
      <c r="L658">
        <v>21</v>
      </c>
      <c r="M658">
        <v>0</v>
      </c>
      <c r="N658" t="s">
        <v>17</v>
      </c>
      <c r="O658" s="1">
        <f>result[[#This Row],[n_killed_mutants_cumulativa]]/result[[#This Row],[tot_mutants]]</f>
        <v>0</v>
      </c>
    </row>
    <row r="659" spans="1:15" hidden="1" x14ac:dyDescent="0.25">
      <c r="A659" t="s">
        <v>128</v>
      </c>
      <c r="B659" t="s">
        <v>15</v>
      </c>
      <c r="C659" t="s">
        <v>16</v>
      </c>
      <c r="D659">
        <v>176</v>
      </c>
      <c r="E659">
        <v>74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28</v>
      </c>
      <c r="M659">
        <v>0</v>
      </c>
      <c r="N659" t="s">
        <v>17</v>
      </c>
      <c r="O659" s="1">
        <f>result[[#This Row],[n_killed_mutants_cumulativa]]/result[[#This Row],[tot_mutants]]</f>
        <v>0</v>
      </c>
    </row>
    <row r="660" spans="1:15" hidden="1" x14ac:dyDescent="0.25">
      <c r="A660" t="s">
        <v>128</v>
      </c>
      <c r="B660" t="s">
        <v>18</v>
      </c>
      <c r="C660" t="s">
        <v>16</v>
      </c>
      <c r="D660">
        <v>92</v>
      </c>
      <c r="E660">
        <v>69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28</v>
      </c>
      <c r="M660">
        <v>0</v>
      </c>
      <c r="N660" t="s">
        <v>17</v>
      </c>
      <c r="O660" s="1">
        <f>result[[#This Row],[n_killed_mutants_cumulativa]]/result[[#This Row],[tot_mutants]]</f>
        <v>0</v>
      </c>
    </row>
    <row r="661" spans="1:15" hidden="1" x14ac:dyDescent="0.25">
      <c r="A661" t="s">
        <v>128</v>
      </c>
      <c r="B661" t="s">
        <v>19</v>
      </c>
      <c r="C661" t="s">
        <v>16</v>
      </c>
      <c r="D661">
        <v>93</v>
      </c>
      <c r="E661">
        <v>67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28</v>
      </c>
      <c r="M661">
        <v>0</v>
      </c>
      <c r="N661" t="s">
        <v>17</v>
      </c>
      <c r="O661" s="1">
        <f>result[[#This Row],[n_killed_mutants_cumulativa]]/result[[#This Row],[tot_mutants]]</f>
        <v>0</v>
      </c>
    </row>
    <row r="662" spans="1:15" hidden="1" x14ac:dyDescent="0.25">
      <c r="A662" t="s">
        <v>128</v>
      </c>
      <c r="B662" t="s">
        <v>20</v>
      </c>
      <c r="C662" t="s">
        <v>16</v>
      </c>
      <c r="D662">
        <v>80</v>
      </c>
      <c r="E662">
        <v>62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28</v>
      </c>
      <c r="M662">
        <v>0</v>
      </c>
      <c r="N662" t="s">
        <v>17</v>
      </c>
      <c r="O662" s="1">
        <f>result[[#This Row],[n_killed_mutants_cumulativa]]/result[[#This Row],[tot_mutants]]</f>
        <v>0</v>
      </c>
    </row>
    <row r="663" spans="1:15" hidden="1" x14ac:dyDescent="0.25">
      <c r="A663" t="s">
        <v>128</v>
      </c>
      <c r="B663" t="s">
        <v>21</v>
      </c>
      <c r="C663" t="s">
        <v>16</v>
      </c>
      <c r="D663">
        <v>101</v>
      </c>
      <c r="E663">
        <v>83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28</v>
      </c>
      <c r="M663">
        <v>0</v>
      </c>
      <c r="N663" t="s">
        <v>17</v>
      </c>
      <c r="O663" s="1">
        <f>result[[#This Row],[n_killed_mutants_cumulativa]]/result[[#This Row],[tot_mutants]]</f>
        <v>0</v>
      </c>
    </row>
    <row r="664" spans="1:15" hidden="1" x14ac:dyDescent="0.25">
      <c r="A664" t="s">
        <v>128</v>
      </c>
      <c r="B664" t="s">
        <v>22</v>
      </c>
      <c r="C664" t="s">
        <v>16</v>
      </c>
      <c r="D664">
        <v>542</v>
      </c>
      <c r="E664">
        <v>355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28</v>
      </c>
      <c r="M664">
        <v>0</v>
      </c>
      <c r="N664" t="s">
        <v>17</v>
      </c>
      <c r="O664" s="1">
        <f>result[[#This Row],[n_killed_mutants_cumulativa]]/result[[#This Row],[tot_mutants]]</f>
        <v>0</v>
      </c>
    </row>
    <row r="665" spans="1:15" hidden="1" x14ac:dyDescent="0.25">
      <c r="A665" t="s">
        <v>129</v>
      </c>
      <c r="B665" t="s">
        <v>15</v>
      </c>
      <c r="C665" t="s">
        <v>16</v>
      </c>
      <c r="D665">
        <v>2336</v>
      </c>
      <c r="E665">
        <v>538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10</v>
      </c>
      <c r="L665">
        <v>8</v>
      </c>
      <c r="M665">
        <v>0</v>
      </c>
      <c r="N665" t="s">
        <v>17</v>
      </c>
      <c r="O665" s="1">
        <f>result[[#This Row],[n_killed_mutants_cumulativa]]/result[[#This Row],[tot_mutants]]</f>
        <v>0</v>
      </c>
    </row>
    <row r="666" spans="1:15" hidden="1" x14ac:dyDescent="0.25">
      <c r="A666" t="s">
        <v>129</v>
      </c>
      <c r="B666" t="s">
        <v>18</v>
      </c>
      <c r="C666" t="s">
        <v>16</v>
      </c>
      <c r="D666">
        <v>1690</v>
      </c>
      <c r="E666">
        <v>533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20</v>
      </c>
      <c r="L666">
        <v>8</v>
      </c>
      <c r="M666">
        <v>0</v>
      </c>
      <c r="N666" t="s">
        <v>17</v>
      </c>
      <c r="O666" s="1">
        <f>result[[#This Row],[n_killed_mutants_cumulativa]]/result[[#This Row],[tot_mutants]]</f>
        <v>0</v>
      </c>
    </row>
    <row r="667" spans="1:15" hidden="1" x14ac:dyDescent="0.25">
      <c r="A667" t="s">
        <v>129</v>
      </c>
      <c r="B667" t="s">
        <v>19</v>
      </c>
      <c r="C667" t="s">
        <v>16</v>
      </c>
      <c r="D667">
        <v>1885</v>
      </c>
      <c r="E667">
        <v>589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30</v>
      </c>
      <c r="L667">
        <v>8</v>
      </c>
      <c r="M667">
        <v>0</v>
      </c>
      <c r="N667" t="s">
        <v>17</v>
      </c>
      <c r="O667" s="1">
        <f>result[[#This Row],[n_killed_mutants_cumulativa]]/result[[#This Row],[tot_mutants]]</f>
        <v>0</v>
      </c>
    </row>
    <row r="668" spans="1:15" hidden="1" x14ac:dyDescent="0.25">
      <c r="A668" t="s">
        <v>129</v>
      </c>
      <c r="B668" t="s">
        <v>20</v>
      </c>
      <c r="C668" t="s">
        <v>16</v>
      </c>
      <c r="D668">
        <v>2247</v>
      </c>
      <c r="E668">
        <v>1004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40</v>
      </c>
      <c r="L668">
        <v>8</v>
      </c>
      <c r="M668">
        <v>0</v>
      </c>
      <c r="N668" t="s">
        <v>17</v>
      </c>
      <c r="O668" s="1">
        <f>result[[#This Row],[n_killed_mutants_cumulativa]]/result[[#This Row],[tot_mutants]]</f>
        <v>0</v>
      </c>
    </row>
    <row r="669" spans="1:15" hidden="1" x14ac:dyDescent="0.25">
      <c r="A669" t="s">
        <v>129</v>
      </c>
      <c r="B669" t="s">
        <v>21</v>
      </c>
      <c r="C669" t="s">
        <v>16</v>
      </c>
      <c r="D669">
        <v>2610</v>
      </c>
      <c r="E669">
        <v>1069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50</v>
      </c>
      <c r="L669">
        <v>8</v>
      </c>
      <c r="M669">
        <v>0</v>
      </c>
      <c r="N669" t="s">
        <v>17</v>
      </c>
      <c r="O669" s="1">
        <f>result[[#This Row],[n_killed_mutants_cumulativa]]/result[[#This Row],[tot_mutants]]</f>
        <v>0</v>
      </c>
    </row>
    <row r="670" spans="1:15" hidden="1" x14ac:dyDescent="0.25">
      <c r="A670" t="s">
        <v>129</v>
      </c>
      <c r="B670" t="s">
        <v>22</v>
      </c>
      <c r="C670" t="s">
        <v>16</v>
      </c>
      <c r="D670">
        <v>10768</v>
      </c>
      <c r="E670">
        <v>3733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150</v>
      </c>
      <c r="L670">
        <v>8</v>
      </c>
      <c r="M670">
        <v>0</v>
      </c>
      <c r="N670" t="s">
        <v>17</v>
      </c>
      <c r="O670" s="1">
        <f>result[[#This Row],[n_killed_mutants_cumulativa]]/result[[#This Row],[tot_mutants]]</f>
        <v>0</v>
      </c>
    </row>
    <row r="671" spans="1:15" hidden="1" x14ac:dyDescent="0.25">
      <c r="A671" t="s">
        <v>130</v>
      </c>
      <c r="B671" t="s">
        <v>15</v>
      </c>
      <c r="C671" t="s">
        <v>16</v>
      </c>
      <c r="D671">
        <v>1648</v>
      </c>
      <c r="E671">
        <v>109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10</v>
      </c>
      <c r="L671">
        <v>9</v>
      </c>
      <c r="M671">
        <v>0</v>
      </c>
      <c r="N671" t="s">
        <v>17</v>
      </c>
      <c r="O671" s="1">
        <f>result[[#This Row],[n_killed_mutants_cumulativa]]/result[[#This Row],[tot_mutants]]</f>
        <v>0</v>
      </c>
    </row>
    <row r="672" spans="1:15" hidden="1" x14ac:dyDescent="0.25">
      <c r="A672" t="s">
        <v>130</v>
      </c>
      <c r="B672" t="s">
        <v>18</v>
      </c>
      <c r="C672" t="s">
        <v>16</v>
      </c>
      <c r="D672">
        <v>1135</v>
      </c>
      <c r="E672">
        <v>130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20</v>
      </c>
      <c r="L672">
        <v>9</v>
      </c>
      <c r="M672">
        <v>0</v>
      </c>
      <c r="N672" t="s">
        <v>17</v>
      </c>
      <c r="O672" s="1">
        <f>result[[#This Row],[n_killed_mutants_cumulativa]]/result[[#This Row],[tot_mutants]]</f>
        <v>0</v>
      </c>
    </row>
    <row r="673" spans="1:15" hidden="1" x14ac:dyDescent="0.25">
      <c r="A673" t="s">
        <v>130</v>
      </c>
      <c r="B673" t="s">
        <v>19</v>
      </c>
      <c r="C673" t="s">
        <v>16</v>
      </c>
      <c r="D673">
        <v>1249</v>
      </c>
      <c r="E673">
        <v>174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30</v>
      </c>
      <c r="L673">
        <v>9</v>
      </c>
      <c r="M673">
        <v>0</v>
      </c>
      <c r="N673" t="s">
        <v>17</v>
      </c>
      <c r="O673" s="1">
        <f>result[[#This Row],[n_killed_mutants_cumulativa]]/result[[#This Row],[tot_mutants]]</f>
        <v>0</v>
      </c>
    </row>
    <row r="674" spans="1:15" hidden="1" x14ac:dyDescent="0.25">
      <c r="A674" t="s">
        <v>130</v>
      </c>
      <c r="B674" t="s">
        <v>20</v>
      </c>
      <c r="C674" t="s">
        <v>16</v>
      </c>
      <c r="D674">
        <v>1222</v>
      </c>
      <c r="E674">
        <v>148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40</v>
      </c>
      <c r="L674">
        <v>9</v>
      </c>
      <c r="M674">
        <v>0</v>
      </c>
      <c r="N674" t="s">
        <v>17</v>
      </c>
      <c r="O674" s="1">
        <f>result[[#This Row],[n_killed_mutants_cumulativa]]/result[[#This Row],[tot_mutants]]</f>
        <v>0</v>
      </c>
    </row>
    <row r="675" spans="1:15" hidden="1" x14ac:dyDescent="0.25">
      <c r="A675" t="s">
        <v>130</v>
      </c>
      <c r="B675" t="s">
        <v>21</v>
      </c>
      <c r="C675" t="s">
        <v>16</v>
      </c>
      <c r="D675">
        <v>1456</v>
      </c>
      <c r="E675">
        <v>147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50</v>
      </c>
      <c r="L675">
        <v>9</v>
      </c>
      <c r="M675">
        <v>0</v>
      </c>
      <c r="N675" t="s">
        <v>17</v>
      </c>
      <c r="O675" s="1">
        <f>result[[#This Row],[n_killed_mutants_cumulativa]]/result[[#This Row],[tot_mutants]]</f>
        <v>0</v>
      </c>
    </row>
    <row r="676" spans="1:15" hidden="1" x14ac:dyDescent="0.25">
      <c r="A676" t="s">
        <v>130</v>
      </c>
      <c r="B676" t="s">
        <v>22</v>
      </c>
      <c r="C676" t="s">
        <v>16</v>
      </c>
      <c r="D676">
        <v>6710</v>
      </c>
      <c r="E676">
        <v>708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150</v>
      </c>
      <c r="L676">
        <v>9</v>
      </c>
      <c r="M676">
        <v>0</v>
      </c>
      <c r="N676" t="s">
        <v>17</v>
      </c>
      <c r="O676" s="1">
        <f>result[[#This Row],[n_killed_mutants_cumulativa]]/result[[#This Row],[tot_mutants]]</f>
        <v>0</v>
      </c>
    </row>
    <row r="677" spans="1:15" hidden="1" x14ac:dyDescent="0.25">
      <c r="A677" t="s">
        <v>131</v>
      </c>
      <c r="B677" t="s">
        <v>15</v>
      </c>
      <c r="C677" t="s">
        <v>16</v>
      </c>
      <c r="D677">
        <v>1828</v>
      </c>
      <c r="E677">
        <v>221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10</v>
      </c>
      <c r="L677">
        <v>6</v>
      </c>
      <c r="M677">
        <v>0</v>
      </c>
      <c r="N677" t="s">
        <v>17</v>
      </c>
      <c r="O677" s="1">
        <f>result[[#This Row],[n_killed_mutants_cumulativa]]/result[[#This Row],[tot_mutants]]</f>
        <v>0</v>
      </c>
    </row>
    <row r="678" spans="1:15" hidden="1" x14ac:dyDescent="0.25">
      <c r="A678" t="s">
        <v>131</v>
      </c>
      <c r="B678" t="s">
        <v>18</v>
      </c>
      <c r="C678" t="s">
        <v>16</v>
      </c>
      <c r="D678">
        <v>1681</v>
      </c>
      <c r="E678">
        <v>658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20</v>
      </c>
      <c r="L678">
        <v>6</v>
      </c>
      <c r="M678">
        <v>0</v>
      </c>
      <c r="N678" t="s">
        <v>17</v>
      </c>
      <c r="O678" s="1">
        <f>result[[#This Row],[n_killed_mutants_cumulativa]]/result[[#This Row],[tot_mutants]]</f>
        <v>0</v>
      </c>
    </row>
    <row r="679" spans="1:15" hidden="1" x14ac:dyDescent="0.25">
      <c r="A679" t="s">
        <v>131</v>
      </c>
      <c r="B679" t="s">
        <v>19</v>
      </c>
      <c r="C679" t="s">
        <v>16</v>
      </c>
      <c r="D679">
        <v>1587</v>
      </c>
      <c r="E679">
        <v>530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30</v>
      </c>
      <c r="L679">
        <v>6</v>
      </c>
      <c r="M679">
        <v>0</v>
      </c>
      <c r="N679" t="s">
        <v>17</v>
      </c>
      <c r="O679" s="1">
        <f>result[[#This Row],[n_killed_mutants_cumulativa]]/result[[#This Row],[tot_mutants]]</f>
        <v>0</v>
      </c>
    </row>
    <row r="680" spans="1:15" hidden="1" x14ac:dyDescent="0.25">
      <c r="A680" t="s">
        <v>131</v>
      </c>
      <c r="B680" t="s">
        <v>20</v>
      </c>
      <c r="C680" t="s">
        <v>16</v>
      </c>
      <c r="D680">
        <v>2455</v>
      </c>
      <c r="E680">
        <v>1290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40</v>
      </c>
      <c r="L680">
        <v>6</v>
      </c>
      <c r="M680">
        <v>0</v>
      </c>
      <c r="N680" t="s">
        <v>17</v>
      </c>
      <c r="O680" s="1">
        <f>result[[#This Row],[n_killed_mutants_cumulativa]]/result[[#This Row],[tot_mutants]]</f>
        <v>0</v>
      </c>
    </row>
    <row r="681" spans="1:15" hidden="1" x14ac:dyDescent="0.25">
      <c r="A681" t="s">
        <v>131</v>
      </c>
      <c r="B681" t="s">
        <v>21</v>
      </c>
      <c r="C681" t="s">
        <v>16</v>
      </c>
      <c r="D681">
        <v>2314</v>
      </c>
      <c r="E681">
        <v>1081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50</v>
      </c>
      <c r="L681">
        <v>6</v>
      </c>
      <c r="M681">
        <v>0</v>
      </c>
      <c r="N681" t="s">
        <v>17</v>
      </c>
      <c r="O681" s="1">
        <f>result[[#This Row],[n_killed_mutants_cumulativa]]/result[[#This Row],[tot_mutants]]</f>
        <v>0</v>
      </c>
    </row>
    <row r="682" spans="1:15" hidden="1" x14ac:dyDescent="0.25">
      <c r="A682" t="s">
        <v>131</v>
      </c>
      <c r="B682" t="s">
        <v>22</v>
      </c>
      <c r="C682" t="s">
        <v>16</v>
      </c>
      <c r="D682">
        <v>9865</v>
      </c>
      <c r="E682">
        <v>3780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150</v>
      </c>
      <c r="L682">
        <v>6</v>
      </c>
      <c r="M682">
        <v>0</v>
      </c>
      <c r="N682" t="s">
        <v>17</v>
      </c>
      <c r="O682" s="1">
        <f>result[[#This Row],[n_killed_mutants_cumulativa]]/result[[#This Row],[tot_mutants]]</f>
        <v>0</v>
      </c>
    </row>
    <row r="683" spans="1:15" hidden="1" x14ac:dyDescent="0.25">
      <c r="A683" t="s">
        <v>132</v>
      </c>
      <c r="B683" t="s">
        <v>15</v>
      </c>
      <c r="C683" t="s">
        <v>16</v>
      </c>
      <c r="D683">
        <v>1571</v>
      </c>
      <c r="E683">
        <v>147</v>
      </c>
      <c r="F683">
        <v>2</v>
      </c>
      <c r="G683">
        <v>20</v>
      </c>
      <c r="H683">
        <v>2</v>
      </c>
      <c r="I683">
        <v>22</v>
      </c>
      <c r="J683">
        <v>0</v>
      </c>
      <c r="K683">
        <v>7</v>
      </c>
      <c r="L683">
        <v>1</v>
      </c>
      <c r="M683">
        <v>0</v>
      </c>
      <c r="N683" t="s">
        <v>17</v>
      </c>
      <c r="O683" s="1">
        <f>result[[#This Row],[n_killed_mutants_cumulativa]]/result[[#This Row],[tot_mutants]]</f>
        <v>0</v>
      </c>
    </row>
    <row r="684" spans="1:15" hidden="1" x14ac:dyDescent="0.25">
      <c r="A684" t="s">
        <v>132</v>
      </c>
      <c r="B684" t="s">
        <v>18</v>
      </c>
      <c r="C684" t="s">
        <v>16</v>
      </c>
      <c r="D684">
        <v>1349</v>
      </c>
      <c r="E684">
        <v>159</v>
      </c>
      <c r="F684">
        <v>6</v>
      </c>
      <c r="G684">
        <v>120</v>
      </c>
      <c r="H684">
        <v>6</v>
      </c>
      <c r="I684">
        <v>126</v>
      </c>
      <c r="J684">
        <v>0</v>
      </c>
      <c r="K684">
        <v>13</v>
      </c>
      <c r="L684">
        <v>1</v>
      </c>
      <c r="M684">
        <v>0</v>
      </c>
      <c r="N684" t="s">
        <v>17</v>
      </c>
      <c r="O684" s="1">
        <f>result[[#This Row],[n_killed_mutants_cumulativa]]/result[[#This Row],[tot_mutants]]</f>
        <v>0</v>
      </c>
    </row>
    <row r="685" spans="1:15" hidden="1" x14ac:dyDescent="0.25">
      <c r="A685" t="s">
        <v>132</v>
      </c>
      <c r="B685" t="s">
        <v>19</v>
      </c>
      <c r="C685" t="s">
        <v>16</v>
      </c>
      <c r="D685">
        <v>1077</v>
      </c>
      <c r="E685">
        <v>150</v>
      </c>
      <c r="F685">
        <v>3</v>
      </c>
      <c r="G685">
        <v>90</v>
      </c>
      <c r="H685">
        <v>3</v>
      </c>
      <c r="I685">
        <v>93</v>
      </c>
      <c r="J685">
        <v>0</v>
      </c>
      <c r="K685">
        <v>27</v>
      </c>
      <c r="L685">
        <v>1</v>
      </c>
      <c r="M685">
        <v>0</v>
      </c>
      <c r="N685" t="s">
        <v>17</v>
      </c>
      <c r="O685" s="1">
        <f>result[[#This Row],[n_killed_mutants_cumulativa]]/result[[#This Row],[tot_mutants]]</f>
        <v>0</v>
      </c>
    </row>
    <row r="686" spans="1:15" hidden="1" x14ac:dyDescent="0.25">
      <c r="A686" t="s">
        <v>132</v>
      </c>
      <c r="B686" t="s">
        <v>20</v>
      </c>
      <c r="C686" t="s">
        <v>16</v>
      </c>
      <c r="D686">
        <v>1765</v>
      </c>
      <c r="E686">
        <v>124</v>
      </c>
      <c r="F686">
        <v>14</v>
      </c>
      <c r="G686">
        <v>560</v>
      </c>
      <c r="H686">
        <v>14</v>
      </c>
      <c r="I686">
        <v>574</v>
      </c>
      <c r="J686">
        <v>0</v>
      </c>
      <c r="K686">
        <v>24</v>
      </c>
      <c r="L686">
        <v>1</v>
      </c>
      <c r="M686">
        <v>0</v>
      </c>
      <c r="N686" t="s">
        <v>17</v>
      </c>
      <c r="O686" s="1">
        <f>result[[#This Row],[n_killed_mutants_cumulativa]]/result[[#This Row],[tot_mutants]]</f>
        <v>0</v>
      </c>
    </row>
    <row r="687" spans="1:15" hidden="1" x14ac:dyDescent="0.25">
      <c r="A687" t="s">
        <v>132</v>
      </c>
      <c r="B687" t="s">
        <v>21</v>
      </c>
      <c r="C687" t="s">
        <v>16</v>
      </c>
      <c r="D687">
        <v>1960</v>
      </c>
      <c r="E687">
        <v>146</v>
      </c>
      <c r="F687">
        <v>11</v>
      </c>
      <c r="G687">
        <v>550</v>
      </c>
      <c r="H687">
        <v>11</v>
      </c>
      <c r="I687">
        <v>561</v>
      </c>
      <c r="J687">
        <v>0</v>
      </c>
      <c r="K687">
        <v>35</v>
      </c>
      <c r="L687">
        <v>1</v>
      </c>
      <c r="M687">
        <v>0</v>
      </c>
      <c r="N687" t="s">
        <v>17</v>
      </c>
      <c r="O687" s="1">
        <f>result[[#This Row],[n_killed_mutants_cumulativa]]/result[[#This Row],[tot_mutants]]</f>
        <v>0</v>
      </c>
    </row>
    <row r="688" spans="1:15" hidden="1" x14ac:dyDescent="0.25">
      <c r="A688" t="s">
        <v>132</v>
      </c>
      <c r="B688" t="s">
        <v>24</v>
      </c>
      <c r="C688" t="s">
        <v>16</v>
      </c>
      <c r="D688">
        <v>2043</v>
      </c>
      <c r="E688">
        <v>171</v>
      </c>
      <c r="F688">
        <v>17</v>
      </c>
      <c r="G688">
        <v>1020</v>
      </c>
      <c r="H688">
        <v>17</v>
      </c>
      <c r="I688">
        <v>1037</v>
      </c>
      <c r="J688">
        <v>0</v>
      </c>
      <c r="K688">
        <v>40</v>
      </c>
      <c r="L688">
        <v>1</v>
      </c>
      <c r="M688">
        <v>0</v>
      </c>
      <c r="N688" t="s">
        <v>17</v>
      </c>
      <c r="O688" s="1">
        <f>result[[#This Row],[n_killed_mutants_cumulativa]]/result[[#This Row],[tot_mutants]]</f>
        <v>0</v>
      </c>
    </row>
    <row r="689" spans="1:16" hidden="1" x14ac:dyDescent="0.25">
      <c r="A689" t="s">
        <v>132</v>
      </c>
      <c r="B689" t="s">
        <v>25</v>
      </c>
      <c r="C689" t="s">
        <v>16</v>
      </c>
      <c r="D689">
        <v>2422</v>
      </c>
      <c r="E689">
        <v>241</v>
      </c>
      <c r="F689">
        <v>18</v>
      </c>
      <c r="G689">
        <v>1260</v>
      </c>
      <c r="H689">
        <v>18</v>
      </c>
      <c r="I689">
        <v>1278</v>
      </c>
      <c r="J689">
        <v>0</v>
      </c>
      <c r="K689">
        <v>49</v>
      </c>
      <c r="L689">
        <v>1</v>
      </c>
      <c r="M689">
        <v>0</v>
      </c>
      <c r="N689" t="s">
        <v>17</v>
      </c>
      <c r="O689" s="1">
        <f>result[[#This Row],[n_killed_mutants_cumulativa]]/result[[#This Row],[tot_mutants]]</f>
        <v>0</v>
      </c>
    </row>
    <row r="690" spans="1:16" hidden="1" x14ac:dyDescent="0.25">
      <c r="A690" t="s">
        <v>132</v>
      </c>
      <c r="B690" t="s">
        <v>26</v>
      </c>
      <c r="C690" t="s">
        <v>16</v>
      </c>
      <c r="D690">
        <v>2954</v>
      </c>
      <c r="E690">
        <v>280</v>
      </c>
      <c r="F690">
        <v>21</v>
      </c>
      <c r="G690">
        <v>1680</v>
      </c>
      <c r="H690">
        <v>21</v>
      </c>
      <c r="I690">
        <v>1701</v>
      </c>
      <c r="J690">
        <v>0</v>
      </c>
      <c r="K690">
        <v>53</v>
      </c>
      <c r="L690">
        <v>1</v>
      </c>
      <c r="M690">
        <v>0</v>
      </c>
      <c r="N690" t="s">
        <v>17</v>
      </c>
      <c r="O690" s="1">
        <f>result[[#This Row],[n_killed_mutants_cumulativa]]/result[[#This Row],[tot_mutants]]</f>
        <v>0</v>
      </c>
    </row>
    <row r="691" spans="1:16" hidden="1" x14ac:dyDescent="0.25">
      <c r="A691" t="s">
        <v>132</v>
      </c>
      <c r="B691" t="s">
        <v>27</v>
      </c>
      <c r="C691" t="s">
        <v>16</v>
      </c>
      <c r="D691">
        <v>4095</v>
      </c>
      <c r="E691">
        <v>367</v>
      </c>
      <c r="F691">
        <v>29</v>
      </c>
      <c r="G691">
        <v>2610</v>
      </c>
      <c r="H691">
        <v>29</v>
      </c>
      <c r="I691">
        <v>2639</v>
      </c>
      <c r="J691">
        <v>0</v>
      </c>
      <c r="K691">
        <v>58</v>
      </c>
      <c r="L691">
        <v>1</v>
      </c>
      <c r="M691">
        <v>0</v>
      </c>
      <c r="N691" t="s">
        <v>17</v>
      </c>
      <c r="O691" s="1">
        <f>result[[#This Row],[n_killed_mutants_cumulativa]]/result[[#This Row],[tot_mutants]]</f>
        <v>0</v>
      </c>
    </row>
    <row r="692" spans="1:16" hidden="1" x14ac:dyDescent="0.25">
      <c r="A692" t="s">
        <v>132</v>
      </c>
      <c r="B692" t="s">
        <v>30</v>
      </c>
      <c r="C692" t="s">
        <v>16</v>
      </c>
      <c r="D692">
        <v>3568</v>
      </c>
      <c r="E692">
        <v>486</v>
      </c>
      <c r="F692">
        <v>19</v>
      </c>
      <c r="G692">
        <v>1900</v>
      </c>
      <c r="H692">
        <v>19</v>
      </c>
      <c r="I692">
        <v>1919</v>
      </c>
      <c r="J692">
        <v>0</v>
      </c>
      <c r="K692">
        <v>75</v>
      </c>
      <c r="L692">
        <v>1</v>
      </c>
      <c r="M692">
        <v>0</v>
      </c>
      <c r="N692" t="s">
        <v>17</v>
      </c>
      <c r="O692" s="1">
        <f>result[[#This Row],[n_killed_mutants_cumulativa]]/result[[#This Row],[tot_mutants]]</f>
        <v>0</v>
      </c>
    </row>
    <row r="693" spans="1:16" hidden="1" x14ac:dyDescent="0.25">
      <c r="A693" t="s">
        <v>132</v>
      </c>
      <c r="B693" t="s">
        <v>31</v>
      </c>
      <c r="C693" t="s">
        <v>16</v>
      </c>
      <c r="D693">
        <v>4870</v>
      </c>
      <c r="E693">
        <v>582</v>
      </c>
      <c r="F693">
        <v>26</v>
      </c>
      <c r="G693">
        <v>2860</v>
      </c>
      <c r="H693">
        <v>26</v>
      </c>
      <c r="I693">
        <v>2886</v>
      </c>
      <c r="J693">
        <v>0</v>
      </c>
      <c r="K693">
        <v>79</v>
      </c>
      <c r="L693">
        <v>1</v>
      </c>
      <c r="M693">
        <v>0</v>
      </c>
      <c r="N693" t="s">
        <v>17</v>
      </c>
      <c r="O693" s="1">
        <f>result[[#This Row],[n_killed_mutants_cumulativa]]/result[[#This Row],[tot_mutants]]</f>
        <v>0</v>
      </c>
    </row>
    <row r="694" spans="1:16" hidden="1" x14ac:dyDescent="0.25">
      <c r="A694" t="s">
        <v>132</v>
      </c>
      <c r="B694" t="s">
        <v>36</v>
      </c>
      <c r="C694" t="s">
        <v>16</v>
      </c>
      <c r="D694">
        <v>5588</v>
      </c>
      <c r="E694">
        <v>651</v>
      </c>
      <c r="F694">
        <v>30</v>
      </c>
      <c r="G694">
        <v>3600</v>
      </c>
      <c r="H694">
        <v>30</v>
      </c>
      <c r="I694">
        <v>3630</v>
      </c>
      <c r="J694">
        <v>0</v>
      </c>
      <c r="K694">
        <v>83</v>
      </c>
      <c r="L694">
        <v>1</v>
      </c>
      <c r="M694">
        <v>0</v>
      </c>
      <c r="N694" t="s">
        <v>17</v>
      </c>
      <c r="O694" s="1">
        <f>result[[#This Row],[n_killed_mutants_cumulativa]]/result[[#This Row],[tot_mutants]]</f>
        <v>0</v>
      </c>
    </row>
    <row r="695" spans="1:16" hidden="1" x14ac:dyDescent="0.25">
      <c r="A695" t="s">
        <v>132</v>
      </c>
      <c r="B695" t="s">
        <v>40</v>
      </c>
      <c r="C695" t="s">
        <v>16</v>
      </c>
      <c r="D695">
        <v>6475</v>
      </c>
      <c r="E695">
        <v>782</v>
      </c>
      <c r="F695">
        <v>32</v>
      </c>
      <c r="G695">
        <v>4160</v>
      </c>
      <c r="H695">
        <v>32</v>
      </c>
      <c r="I695">
        <v>4192</v>
      </c>
      <c r="J695">
        <v>0</v>
      </c>
      <c r="K695">
        <v>88</v>
      </c>
      <c r="L695">
        <v>1</v>
      </c>
      <c r="M695">
        <v>0</v>
      </c>
      <c r="N695" t="s">
        <v>17</v>
      </c>
      <c r="O695" s="1">
        <f>result[[#This Row],[n_killed_mutants_cumulativa]]/result[[#This Row],[tot_mutants]]</f>
        <v>0</v>
      </c>
    </row>
    <row r="696" spans="1:16" hidden="1" x14ac:dyDescent="0.25">
      <c r="A696" t="s">
        <v>132</v>
      </c>
      <c r="B696" t="s">
        <v>47</v>
      </c>
      <c r="C696" t="s">
        <v>16</v>
      </c>
      <c r="D696">
        <v>7226</v>
      </c>
      <c r="E696">
        <v>843</v>
      </c>
      <c r="F696">
        <v>32</v>
      </c>
      <c r="G696">
        <v>4480</v>
      </c>
      <c r="H696">
        <v>32</v>
      </c>
      <c r="I696">
        <v>4512</v>
      </c>
      <c r="J696">
        <v>0</v>
      </c>
      <c r="K696">
        <v>97</v>
      </c>
      <c r="L696">
        <v>1</v>
      </c>
      <c r="M696">
        <v>0</v>
      </c>
      <c r="N696" t="s">
        <v>17</v>
      </c>
      <c r="O696" s="1">
        <f>result[[#This Row],[n_killed_mutants_cumulativa]]/result[[#This Row],[tot_mutants]]</f>
        <v>0</v>
      </c>
    </row>
    <row r="697" spans="1:16" hidden="1" x14ac:dyDescent="0.25">
      <c r="A697" t="s">
        <v>132</v>
      </c>
      <c r="B697" t="s">
        <v>48</v>
      </c>
      <c r="C697" t="s">
        <v>16</v>
      </c>
      <c r="D697">
        <v>9464</v>
      </c>
      <c r="E697">
        <v>994</v>
      </c>
      <c r="F697">
        <v>43</v>
      </c>
      <c r="G697">
        <v>6450</v>
      </c>
      <c r="H697">
        <v>43</v>
      </c>
      <c r="I697">
        <v>6493</v>
      </c>
      <c r="J697">
        <v>0</v>
      </c>
      <c r="K697">
        <v>100</v>
      </c>
      <c r="L697">
        <v>1</v>
      </c>
      <c r="M697">
        <v>0</v>
      </c>
      <c r="N697" t="s">
        <v>17</v>
      </c>
      <c r="O697" s="1">
        <f>result[[#This Row],[n_killed_mutants_cumulativa]]/result[[#This Row],[tot_mutants]]</f>
        <v>0</v>
      </c>
    </row>
    <row r="698" spans="1:16" hidden="1" x14ac:dyDescent="0.25">
      <c r="A698" t="s">
        <v>132</v>
      </c>
      <c r="B698" t="s">
        <v>49</v>
      </c>
      <c r="C698" t="s">
        <v>16</v>
      </c>
      <c r="D698">
        <v>9903</v>
      </c>
      <c r="E698">
        <v>1175</v>
      </c>
      <c r="F698">
        <v>40</v>
      </c>
      <c r="G698">
        <v>6400</v>
      </c>
      <c r="H698">
        <v>40</v>
      </c>
      <c r="I698">
        <v>6440</v>
      </c>
      <c r="J698">
        <v>0</v>
      </c>
      <c r="K698">
        <v>113</v>
      </c>
      <c r="L698">
        <v>1</v>
      </c>
      <c r="M698">
        <v>0</v>
      </c>
      <c r="N698" t="s">
        <v>17</v>
      </c>
      <c r="O698" s="1">
        <f>result[[#This Row],[n_killed_mutants_cumulativa]]/result[[#This Row],[tot_mutants]]</f>
        <v>0</v>
      </c>
    </row>
    <row r="699" spans="1:16" hidden="1" x14ac:dyDescent="0.25">
      <c r="A699" t="s">
        <v>132</v>
      </c>
      <c r="B699" t="s">
        <v>50</v>
      </c>
      <c r="C699" t="s">
        <v>16</v>
      </c>
      <c r="D699">
        <v>10872</v>
      </c>
      <c r="E699">
        <v>1508</v>
      </c>
      <c r="F699">
        <v>39</v>
      </c>
      <c r="G699">
        <v>6630</v>
      </c>
      <c r="H699">
        <v>39</v>
      </c>
      <c r="I699">
        <v>6669</v>
      </c>
      <c r="J699">
        <v>0</v>
      </c>
      <c r="K699">
        <v>123</v>
      </c>
      <c r="L699">
        <v>1</v>
      </c>
      <c r="M699">
        <v>0</v>
      </c>
      <c r="N699" t="s">
        <v>17</v>
      </c>
      <c r="O699" s="1">
        <f>result[[#This Row],[n_killed_mutants_cumulativa]]/result[[#This Row],[tot_mutants]]</f>
        <v>0</v>
      </c>
    </row>
    <row r="700" spans="1:16" hidden="1" x14ac:dyDescent="0.25">
      <c r="A700" t="s">
        <v>132</v>
      </c>
      <c r="B700" t="s">
        <v>51</v>
      </c>
      <c r="C700" t="s">
        <v>16</v>
      </c>
      <c r="D700">
        <v>14201</v>
      </c>
      <c r="E700">
        <v>1257</v>
      </c>
      <c r="F700">
        <v>55</v>
      </c>
      <c r="G700">
        <v>9900</v>
      </c>
      <c r="H700">
        <v>55</v>
      </c>
      <c r="I700">
        <v>9955</v>
      </c>
      <c r="J700">
        <v>0</v>
      </c>
      <c r="K700">
        <v>108</v>
      </c>
      <c r="L700">
        <v>1</v>
      </c>
      <c r="M700">
        <v>0</v>
      </c>
      <c r="N700" t="s">
        <v>17</v>
      </c>
      <c r="O700" s="1">
        <f>result[[#This Row],[n_killed_mutants_cumulativa]]/result[[#This Row],[tot_mutants]]</f>
        <v>0</v>
      </c>
    </row>
    <row r="701" spans="1:16" hidden="1" x14ac:dyDescent="0.25">
      <c r="A701" t="s">
        <v>132</v>
      </c>
      <c r="B701" t="s">
        <v>52</v>
      </c>
      <c r="C701" t="s">
        <v>16</v>
      </c>
      <c r="D701">
        <v>15191</v>
      </c>
      <c r="E701">
        <v>1646</v>
      </c>
      <c r="F701">
        <v>52</v>
      </c>
      <c r="G701">
        <v>9880</v>
      </c>
      <c r="H701">
        <v>52</v>
      </c>
      <c r="I701">
        <v>9932</v>
      </c>
      <c r="J701">
        <v>0</v>
      </c>
      <c r="K701">
        <v>130</v>
      </c>
      <c r="L701">
        <v>1</v>
      </c>
      <c r="M701">
        <v>0</v>
      </c>
      <c r="N701" t="s">
        <v>17</v>
      </c>
      <c r="O701" s="1">
        <f>result[[#This Row],[n_killed_mutants_cumulativa]]/result[[#This Row],[tot_mutants]]</f>
        <v>0</v>
      </c>
    </row>
    <row r="702" spans="1:16" hidden="1" x14ac:dyDescent="0.25">
      <c r="A702" t="s">
        <v>132</v>
      </c>
      <c r="B702" t="s">
        <v>53</v>
      </c>
      <c r="C702" t="s">
        <v>16</v>
      </c>
      <c r="D702">
        <v>15813</v>
      </c>
      <c r="E702">
        <v>1912</v>
      </c>
      <c r="F702">
        <v>50</v>
      </c>
      <c r="G702">
        <v>10000</v>
      </c>
      <c r="H702">
        <v>50</v>
      </c>
      <c r="I702">
        <v>10050</v>
      </c>
      <c r="J702">
        <v>0</v>
      </c>
      <c r="K702">
        <v>141</v>
      </c>
      <c r="L702">
        <v>1</v>
      </c>
      <c r="M702">
        <v>0</v>
      </c>
      <c r="N702" t="s">
        <v>17</v>
      </c>
      <c r="O702" s="1">
        <f>result[[#This Row],[n_killed_mutants_cumulativa]]/result[[#This Row],[tot_mutants]]</f>
        <v>0</v>
      </c>
    </row>
    <row r="703" spans="1:16" hidden="1" x14ac:dyDescent="0.25">
      <c r="A703" t="s">
        <v>132</v>
      </c>
      <c r="B703" t="s">
        <v>22</v>
      </c>
      <c r="C703" t="s">
        <v>16</v>
      </c>
      <c r="D703">
        <v>122407</v>
      </c>
      <c r="E703">
        <v>13621</v>
      </c>
      <c r="F703">
        <v>539</v>
      </c>
      <c r="G703">
        <v>74170</v>
      </c>
      <c r="H703">
        <v>539</v>
      </c>
      <c r="I703">
        <v>74709</v>
      </c>
      <c r="J703">
        <v>0</v>
      </c>
      <c r="K703">
        <v>1443</v>
      </c>
      <c r="L703">
        <v>1</v>
      </c>
      <c r="M703">
        <v>0</v>
      </c>
      <c r="N703" t="s">
        <v>17</v>
      </c>
      <c r="O703" s="1">
        <f>result[[#This Row],[n_killed_mutants_cumulativa]]/result[[#This Row],[tot_mutants]]</f>
        <v>0</v>
      </c>
      <c r="P703" s="9" t="s">
        <v>356</v>
      </c>
    </row>
    <row r="704" spans="1:16" hidden="1" x14ac:dyDescent="0.25">
      <c r="A704" t="s">
        <v>133</v>
      </c>
      <c r="B704" t="s">
        <v>22</v>
      </c>
      <c r="C704" t="s">
        <v>99</v>
      </c>
      <c r="D704">
        <v>0</v>
      </c>
      <c r="E704">
        <v>145</v>
      </c>
      <c r="F704">
        <v>10</v>
      </c>
      <c r="G704">
        <v>100</v>
      </c>
      <c r="H704">
        <v>122</v>
      </c>
      <c r="I704">
        <v>168</v>
      </c>
      <c r="J704">
        <v>0</v>
      </c>
      <c r="K704">
        <v>0</v>
      </c>
      <c r="L704">
        <v>9</v>
      </c>
      <c r="M704">
        <v>0</v>
      </c>
      <c r="N704" t="s">
        <v>17</v>
      </c>
      <c r="O704" s="1">
        <f>result[[#This Row],[n_killed_mutants_cumulativa]]/result[[#This Row],[tot_mutants]]</f>
        <v>0</v>
      </c>
    </row>
    <row r="705" spans="1:16" hidden="1" x14ac:dyDescent="0.25">
      <c r="A705" t="s">
        <v>134</v>
      </c>
      <c r="B705" t="s">
        <v>15</v>
      </c>
      <c r="C705" t="s">
        <v>16</v>
      </c>
      <c r="D705">
        <v>1771</v>
      </c>
      <c r="E705">
        <v>235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10</v>
      </c>
      <c r="L705">
        <v>1</v>
      </c>
      <c r="M705">
        <v>0</v>
      </c>
      <c r="N705" t="s">
        <v>17</v>
      </c>
      <c r="O705" s="1">
        <f>result[[#This Row],[n_killed_mutants_cumulativa]]/result[[#This Row],[tot_mutants]]</f>
        <v>0</v>
      </c>
    </row>
    <row r="706" spans="1:16" hidden="1" x14ac:dyDescent="0.25">
      <c r="A706" t="s">
        <v>134</v>
      </c>
      <c r="B706" t="s">
        <v>18</v>
      </c>
      <c r="C706" t="s">
        <v>16</v>
      </c>
      <c r="D706">
        <v>1340</v>
      </c>
      <c r="E706">
        <v>356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20</v>
      </c>
      <c r="L706">
        <v>1</v>
      </c>
      <c r="M706">
        <v>0</v>
      </c>
      <c r="N706" t="s">
        <v>17</v>
      </c>
      <c r="O706" s="1">
        <f>result[[#This Row],[n_killed_mutants_cumulativa]]/result[[#This Row],[tot_mutants]]</f>
        <v>0</v>
      </c>
    </row>
    <row r="707" spans="1:16" hidden="1" x14ac:dyDescent="0.25">
      <c r="A707" t="s">
        <v>134</v>
      </c>
      <c r="B707" t="s">
        <v>19</v>
      </c>
      <c r="C707" t="s">
        <v>16</v>
      </c>
      <c r="D707">
        <v>1422</v>
      </c>
      <c r="E707">
        <v>424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30</v>
      </c>
      <c r="L707">
        <v>1</v>
      </c>
      <c r="M707">
        <v>0</v>
      </c>
      <c r="N707" t="s">
        <v>17</v>
      </c>
      <c r="O707" s="1">
        <f>result[[#This Row],[n_killed_mutants_cumulativa]]/result[[#This Row],[tot_mutants]]</f>
        <v>0</v>
      </c>
    </row>
    <row r="708" spans="1:16" hidden="1" x14ac:dyDescent="0.25">
      <c r="A708" t="s">
        <v>134</v>
      </c>
      <c r="B708" t="s">
        <v>20</v>
      </c>
      <c r="C708" t="s">
        <v>16</v>
      </c>
      <c r="D708">
        <v>1702</v>
      </c>
      <c r="E708">
        <v>529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40</v>
      </c>
      <c r="L708">
        <v>1</v>
      </c>
      <c r="M708">
        <v>0</v>
      </c>
      <c r="N708" t="s">
        <v>17</v>
      </c>
      <c r="O708" s="1">
        <f>result[[#This Row],[n_killed_mutants_cumulativa]]/result[[#This Row],[tot_mutants]]</f>
        <v>0</v>
      </c>
    </row>
    <row r="709" spans="1:16" hidden="1" x14ac:dyDescent="0.25">
      <c r="A709" t="s">
        <v>134</v>
      </c>
      <c r="B709" t="s">
        <v>21</v>
      </c>
      <c r="C709" t="s">
        <v>16</v>
      </c>
      <c r="D709">
        <v>2298</v>
      </c>
      <c r="E709">
        <v>1014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50</v>
      </c>
      <c r="L709">
        <v>1</v>
      </c>
      <c r="M709">
        <v>0</v>
      </c>
      <c r="N709" t="s">
        <v>17</v>
      </c>
      <c r="O709" s="1">
        <f>result[[#This Row],[n_killed_mutants_cumulativa]]/result[[#This Row],[tot_mutants]]</f>
        <v>0</v>
      </c>
    </row>
    <row r="710" spans="1:16" hidden="1" x14ac:dyDescent="0.25">
      <c r="A710" t="s">
        <v>134</v>
      </c>
      <c r="B710" t="s">
        <v>22</v>
      </c>
      <c r="C710" t="s">
        <v>16</v>
      </c>
      <c r="D710">
        <v>8533</v>
      </c>
      <c r="E710">
        <v>2558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150</v>
      </c>
      <c r="L710">
        <v>1</v>
      </c>
      <c r="M710">
        <v>0</v>
      </c>
      <c r="N710" t="s">
        <v>17</v>
      </c>
      <c r="O710" s="1">
        <f>result[[#This Row],[n_killed_mutants_cumulativa]]/result[[#This Row],[tot_mutants]]</f>
        <v>0</v>
      </c>
    </row>
    <row r="711" spans="1:16" hidden="1" x14ac:dyDescent="0.25">
      <c r="A711" t="s">
        <v>135</v>
      </c>
      <c r="B711" t="s">
        <v>15</v>
      </c>
      <c r="C711" t="s">
        <v>16</v>
      </c>
      <c r="D711">
        <v>8741</v>
      </c>
      <c r="E711">
        <v>3806</v>
      </c>
      <c r="F711">
        <v>10</v>
      </c>
      <c r="G711">
        <v>100</v>
      </c>
      <c r="H711">
        <v>0</v>
      </c>
      <c r="I711">
        <v>560</v>
      </c>
      <c r="J711">
        <v>0</v>
      </c>
      <c r="K711">
        <v>0</v>
      </c>
      <c r="L711">
        <v>1</v>
      </c>
      <c r="M711">
        <v>0</v>
      </c>
      <c r="N711" t="s">
        <v>17</v>
      </c>
      <c r="O711" s="1">
        <f>result[[#This Row],[n_killed_mutants_cumulativa]]/result[[#This Row],[tot_mutants]]</f>
        <v>0</v>
      </c>
    </row>
    <row r="712" spans="1:16" hidden="1" x14ac:dyDescent="0.25">
      <c r="A712" t="s">
        <v>135</v>
      </c>
      <c r="B712" t="s">
        <v>18</v>
      </c>
      <c r="C712" t="s">
        <v>16</v>
      </c>
      <c r="D712">
        <v>25849</v>
      </c>
      <c r="E712">
        <v>17873</v>
      </c>
      <c r="F712">
        <v>20</v>
      </c>
      <c r="G712">
        <v>400</v>
      </c>
      <c r="H712">
        <v>0</v>
      </c>
      <c r="I712">
        <v>1520</v>
      </c>
      <c r="J712">
        <v>0</v>
      </c>
      <c r="K712">
        <v>0</v>
      </c>
      <c r="L712">
        <v>1</v>
      </c>
      <c r="M712">
        <v>0</v>
      </c>
      <c r="N712" t="s">
        <v>17</v>
      </c>
      <c r="O712" s="1">
        <f>result[[#This Row],[n_killed_mutants_cumulativa]]/result[[#This Row],[tot_mutants]]</f>
        <v>0</v>
      </c>
    </row>
    <row r="713" spans="1:16" hidden="1" x14ac:dyDescent="0.25">
      <c r="A713" t="s">
        <v>135</v>
      </c>
      <c r="B713" t="s">
        <v>19</v>
      </c>
      <c r="C713" t="s">
        <v>16</v>
      </c>
      <c r="D713">
        <v>71166</v>
      </c>
      <c r="E713">
        <v>55111</v>
      </c>
      <c r="F713">
        <v>30</v>
      </c>
      <c r="G713">
        <v>900</v>
      </c>
      <c r="H713">
        <v>0</v>
      </c>
      <c r="I713">
        <v>2880</v>
      </c>
      <c r="J713">
        <v>0</v>
      </c>
      <c r="K713">
        <v>0</v>
      </c>
      <c r="L713">
        <v>1</v>
      </c>
      <c r="M713">
        <v>0</v>
      </c>
      <c r="N713" t="s">
        <v>17</v>
      </c>
      <c r="O713" s="1">
        <f>result[[#This Row],[n_killed_mutants_cumulativa]]/result[[#This Row],[tot_mutants]]</f>
        <v>0</v>
      </c>
    </row>
    <row r="714" spans="1:16" hidden="1" x14ac:dyDescent="0.25">
      <c r="A714" t="s">
        <v>135</v>
      </c>
      <c r="B714" t="s">
        <v>20</v>
      </c>
      <c r="C714" t="s">
        <v>16</v>
      </c>
      <c r="D714">
        <v>152377</v>
      </c>
      <c r="E714">
        <v>125989</v>
      </c>
      <c r="F714">
        <v>40</v>
      </c>
      <c r="G714">
        <v>1600</v>
      </c>
      <c r="H714">
        <v>0</v>
      </c>
      <c r="I714">
        <v>4640</v>
      </c>
      <c r="J714">
        <v>0</v>
      </c>
      <c r="K714">
        <v>0</v>
      </c>
      <c r="L714">
        <v>1</v>
      </c>
      <c r="M714">
        <v>0</v>
      </c>
      <c r="N714" t="s">
        <v>17</v>
      </c>
      <c r="O714" s="1">
        <f>result[[#This Row],[n_killed_mutants_cumulativa]]/result[[#This Row],[tot_mutants]]</f>
        <v>0</v>
      </c>
    </row>
    <row r="715" spans="1:16" hidden="1" x14ac:dyDescent="0.25">
      <c r="A715" t="s">
        <v>135</v>
      </c>
      <c r="B715" t="s">
        <v>21</v>
      </c>
      <c r="C715" t="s">
        <v>16</v>
      </c>
      <c r="D715">
        <v>282345</v>
      </c>
      <c r="E715">
        <v>242065</v>
      </c>
      <c r="F715">
        <v>50</v>
      </c>
      <c r="G715">
        <v>2500</v>
      </c>
      <c r="H715">
        <v>0</v>
      </c>
      <c r="I715">
        <v>6800</v>
      </c>
      <c r="J715">
        <v>0</v>
      </c>
      <c r="K715">
        <v>0</v>
      </c>
      <c r="L715">
        <v>1</v>
      </c>
      <c r="M715">
        <v>0</v>
      </c>
      <c r="N715" t="s">
        <v>17</v>
      </c>
      <c r="O715" s="1">
        <f>result[[#This Row],[n_killed_mutants_cumulativa]]/result[[#This Row],[tot_mutants]]</f>
        <v>0</v>
      </c>
    </row>
    <row r="716" spans="1:16" hidden="1" x14ac:dyDescent="0.25">
      <c r="A716" t="s">
        <v>135</v>
      </c>
      <c r="B716" t="s">
        <v>24</v>
      </c>
      <c r="C716" t="s">
        <v>16</v>
      </c>
      <c r="D716">
        <v>471104</v>
      </c>
      <c r="E716">
        <v>414646</v>
      </c>
      <c r="F716">
        <v>60</v>
      </c>
      <c r="G716">
        <v>3600</v>
      </c>
      <c r="H716">
        <v>0</v>
      </c>
      <c r="I716">
        <v>9360</v>
      </c>
      <c r="J716">
        <v>0</v>
      </c>
      <c r="K716">
        <v>0</v>
      </c>
      <c r="L716">
        <v>1</v>
      </c>
      <c r="M716">
        <v>0</v>
      </c>
      <c r="N716" t="s">
        <v>17</v>
      </c>
      <c r="O716" s="1">
        <f>result[[#This Row],[n_killed_mutants_cumulativa]]/result[[#This Row],[tot_mutants]]</f>
        <v>0</v>
      </c>
    </row>
    <row r="717" spans="1:16" hidden="1" x14ac:dyDescent="0.25">
      <c r="A717" t="s">
        <v>135</v>
      </c>
      <c r="B717" t="s">
        <v>22</v>
      </c>
      <c r="C717" t="s">
        <v>16</v>
      </c>
      <c r="D717">
        <v>1011582</v>
      </c>
      <c r="E717">
        <v>859490</v>
      </c>
      <c r="F717">
        <v>210</v>
      </c>
      <c r="G717">
        <v>9100</v>
      </c>
      <c r="H717">
        <v>0</v>
      </c>
      <c r="I717">
        <v>25760</v>
      </c>
      <c r="J717">
        <v>0</v>
      </c>
      <c r="K717">
        <v>0</v>
      </c>
      <c r="L717">
        <v>1</v>
      </c>
      <c r="M717">
        <v>0</v>
      </c>
      <c r="N717" t="s">
        <v>17</v>
      </c>
      <c r="O717" s="1">
        <f>result[[#This Row],[n_killed_mutants_cumulativa]]/result[[#This Row],[tot_mutants]]</f>
        <v>0</v>
      </c>
      <c r="P717" s="9" t="s">
        <v>346</v>
      </c>
    </row>
    <row r="718" spans="1:16" hidden="1" x14ac:dyDescent="0.25">
      <c r="A718" t="s">
        <v>136</v>
      </c>
      <c r="B718" t="s">
        <v>15</v>
      </c>
      <c r="C718" t="s">
        <v>16</v>
      </c>
      <c r="D718">
        <v>10611</v>
      </c>
      <c r="E718">
        <v>8972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4</v>
      </c>
      <c r="L718">
        <v>51</v>
      </c>
      <c r="M718">
        <v>0</v>
      </c>
      <c r="N718" t="s">
        <v>17</v>
      </c>
      <c r="O718" s="1">
        <f>result[[#This Row],[n_killed_mutants_cumulativa]]/result[[#This Row],[tot_mutants]]</f>
        <v>0</v>
      </c>
    </row>
    <row r="719" spans="1:16" hidden="1" x14ac:dyDescent="0.25">
      <c r="A719" t="s">
        <v>136</v>
      </c>
      <c r="B719" t="s">
        <v>18</v>
      </c>
      <c r="C719" t="s">
        <v>16</v>
      </c>
      <c r="D719">
        <v>19954</v>
      </c>
      <c r="E719">
        <v>19613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</v>
      </c>
      <c r="L719">
        <v>51</v>
      </c>
      <c r="M719">
        <v>0</v>
      </c>
      <c r="N719" t="s">
        <v>17</v>
      </c>
      <c r="O719" s="1">
        <f>result[[#This Row],[n_killed_mutants_cumulativa]]/result[[#This Row],[tot_mutants]]</f>
        <v>0</v>
      </c>
    </row>
    <row r="720" spans="1:16" hidden="1" x14ac:dyDescent="0.25">
      <c r="A720" t="s">
        <v>136</v>
      </c>
      <c r="B720" t="s">
        <v>19</v>
      </c>
      <c r="C720" t="s">
        <v>16</v>
      </c>
      <c r="D720">
        <v>15838</v>
      </c>
      <c r="E720">
        <v>15801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51</v>
      </c>
      <c r="M720">
        <v>0</v>
      </c>
      <c r="N720" t="s">
        <v>17</v>
      </c>
      <c r="O720" s="1">
        <f>result[[#This Row],[n_killed_mutants_cumulativa]]/result[[#This Row],[tot_mutants]]</f>
        <v>0</v>
      </c>
    </row>
    <row r="721" spans="1:16" hidden="1" x14ac:dyDescent="0.25">
      <c r="A721" t="s">
        <v>136</v>
      </c>
      <c r="B721" t="s">
        <v>20</v>
      </c>
      <c r="C721" t="s">
        <v>16</v>
      </c>
      <c r="D721">
        <v>26756</v>
      </c>
      <c r="E721">
        <v>26716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51</v>
      </c>
      <c r="M721">
        <v>0</v>
      </c>
      <c r="N721" t="s">
        <v>17</v>
      </c>
      <c r="O721" s="1">
        <f>result[[#This Row],[n_killed_mutants_cumulativa]]/result[[#This Row],[tot_mutants]]</f>
        <v>0</v>
      </c>
    </row>
    <row r="722" spans="1:16" hidden="1" x14ac:dyDescent="0.25">
      <c r="A722" t="s">
        <v>136</v>
      </c>
      <c r="B722" t="s">
        <v>21</v>
      </c>
      <c r="C722" t="s">
        <v>16</v>
      </c>
      <c r="D722">
        <v>39745</v>
      </c>
      <c r="E722">
        <v>39706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51</v>
      </c>
      <c r="M722">
        <v>0</v>
      </c>
      <c r="N722" t="s">
        <v>17</v>
      </c>
      <c r="O722" s="1">
        <f>result[[#This Row],[n_killed_mutants_cumulativa]]/result[[#This Row],[tot_mutants]]</f>
        <v>0</v>
      </c>
    </row>
    <row r="723" spans="1:16" hidden="1" x14ac:dyDescent="0.25">
      <c r="A723" t="s">
        <v>136</v>
      </c>
      <c r="B723" t="s">
        <v>22</v>
      </c>
      <c r="C723" t="s">
        <v>16</v>
      </c>
      <c r="D723">
        <v>112904</v>
      </c>
      <c r="E723">
        <v>110808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6</v>
      </c>
      <c r="L723">
        <v>51</v>
      </c>
      <c r="M723">
        <v>0</v>
      </c>
      <c r="N723" t="s">
        <v>17</v>
      </c>
      <c r="O723" s="1">
        <f>result[[#This Row],[n_killed_mutants_cumulativa]]/result[[#This Row],[tot_mutants]]</f>
        <v>0</v>
      </c>
    </row>
    <row r="724" spans="1:16" hidden="1" x14ac:dyDescent="0.25">
      <c r="A724" t="s">
        <v>137</v>
      </c>
      <c r="B724" t="s">
        <v>15</v>
      </c>
      <c r="C724" t="s">
        <v>16</v>
      </c>
      <c r="D724">
        <v>2238</v>
      </c>
      <c r="E724">
        <v>172</v>
      </c>
      <c r="F724">
        <v>10</v>
      </c>
      <c r="G724">
        <v>100</v>
      </c>
      <c r="H724">
        <v>100</v>
      </c>
      <c r="I724">
        <v>361</v>
      </c>
      <c r="J724">
        <v>0</v>
      </c>
      <c r="K724">
        <v>0</v>
      </c>
      <c r="L724">
        <v>1</v>
      </c>
      <c r="M724">
        <v>1</v>
      </c>
      <c r="N724" t="s">
        <v>55</v>
      </c>
      <c r="O724" s="1">
        <f>result[[#This Row],[n_killed_mutants_cumulativa]]/result[[#This Row],[tot_mutants]]</f>
        <v>1</v>
      </c>
    </row>
    <row r="725" spans="1:16" x14ac:dyDescent="0.25">
      <c r="A725" t="s">
        <v>137</v>
      </c>
      <c r="B725" t="s">
        <v>22</v>
      </c>
      <c r="C725" t="s">
        <v>16</v>
      </c>
      <c r="D725">
        <v>2238</v>
      </c>
      <c r="E725">
        <v>172</v>
      </c>
      <c r="F725">
        <v>10</v>
      </c>
      <c r="G725">
        <v>100</v>
      </c>
      <c r="H725">
        <v>100</v>
      </c>
      <c r="I725">
        <v>361</v>
      </c>
      <c r="J725">
        <v>0</v>
      </c>
      <c r="K725">
        <v>0</v>
      </c>
      <c r="L725">
        <v>1</v>
      </c>
      <c r="M725">
        <v>1</v>
      </c>
      <c r="N725" t="s">
        <v>55</v>
      </c>
      <c r="O725" s="1">
        <f>result[[#This Row],[n_killed_mutants_cumulativa]]/result[[#This Row],[tot_mutants]]</f>
        <v>1</v>
      </c>
      <c r="P725" s="9" t="s">
        <v>360</v>
      </c>
    </row>
    <row r="726" spans="1:16" hidden="1" x14ac:dyDescent="0.25">
      <c r="A726" t="s">
        <v>138</v>
      </c>
      <c r="B726" t="s">
        <v>15</v>
      </c>
      <c r="C726" t="s">
        <v>16</v>
      </c>
      <c r="D726">
        <v>2221</v>
      </c>
      <c r="E726">
        <v>300</v>
      </c>
      <c r="F726">
        <v>10</v>
      </c>
      <c r="G726">
        <v>100</v>
      </c>
      <c r="H726">
        <v>0</v>
      </c>
      <c r="I726">
        <v>300</v>
      </c>
      <c r="J726">
        <v>0</v>
      </c>
      <c r="K726">
        <v>0</v>
      </c>
      <c r="L726">
        <v>1</v>
      </c>
      <c r="M726">
        <v>1</v>
      </c>
      <c r="N726" t="s">
        <v>55</v>
      </c>
      <c r="O726" s="1">
        <f>result[[#This Row],[n_killed_mutants_cumulativa]]/result[[#This Row],[tot_mutants]]</f>
        <v>1</v>
      </c>
    </row>
    <row r="727" spans="1:16" x14ac:dyDescent="0.25">
      <c r="A727" t="s">
        <v>138</v>
      </c>
      <c r="B727" t="s">
        <v>22</v>
      </c>
      <c r="C727" t="s">
        <v>16</v>
      </c>
      <c r="D727">
        <v>2221</v>
      </c>
      <c r="E727">
        <v>300</v>
      </c>
      <c r="F727">
        <v>10</v>
      </c>
      <c r="G727">
        <v>100</v>
      </c>
      <c r="H727">
        <v>0</v>
      </c>
      <c r="I727">
        <v>300</v>
      </c>
      <c r="J727">
        <v>0</v>
      </c>
      <c r="K727">
        <v>0</v>
      </c>
      <c r="L727">
        <v>1</v>
      </c>
      <c r="M727">
        <v>1</v>
      </c>
      <c r="N727" t="s">
        <v>55</v>
      </c>
      <c r="O727" s="1">
        <f>result[[#This Row],[n_killed_mutants_cumulativa]]/result[[#This Row],[tot_mutants]]</f>
        <v>1</v>
      </c>
      <c r="P727" s="9" t="s">
        <v>360</v>
      </c>
    </row>
    <row r="728" spans="1:16" hidden="1" x14ac:dyDescent="0.25">
      <c r="A728" t="s">
        <v>139</v>
      </c>
      <c r="B728" t="s">
        <v>15</v>
      </c>
      <c r="C728" t="s">
        <v>16</v>
      </c>
      <c r="D728">
        <v>3594</v>
      </c>
      <c r="E728">
        <v>1073</v>
      </c>
      <c r="F728">
        <v>0</v>
      </c>
      <c r="G728">
        <v>0</v>
      </c>
      <c r="H728">
        <v>0</v>
      </c>
      <c r="I728">
        <v>0</v>
      </c>
      <c r="J728">
        <v>10</v>
      </c>
      <c r="K728">
        <v>0</v>
      </c>
      <c r="L728">
        <v>33</v>
      </c>
      <c r="M728">
        <v>0</v>
      </c>
      <c r="N728" t="s">
        <v>17</v>
      </c>
      <c r="O728" s="1">
        <f>result[[#This Row],[n_killed_mutants_cumulativa]]/result[[#This Row],[tot_mutants]]</f>
        <v>0</v>
      </c>
    </row>
    <row r="729" spans="1:16" hidden="1" x14ac:dyDescent="0.25">
      <c r="A729" t="s">
        <v>139</v>
      </c>
      <c r="B729" t="s">
        <v>18</v>
      </c>
      <c r="C729" t="s">
        <v>16</v>
      </c>
      <c r="D729">
        <v>3735</v>
      </c>
      <c r="E729">
        <v>1985</v>
      </c>
      <c r="F729">
        <v>0</v>
      </c>
      <c r="G729">
        <v>0</v>
      </c>
      <c r="H729">
        <v>0</v>
      </c>
      <c r="I729">
        <v>0</v>
      </c>
      <c r="J729">
        <v>20</v>
      </c>
      <c r="K729">
        <v>0</v>
      </c>
      <c r="L729">
        <v>33</v>
      </c>
      <c r="M729">
        <v>0</v>
      </c>
      <c r="N729" t="s">
        <v>17</v>
      </c>
      <c r="O729" s="1">
        <f>result[[#This Row],[n_killed_mutants_cumulativa]]/result[[#This Row],[tot_mutants]]</f>
        <v>0</v>
      </c>
    </row>
    <row r="730" spans="1:16" hidden="1" x14ac:dyDescent="0.25">
      <c r="A730" t="s">
        <v>139</v>
      </c>
      <c r="B730" t="s">
        <v>19</v>
      </c>
      <c r="C730" t="s">
        <v>16</v>
      </c>
      <c r="D730">
        <v>5767</v>
      </c>
      <c r="E730">
        <v>3344</v>
      </c>
      <c r="F730">
        <v>0</v>
      </c>
      <c r="G730">
        <v>0</v>
      </c>
      <c r="H730">
        <v>0</v>
      </c>
      <c r="I730">
        <v>0</v>
      </c>
      <c r="J730">
        <v>30</v>
      </c>
      <c r="K730">
        <v>0</v>
      </c>
      <c r="L730">
        <v>33</v>
      </c>
      <c r="M730">
        <v>0</v>
      </c>
      <c r="N730" t="s">
        <v>17</v>
      </c>
      <c r="O730" s="1">
        <f>result[[#This Row],[n_killed_mutants_cumulativa]]/result[[#This Row],[tot_mutants]]</f>
        <v>0</v>
      </c>
    </row>
    <row r="731" spans="1:16" hidden="1" x14ac:dyDescent="0.25">
      <c r="A731" t="s">
        <v>139</v>
      </c>
      <c r="B731" t="s">
        <v>20</v>
      </c>
      <c r="C731" t="s">
        <v>16</v>
      </c>
      <c r="D731">
        <v>9461</v>
      </c>
      <c r="E731">
        <v>6001</v>
      </c>
      <c r="F731">
        <v>0</v>
      </c>
      <c r="G731">
        <v>0</v>
      </c>
      <c r="H731">
        <v>0</v>
      </c>
      <c r="I731">
        <v>0</v>
      </c>
      <c r="J731">
        <v>40</v>
      </c>
      <c r="K731">
        <v>0</v>
      </c>
      <c r="L731">
        <v>33</v>
      </c>
      <c r="M731">
        <v>0</v>
      </c>
      <c r="N731" t="s">
        <v>17</v>
      </c>
      <c r="O731" s="1">
        <f>result[[#This Row],[n_killed_mutants_cumulativa]]/result[[#This Row],[tot_mutants]]</f>
        <v>0</v>
      </c>
    </row>
    <row r="732" spans="1:16" hidden="1" x14ac:dyDescent="0.25">
      <c r="A732" t="s">
        <v>139</v>
      </c>
      <c r="B732" t="s">
        <v>21</v>
      </c>
      <c r="C732" t="s">
        <v>16</v>
      </c>
      <c r="D732">
        <v>14387</v>
      </c>
      <c r="E732">
        <v>9516</v>
      </c>
      <c r="F732">
        <v>0</v>
      </c>
      <c r="G732">
        <v>0</v>
      </c>
      <c r="H732">
        <v>0</v>
      </c>
      <c r="I732">
        <v>0</v>
      </c>
      <c r="J732">
        <v>50</v>
      </c>
      <c r="K732">
        <v>0</v>
      </c>
      <c r="L732">
        <v>33</v>
      </c>
      <c r="M732">
        <v>0</v>
      </c>
      <c r="N732" t="s">
        <v>17</v>
      </c>
      <c r="O732" s="1">
        <f>result[[#This Row],[n_killed_mutants_cumulativa]]/result[[#This Row],[tot_mutants]]</f>
        <v>0</v>
      </c>
    </row>
    <row r="733" spans="1:16" hidden="1" x14ac:dyDescent="0.25">
      <c r="A733" t="s">
        <v>139</v>
      </c>
      <c r="B733" t="s">
        <v>22</v>
      </c>
      <c r="C733" t="s">
        <v>16</v>
      </c>
      <c r="D733">
        <v>36944</v>
      </c>
      <c r="E733">
        <v>21919</v>
      </c>
      <c r="F733">
        <v>0</v>
      </c>
      <c r="G733">
        <v>0</v>
      </c>
      <c r="H733">
        <v>0</v>
      </c>
      <c r="I733">
        <v>0</v>
      </c>
      <c r="J733">
        <v>150</v>
      </c>
      <c r="K733">
        <v>0</v>
      </c>
      <c r="L733">
        <v>33</v>
      </c>
      <c r="M733">
        <v>0</v>
      </c>
      <c r="N733" t="s">
        <v>17</v>
      </c>
      <c r="O733" s="1">
        <f>result[[#This Row],[n_killed_mutants_cumulativa]]/result[[#This Row],[tot_mutants]]</f>
        <v>0</v>
      </c>
    </row>
    <row r="734" spans="1:16" hidden="1" x14ac:dyDescent="0.25">
      <c r="A734" t="s">
        <v>140</v>
      </c>
      <c r="B734" t="s">
        <v>15</v>
      </c>
      <c r="C734" t="s">
        <v>16</v>
      </c>
      <c r="D734">
        <v>1756</v>
      </c>
      <c r="E734">
        <v>135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10</v>
      </c>
      <c r="L734">
        <v>4</v>
      </c>
      <c r="M734">
        <v>0</v>
      </c>
      <c r="N734" t="s">
        <v>17</v>
      </c>
      <c r="O734" s="1">
        <f>result[[#This Row],[n_killed_mutants_cumulativa]]/result[[#This Row],[tot_mutants]]</f>
        <v>0</v>
      </c>
    </row>
    <row r="735" spans="1:16" hidden="1" x14ac:dyDescent="0.25">
      <c r="A735" t="s">
        <v>140</v>
      </c>
      <c r="B735" t="s">
        <v>18</v>
      </c>
      <c r="C735" t="s">
        <v>16</v>
      </c>
      <c r="D735">
        <v>1543</v>
      </c>
      <c r="E735">
        <v>237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20</v>
      </c>
      <c r="L735">
        <v>4</v>
      </c>
      <c r="M735">
        <v>0</v>
      </c>
      <c r="N735" t="s">
        <v>17</v>
      </c>
      <c r="O735" s="1">
        <f>result[[#This Row],[n_killed_mutants_cumulativa]]/result[[#This Row],[tot_mutants]]</f>
        <v>0</v>
      </c>
    </row>
    <row r="736" spans="1:16" hidden="1" x14ac:dyDescent="0.25">
      <c r="A736" t="s">
        <v>140</v>
      </c>
      <c r="B736" t="s">
        <v>19</v>
      </c>
      <c r="C736" t="s">
        <v>16</v>
      </c>
      <c r="D736">
        <v>1768</v>
      </c>
      <c r="E736">
        <v>254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30</v>
      </c>
      <c r="L736">
        <v>4</v>
      </c>
      <c r="M736">
        <v>0</v>
      </c>
      <c r="N736" t="s">
        <v>17</v>
      </c>
      <c r="O736" s="1">
        <f>result[[#This Row],[n_killed_mutants_cumulativa]]/result[[#This Row],[tot_mutants]]</f>
        <v>0</v>
      </c>
    </row>
    <row r="737" spans="1:16" hidden="1" x14ac:dyDescent="0.25">
      <c r="A737" t="s">
        <v>140</v>
      </c>
      <c r="B737" t="s">
        <v>20</v>
      </c>
      <c r="C737" t="s">
        <v>16</v>
      </c>
      <c r="D737">
        <v>2259</v>
      </c>
      <c r="E737">
        <v>253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40</v>
      </c>
      <c r="L737">
        <v>4</v>
      </c>
      <c r="M737">
        <v>0</v>
      </c>
      <c r="N737" t="s">
        <v>17</v>
      </c>
      <c r="O737" s="1">
        <f>result[[#This Row],[n_killed_mutants_cumulativa]]/result[[#This Row],[tot_mutants]]</f>
        <v>0</v>
      </c>
    </row>
    <row r="738" spans="1:16" hidden="1" x14ac:dyDescent="0.25">
      <c r="A738" t="s">
        <v>140</v>
      </c>
      <c r="B738" t="s">
        <v>21</v>
      </c>
      <c r="C738" t="s">
        <v>16</v>
      </c>
      <c r="D738">
        <v>3459</v>
      </c>
      <c r="E738">
        <v>344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50</v>
      </c>
      <c r="L738">
        <v>4</v>
      </c>
      <c r="M738">
        <v>0</v>
      </c>
      <c r="N738" t="s">
        <v>17</v>
      </c>
      <c r="O738" s="1">
        <f>result[[#This Row],[n_killed_mutants_cumulativa]]/result[[#This Row],[tot_mutants]]</f>
        <v>0</v>
      </c>
    </row>
    <row r="739" spans="1:16" hidden="1" x14ac:dyDescent="0.25">
      <c r="A739" t="s">
        <v>140</v>
      </c>
      <c r="B739" t="s">
        <v>22</v>
      </c>
      <c r="C739" t="s">
        <v>16</v>
      </c>
      <c r="D739">
        <v>10785</v>
      </c>
      <c r="E739">
        <v>1223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150</v>
      </c>
      <c r="L739">
        <v>4</v>
      </c>
      <c r="M739">
        <v>0</v>
      </c>
      <c r="N739" t="s">
        <v>17</v>
      </c>
      <c r="O739" s="1">
        <f>result[[#This Row],[n_killed_mutants_cumulativa]]/result[[#This Row],[tot_mutants]]</f>
        <v>0</v>
      </c>
    </row>
    <row r="740" spans="1:16" hidden="1" x14ac:dyDescent="0.25">
      <c r="A740" t="s">
        <v>141</v>
      </c>
      <c r="B740" t="s">
        <v>15</v>
      </c>
      <c r="C740" t="s">
        <v>16</v>
      </c>
      <c r="D740">
        <v>7612</v>
      </c>
      <c r="E740">
        <v>97</v>
      </c>
      <c r="F740">
        <v>10</v>
      </c>
      <c r="G740">
        <v>100</v>
      </c>
      <c r="H740">
        <v>103</v>
      </c>
      <c r="I740">
        <v>236</v>
      </c>
      <c r="J740">
        <v>0</v>
      </c>
      <c r="K740">
        <v>0</v>
      </c>
      <c r="L740">
        <v>16</v>
      </c>
      <c r="M740">
        <v>0</v>
      </c>
      <c r="N740" t="s">
        <v>17</v>
      </c>
      <c r="O740" s="1">
        <f>result[[#This Row],[n_killed_mutants_cumulativa]]/result[[#This Row],[tot_mutants]]</f>
        <v>0</v>
      </c>
    </row>
    <row r="741" spans="1:16" hidden="1" x14ac:dyDescent="0.25">
      <c r="A741" t="s">
        <v>141</v>
      </c>
      <c r="B741" t="s">
        <v>18</v>
      </c>
      <c r="C741" t="s">
        <v>16</v>
      </c>
      <c r="D741">
        <v>10142</v>
      </c>
      <c r="E741">
        <v>36</v>
      </c>
      <c r="F741">
        <v>20</v>
      </c>
      <c r="G741">
        <v>400</v>
      </c>
      <c r="H741">
        <v>436</v>
      </c>
      <c r="I741">
        <v>1279</v>
      </c>
      <c r="J741">
        <v>0</v>
      </c>
      <c r="K741">
        <v>0</v>
      </c>
      <c r="L741">
        <v>16</v>
      </c>
      <c r="M741">
        <v>1</v>
      </c>
      <c r="N741" t="s">
        <v>142</v>
      </c>
      <c r="O741" s="1">
        <f>result[[#This Row],[n_killed_mutants_cumulativa]]/result[[#This Row],[tot_mutants]]</f>
        <v>6.25E-2</v>
      </c>
    </row>
    <row r="742" spans="1:16" hidden="1" x14ac:dyDescent="0.25">
      <c r="A742" t="s">
        <v>141</v>
      </c>
      <c r="B742" t="s">
        <v>19</v>
      </c>
      <c r="C742" t="s">
        <v>16</v>
      </c>
      <c r="D742">
        <v>18174</v>
      </c>
      <c r="E742">
        <v>46</v>
      </c>
      <c r="F742">
        <v>30</v>
      </c>
      <c r="G742">
        <v>900</v>
      </c>
      <c r="H742">
        <v>964</v>
      </c>
      <c r="I742">
        <v>2955</v>
      </c>
      <c r="J742">
        <v>0</v>
      </c>
      <c r="K742">
        <v>0</v>
      </c>
      <c r="L742">
        <v>16</v>
      </c>
      <c r="M742">
        <v>1</v>
      </c>
      <c r="N742" t="s">
        <v>142</v>
      </c>
      <c r="O742" s="1">
        <f>result[[#This Row],[n_killed_mutants_cumulativa]]/result[[#This Row],[tot_mutants]]</f>
        <v>6.25E-2</v>
      </c>
    </row>
    <row r="743" spans="1:16" hidden="1" x14ac:dyDescent="0.25">
      <c r="A743" t="s">
        <v>141</v>
      </c>
      <c r="B743" t="s">
        <v>20</v>
      </c>
      <c r="C743" t="s">
        <v>16</v>
      </c>
      <c r="D743">
        <v>28828</v>
      </c>
      <c r="E743">
        <v>104</v>
      </c>
      <c r="F743">
        <v>40</v>
      </c>
      <c r="G743">
        <v>1600</v>
      </c>
      <c r="H743">
        <v>1755</v>
      </c>
      <c r="I743">
        <v>5883</v>
      </c>
      <c r="J743">
        <v>0</v>
      </c>
      <c r="K743">
        <v>0</v>
      </c>
      <c r="L743">
        <v>16</v>
      </c>
      <c r="M743">
        <v>1</v>
      </c>
      <c r="N743" t="s">
        <v>142</v>
      </c>
      <c r="O743" s="1">
        <f>result[[#This Row],[n_killed_mutants_cumulativa]]/result[[#This Row],[tot_mutants]]</f>
        <v>6.25E-2</v>
      </c>
    </row>
    <row r="744" spans="1:16" hidden="1" x14ac:dyDescent="0.25">
      <c r="A744" t="s">
        <v>141</v>
      </c>
      <c r="B744" t="s">
        <v>21</v>
      </c>
      <c r="C744" t="s">
        <v>16</v>
      </c>
      <c r="D744">
        <v>41370</v>
      </c>
      <c r="E744">
        <v>125</v>
      </c>
      <c r="F744">
        <v>50</v>
      </c>
      <c r="G744">
        <v>2500</v>
      </c>
      <c r="H744">
        <v>2709</v>
      </c>
      <c r="I744">
        <v>8742</v>
      </c>
      <c r="J744">
        <v>0</v>
      </c>
      <c r="K744">
        <v>0</v>
      </c>
      <c r="L744">
        <v>16</v>
      </c>
      <c r="M744">
        <v>1</v>
      </c>
      <c r="N744" t="s">
        <v>142</v>
      </c>
      <c r="O744" s="1">
        <f>result[[#This Row],[n_killed_mutants_cumulativa]]/result[[#This Row],[tot_mutants]]</f>
        <v>6.25E-2</v>
      </c>
    </row>
    <row r="745" spans="1:16" hidden="1" x14ac:dyDescent="0.25">
      <c r="A745" t="s">
        <v>141</v>
      </c>
      <c r="B745" t="s">
        <v>24</v>
      </c>
      <c r="C745" t="s">
        <v>16</v>
      </c>
      <c r="D745">
        <v>58892</v>
      </c>
      <c r="E745">
        <v>258</v>
      </c>
      <c r="F745">
        <v>60</v>
      </c>
      <c r="G745">
        <v>3600</v>
      </c>
      <c r="H745">
        <v>3920</v>
      </c>
      <c r="I745">
        <v>13074</v>
      </c>
      <c r="J745">
        <v>0</v>
      </c>
      <c r="K745">
        <v>0</v>
      </c>
      <c r="L745">
        <v>16</v>
      </c>
      <c r="M745">
        <v>1</v>
      </c>
      <c r="N745" t="s">
        <v>142</v>
      </c>
      <c r="O745" s="1">
        <f>result[[#This Row],[n_killed_mutants_cumulativa]]/result[[#This Row],[tot_mutants]]</f>
        <v>6.25E-2</v>
      </c>
    </row>
    <row r="746" spans="1:16" hidden="1" x14ac:dyDescent="0.25">
      <c r="A746" t="s">
        <v>141</v>
      </c>
      <c r="B746" t="s">
        <v>25</v>
      </c>
      <c r="C746" t="s">
        <v>16</v>
      </c>
      <c r="D746">
        <v>78030</v>
      </c>
      <c r="E746">
        <v>227</v>
      </c>
      <c r="F746">
        <v>70</v>
      </c>
      <c r="G746">
        <v>4900</v>
      </c>
      <c r="H746">
        <v>5397</v>
      </c>
      <c r="I746">
        <v>18273</v>
      </c>
      <c r="J746">
        <v>0</v>
      </c>
      <c r="K746">
        <v>0</v>
      </c>
      <c r="L746">
        <v>16</v>
      </c>
      <c r="M746">
        <v>1</v>
      </c>
      <c r="N746" t="s">
        <v>142</v>
      </c>
      <c r="O746" s="1">
        <f>result[[#This Row],[n_killed_mutants_cumulativa]]/result[[#This Row],[tot_mutants]]</f>
        <v>6.25E-2</v>
      </c>
    </row>
    <row r="747" spans="1:16" hidden="1" x14ac:dyDescent="0.25">
      <c r="A747" t="s">
        <v>141</v>
      </c>
      <c r="B747" t="s">
        <v>26</v>
      </c>
      <c r="C747" t="s">
        <v>16</v>
      </c>
      <c r="D747">
        <v>101718</v>
      </c>
      <c r="E747">
        <v>281</v>
      </c>
      <c r="F747">
        <v>80</v>
      </c>
      <c r="G747">
        <v>6400</v>
      </c>
      <c r="H747">
        <v>7007</v>
      </c>
      <c r="I747">
        <v>23949</v>
      </c>
      <c r="J747">
        <v>0</v>
      </c>
      <c r="K747">
        <v>0</v>
      </c>
      <c r="L747">
        <v>16</v>
      </c>
      <c r="M747">
        <v>1</v>
      </c>
      <c r="N747" t="s">
        <v>142</v>
      </c>
      <c r="O747" s="1">
        <f>result[[#This Row],[n_killed_mutants_cumulativa]]/result[[#This Row],[tot_mutants]]</f>
        <v>6.25E-2</v>
      </c>
    </row>
    <row r="748" spans="1:16" hidden="1" x14ac:dyDescent="0.25">
      <c r="A748" t="s">
        <v>141</v>
      </c>
      <c r="B748" t="s">
        <v>27</v>
      </c>
      <c r="C748" t="s">
        <v>16</v>
      </c>
      <c r="D748">
        <v>130325</v>
      </c>
      <c r="E748">
        <v>346</v>
      </c>
      <c r="F748">
        <v>90</v>
      </c>
      <c r="G748">
        <v>8100</v>
      </c>
      <c r="H748">
        <v>8807</v>
      </c>
      <c r="I748">
        <v>30671</v>
      </c>
      <c r="J748">
        <v>0</v>
      </c>
      <c r="K748">
        <v>0</v>
      </c>
      <c r="L748">
        <v>16</v>
      </c>
      <c r="M748">
        <v>1</v>
      </c>
      <c r="N748" t="s">
        <v>142</v>
      </c>
      <c r="O748" s="1">
        <f>result[[#This Row],[n_killed_mutants_cumulativa]]/result[[#This Row],[tot_mutants]]</f>
        <v>6.25E-2</v>
      </c>
    </row>
    <row r="749" spans="1:16" hidden="1" x14ac:dyDescent="0.25">
      <c r="A749" t="s">
        <v>141</v>
      </c>
      <c r="B749" t="s">
        <v>30</v>
      </c>
      <c r="C749" t="s">
        <v>16</v>
      </c>
      <c r="D749">
        <v>161548</v>
      </c>
      <c r="E749">
        <v>429</v>
      </c>
      <c r="F749">
        <v>100</v>
      </c>
      <c r="G749">
        <v>10000</v>
      </c>
      <c r="H749">
        <v>10905</v>
      </c>
      <c r="I749">
        <v>37857</v>
      </c>
      <c r="J749">
        <v>0</v>
      </c>
      <c r="K749">
        <v>0</v>
      </c>
      <c r="L749">
        <v>16</v>
      </c>
      <c r="M749">
        <v>1</v>
      </c>
      <c r="N749" t="s">
        <v>142</v>
      </c>
      <c r="O749" s="1">
        <f>result[[#This Row],[n_killed_mutants_cumulativa]]/result[[#This Row],[tot_mutants]]</f>
        <v>6.25E-2</v>
      </c>
    </row>
    <row r="750" spans="1:16" x14ac:dyDescent="0.25">
      <c r="A750" t="s">
        <v>141</v>
      </c>
      <c r="B750" t="s">
        <v>22</v>
      </c>
      <c r="C750" t="s">
        <v>16</v>
      </c>
      <c r="D750">
        <v>636639</v>
      </c>
      <c r="E750">
        <v>1949</v>
      </c>
      <c r="F750">
        <v>550</v>
      </c>
      <c r="G750">
        <v>38500</v>
      </c>
      <c r="H750">
        <v>42003</v>
      </c>
      <c r="I750">
        <v>142919</v>
      </c>
      <c r="J750">
        <v>0</v>
      </c>
      <c r="K750">
        <v>0</v>
      </c>
      <c r="L750">
        <v>16</v>
      </c>
      <c r="M750">
        <v>1</v>
      </c>
      <c r="N750" t="s">
        <v>142</v>
      </c>
      <c r="O750" s="1">
        <f>result[[#This Row],[n_killed_mutants_cumulativa]]/result[[#This Row],[tot_mutants]]</f>
        <v>6.25E-2</v>
      </c>
      <c r="P750" s="9" t="s">
        <v>359</v>
      </c>
    </row>
    <row r="751" spans="1:16" hidden="1" x14ac:dyDescent="0.25">
      <c r="A751" t="s">
        <v>143</v>
      </c>
      <c r="B751" t="s">
        <v>15</v>
      </c>
      <c r="C751" t="s">
        <v>16</v>
      </c>
      <c r="D751">
        <v>2222</v>
      </c>
      <c r="E751">
        <v>213</v>
      </c>
      <c r="F751">
        <v>10</v>
      </c>
      <c r="G751">
        <v>100</v>
      </c>
      <c r="H751">
        <v>100</v>
      </c>
      <c r="I751">
        <v>231</v>
      </c>
      <c r="J751">
        <v>0</v>
      </c>
      <c r="K751">
        <v>0</v>
      </c>
      <c r="L751">
        <v>1</v>
      </c>
      <c r="M751">
        <v>1</v>
      </c>
      <c r="N751" t="s">
        <v>55</v>
      </c>
      <c r="O751" s="1">
        <f>result[[#This Row],[n_killed_mutants_cumulativa]]/result[[#This Row],[tot_mutants]]</f>
        <v>1</v>
      </c>
    </row>
    <row r="752" spans="1:16" x14ac:dyDescent="0.25">
      <c r="A752" t="s">
        <v>143</v>
      </c>
      <c r="B752" t="s">
        <v>22</v>
      </c>
      <c r="C752" t="s">
        <v>16</v>
      </c>
      <c r="D752">
        <v>2222</v>
      </c>
      <c r="E752">
        <v>213</v>
      </c>
      <c r="F752">
        <v>10</v>
      </c>
      <c r="G752">
        <v>100</v>
      </c>
      <c r="H752">
        <v>100</v>
      </c>
      <c r="I752">
        <v>231</v>
      </c>
      <c r="J752">
        <v>0</v>
      </c>
      <c r="K752">
        <v>0</v>
      </c>
      <c r="L752">
        <v>1</v>
      </c>
      <c r="M752">
        <v>1</v>
      </c>
      <c r="N752" t="s">
        <v>55</v>
      </c>
      <c r="O752" s="1">
        <f>result[[#This Row],[n_killed_mutants_cumulativa]]/result[[#This Row],[tot_mutants]]</f>
        <v>1</v>
      </c>
      <c r="P752" s="9" t="s">
        <v>360</v>
      </c>
    </row>
    <row r="753" spans="1:16" hidden="1" x14ac:dyDescent="0.25">
      <c r="A753" t="s">
        <v>144</v>
      </c>
      <c r="B753" t="s">
        <v>15</v>
      </c>
      <c r="C753" t="s">
        <v>16</v>
      </c>
      <c r="D753">
        <v>6136</v>
      </c>
      <c r="E753">
        <v>134</v>
      </c>
      <c r="F753">
        <v>10</v>
      </c>
      <c r="G753">
        <v>100</v>
      </c>
      <c r="H753">
        <v>45</v>
      </c>
      <c r="I753">
        <v>771</v>
      </c>
      <c r="J753">
        <v>0</v>
      </c>
      <c r="K753">
        <v>0</v>
      </c>
      <c r="L753">
        <v>8</v>
      </c>
      <c r="M753">
        <v>1</v>
      </c>
      <c r="N753" t="s">
        <v>29</v>
      </c>
      <c r="O753" s="1">
        <f>result[[#This Row],[n_killed_mutants_cumulativa]]/result[[#This Row],[tot_mutants]]</f>
        <v>0.125</v>
      </c>
    </row>
    <row r="754" spans="1:16" hidden="1" x14ac:dyDescent="0.25">
      <c r="A754" t="s">
        <v>144</v>
      </c>
      <c r="B754" t="s">
        <v>18</v>
      </c>
      <c r="C754" t="s">
        <v>16</v>
      </c>
      <c r="D754">
        <v>7804</v>
      </c>
      <c r="E754">
        <v>46</v>
      </c>
      <c r="F754">
        <v>20</v>
      </c>
      <c r="G754">
        <v>400</v>
      </c>
      <c r="H754">
        <v>90</v>
      </c>
      <c r="I754">
        <v>3007</v>
      </c>
      <c r="J754">
        <v>0</v>
      </c>
      <c r="K754">
        <v>0</v>
      </c>
      <c r="L754">
        <v>8</v>
      </c>
      <c r="M754">
        <v>1</v>
      </c>
      <c r="N754" t="s">
        <v>29</v>
      </c>
      <c r="O754" s="1">
        <f>result[[#This Row],[n_killed_mutants_cumulativa]]/result[[#This Row],[tot_mutants]]</f>
        <v>0.125</v>
      </c>
    </row>
    <row r="755" spans="1:16" hidden="1" x14ac:dyDescent="0.25">
      <c r="A755" t="s">
        <v>144</v>
      </c>
      <c r="B755" t="s">
        <v>19</v>
      </c>
      <c r="C755" t="s">
        <v>16</v>
      </c>
      <c r="D755">
        <v>13820</v>
      </c>
      <c r="E755">
        <v>80</v>
      </c>
      <c r="F755">
        <v>30</v>
      </c>
      <c r="G755">
        <v>900</v>
      </c>
      <c r="H755">
        <v>149</v>
      </c>
      <c r="I755">
        <v>6725</v>
      </c>
      <c r="J755">
        <v>0</v>
      </c>
      <c r="K755">
        <v>0</v>
      </c>
      <c r="L755">
        <v>8</v>
      </c>
      <c r="M755">
        <v>1</v>
      </c>
      <c r="N755" t="s">
        <v>29</v>
      </c>
      <c r="O755" s="1">
        <f>result[[#This Row],[n_killed_mutants_cumulativa]]/result[[#This Row],[tot_mutants]]</f>
        <v>0.125</v>
      </c>
    </row>
    <row r="756" spans="1:16" hidden="1" x14ac:dyDescent="0.25">
      <c r="A756" t="s">
        <v>144</v>
      </c>
      <c r="B756" t="s">
        <v>20</v>
      </c>
      <c r="C756" t="s">
        <v>16</v>
      </c>
      <c r="D756">
        <v>21168</v>
      </c>
      <c r="E756">
        <v>67</v>
      </c>
      <c r="F756">
        <v>40</v>
      </c>
      <c r="G756">
        <v>1600</v>
      </c>
      <c r="H756">
        <v>201</v>
      </c>
      <c r="I756">
        <v>11786</v>
      </c>
      <c r="J756">
        <v>0</v>
      </c>
      <c r="K756">
        <v>0</v>
      </c>
      <c r="L756">
        <v>8</v>
      </c>
      <c r="M756">
        <v>1</v>
      </c>
      <c r="N756" t="s">
        <v>29</v>
      </c>
      <c r="O756" s="1">
        <f>result[[#This Row],[n_killed_mutants_cumulativa]]/result[[#This Row],[tot_mutants]]</f>
        <v>0.125</v>
      </c>
    </row>
    <row r="757" spans="1:16" hidden="1" x14ac:dyDescent="0.25">
      <c r="A757" t="s">
        <v>144</v>
      </c>
      <c r="B757" t="s">
        <v>21</v>
      </c>
      <c r="C757" t="s">
        <v>16</v>
      </c>
      <c r="D757">
        <v>30706</v>
      </c>
      <c r="E757">
        <v>84</v>
      </c>
      <c r="F757">
        <v>50</v>
      </c>
      <c r="G757">
        <v>2500</v>
      </c>
      <c r="H757">
        <v>243</v>
      </c>
      <c r="I757">
        <v>18428</v>
      </c>
      <c r="J757">
        <v>0</v>
      </c>
      <c r="K757">
        <v>0</v>
      </c>
      <c r="L757">
        <v>8</v>
      </c>
      <c r="M757">
        <v>1</v>
      </c>
      <c r="N757" t="s">
        <v>29</v>
      </c>
      <c r="O757" s="1">
        <f>result[[#This Row],[n_killed_mutants_cumulativa]]/result[[#This Row],[tot_mutants]]</f>
        <v>0.125</v>
      </c>
    </row>
    <row r="758" spans="1:16" hidden="1" x14ac:dyDescent="0.25">
      <c r="A758" t="s">
        <v>144</v>
      </c>
      <c r="B758" t="s">
        <v>24</v>
      </c>
      <c r="C758" t="s">
        <v>16</v>
      </c>
      <c r="D758">
        <v>42891</v>
      </c>
      <c r="E758">
        <v>103</v>
      </c>
      <c r="F758">
        <v>60</v>
      </c>
      <c r="G758">
        <v>3600</v>
      </c>
      <c r="H758">
        <v>299</v>
      </c>
      <c r="I758">
        <v>26770</v>
      </c>
      <c r="J758">
        <v>0</v>
      </c>
      <c r="K758">
        <v>0</v>
      </c>
      <c r="L758">
        <v>8</v>
      </c>
      <c r="M758">
        <v>1</v>
      </c>
      <c r="N758" t="s">
        <v>29</v>
      </c>
      <c r="O758" s="1">
        <f>result[[#This Row],[n_killed_mutants_cumulativa]]/result[[#This Row],[tot_mutants]]</f>
        <v>0.125</v>
      </c>
    </row>
    <row r="759" spans="1:16" hidden="1" x14ac:dyDescent="0.25">
      <c r="A759" t="s">
        <v>144</v>
      </c>
      <c r="B759" t="s">
        <v>25</v>
      </c>
      <c r="C759" t="s">
        <v>16</v>
      </c>
      <c r="D759">
        <v>57566</v>
      </c>
      <c r="E759">
        <v>127</v>
      </c>
      <c r="F759">
        <v>70</v>
      </c>
      <c r="G759">
        <v>4900</v>
      </c>
      <c r="H759">
        <v>325</v>
      </c>
      <c r="I759">
        <v>36148</v>
      </c>
      <c r="J759">
        <v>0</v>
      </c>
      <c r="K759">
        <v>0</v>
      </c>
      <c r="L759">
        <v>8</v>
      </c>
      <c r="M759">
        <v>1</v>
      </c>
      <c r="N759" t="s">
        <v>29</v>
      </c>
      <c r="O759" s="1">
        <f>result[[#This Row],[n_killed_mutants_cumulativa]]/result[[#This Row],[tot_mutants]]</f>
        <v>0.125</v>
      </c>
    </row>
    <row r="760" spans="1:16" hidden="1" x14ac:dyDescent="0.25">
      <c r="A760" t="s">
        <v>144</v>
      </c>
      <c r="B760" t="s">
        <v>26</v>
      </c>
      <c r="C760" t="s">
        <v>16</v>
      </c>
      <c r="D760">
        <v>74248</v>
      </c>
      <c r="E760">
        <v>157</v>
      </c>
      <c r="F760">
        <v>80</v>
      </c>
      <c r="G760">
        <v>6400</v>
      </c>
      <c r="H760">
        <v>381</v>
      </c>
      <c r="I760">
        <v>46928</v>
      </c>
      <c r="J760">
        <v>0</v>
      </c>
      <c r="K760">
        <v>0</v>
      </c>
      <c r="L760">
        <v>8</v>
      </c>
      <c r="M760">
        <v>1</v>
      </c>
      <c r="N760" t="s">
        <v>29</v>
      </c>
      <c r="O760" s="1">
        <f>result[[#This Row],[n_killed_mutants_cumulativa]]/result[[#This Row],[tot_mutants]]</f>
        <v>0.125</v>
      </c>
    </row>
    <row r="761" spans="1:16" hidden="1" x14ac:dyDescent="0.25">
      <c r="A761" t="s">
        <v>144</v>
      </c>
      <c r="B761" t="s">
        <v>27</v>
      </c>
      <c r="C761" t="s">
        <v>16</v>
      </c>
      <c r="D761">
        <v>94547</v>
      </c>
      <c r="E761">
        <v>189</v>
      </c>
      <c r="F761">
        <v>90</v>
      </c>
      <c r="G761">
        <v>8100</v>
      </c>
      <c r="H761">
        <v>440</v>
      </c>
      <c r="I761">
        <v>59791</v>
      </c>
      <c r="J761">
        <v>0</v>
      </c>
      <c r="K761">
        <v>0</v>
      </c>
      <c r="L761">
        <v>8</v>
      </c>
      <c r="M761">
        <v>1</v>
      </c>
      <c r="N761" t="s">
        <v>29</v>
      </c>
      <c r="O761" s="1">
        <f>result[[#This Row],[n_killed_mutants_cumulativa]]/result[[#This Row],[tot_mutants]]</f>
        <v>0.125</v>
      </c>
    </row>
    <row r="762" spans="1:16" hidden="1" x14ac:dyDescent="0.25">
      <c r="A762" t="s">
        <v>144</v>
      </c>
      <c r="B762" t="s">
        <v>30</v>
      </c>
      <c r="C762" t="s">
        <v>16</v>
      </c>
      <c r="D762">
        <v>117295</v>
      </c>
      <c r="E762">
        <v>232</v>
      </c>
      <c r="F762">
        <v>100</v>
      </c>
      <c r="G762">
        <v>10000</v>
      </c>
      <c r="H762">
        <v>478</v>
      </c>
      <c r="I762">
        <v>73926</v>
      </c>
      <c r="J762">
        <v>0</v>
      </c>
      <c r="K762">
        <v>0</v>
      </c>
      <c r="L762">
        <v>8</v>
      </c>
      <c r="M762">
        <v>1</v>
      </c>
      <c r="N762" t="s">
        <v>29</v>
      </c>
      <c r="O762" s="1">
        <f>result[[#This Row],[n_killed_mutants_cumulativa]]/result[[#This Row],[tot_mutants]]</f>
        <v>0.125</v>
      </c>
    </row>
    <row r="763" spans="1:16" hidden="1" x14ac:dyDescent="0.25">
      <c r="A763" t="s">
        <v>144</v>
      </c>
      <c r="B763" t="s">
        <v>31</v>
      </c>
      <c r="C763" t="s">
        <v>16</v>
      </c>
      <c r="D763">
        <v>143588</v>
      </c>
      <c r="E763">
        <v>285</v>
      </c>
      <c r="F763">
        <v>110</v>
      </c>
      <c r="G763">
        <v>12100</v>
      </c>
      <c r="H763">
        <v>540</v>
      </c>
      <c r="I763">
        <v>89878</v>
      </c>
      <c r="J763">
        <v>0</v>
      </c>
      <c r="K763">
        <v>0</v>
      </c>
      <c r="L763">
        <v>8</v>
      </c>
      <c r="M763">
        <v>1</v>
      </c>
      <c r="N763" t="s">
        <v>29</v>
      </c>
      <c r="O763" s="1">
        <f>result[[#This Row],[n_killed_mutants_cumulativa]]/result[[#This Row],[tot_mutants]]</f>
        <v>0.125</v>
      </c>
    </row>
    <row r="764" spans="1:16" x14ac:dyDescent="0.25">
      <c r="A764" t="s">
        <v>144</v>
      </c>
      <c r="B764" t="s">
        <v>22</v>
      </c>
      <c r="C764" t="s">
        <v>16</v>
      </c>
      <c r="D764">
        <v>609769</v>
      </c>
      <c r="E764">
        <v>1504</v>
      </c>
      <c r="F764">
        <v>660</v>
      </c>
      <c r="G764">
        <v>50600</v>
      </c>
      <c r="H764">
        <v>3191</v>
      </c>
      <c r="I764">
        <v>374158</v>
      </c>
      <c r="J764">
        <v>0</v>
      </c>
      <c r="K764">
        <v>0</v>
      </c>
      <c r="L764">
        <v>8</v>
      </c>
      <c r="M764">
        <v>1</v>
      </c>
      <c r="N764" t="s">
        <v>29</v>
      </c>
      <c r="O764" s="1">
        <f>result[[#This Row],[n_killed_mutants_cumulativa]]/result[[#This Row],[tot_mutants]]</f>
        <v>0.125</v>
      </c>
      <c r="P764" s="9" t="s">
        <v>374</v>
      </c>
    </row>
    <row r="765" spans="1:16" hidden="1" x14ac:dyDescent="0.25">
      <c r="A765" t="s">
        <v>145</v>
      </c>
      <c r="B765" t="s">
        <v>15</v>
      </c>
      <c r="C765" t="s">
        <v>16</v>
      </c>
      <c r="D765">
        <v>83447</v>
      </c>
      <c r="E765">
        <v>448</v>
      </c>
      <c r="F765">
        <v>10</v>
      </c>
      <c r="G765">
        <v>100</v>
      </c>
      <c r="H765">
        <v>109</v>
      </c>
      <c r="I765">
        <v>770</v>
      </c>
      <c r="J765">
        <v>0</v>
      </c>
      <c r="K765">
        <v>0</v>
      </c>
      <c r="L765">
        <v>103</v>
      </c>
      <c r="M765">
        <v>1</v>
      </c>
      <c r="N765" t="s">
        <v>146</v>
      </c>
      <c r="O765" s="1">
        <f>result[[#This Row],[n_killed_mutants_cumulativa]]/result[[#This Row],[tot_mutants]]</f>
        <v>9.7087378640776691E-3</v>
      </c>
    </row>
    <row r="766" spans="1:16" hidden="1" x14ac:dyDescent="0.25">
      <c r="A766" t="s">
        <v>145</v>
      </c>
      <c r="B766" t="s">
        <v>18</v>
      </c>
      <c r="C766" t="s">
        <v>16</v>
      </c>
      <c r="D766">
        <v>178113</v>
      </c>
      <c r="E766">
        <v>303</v>
      </c>
      <c r="F766">
        <v>20</v>
      </c>
      <c r="G766">
        <v>400</v>
      </c>
      <c r="H766">
        <v>419</v>
      </c>
      <c r="I766">
        <v>2155</v>
      </c>
      <c r="J766">
        <v>0</v>
      </c>
      <c r="K766">
        <v>0</v>
      </c>
      <c r="L766">
        <v>103</v>
      </c>
      <c r="M766">
        <v>1</v>
      </c>
      <c r="N766" t="s">
        <v>146</v>
      </c>
      <c r="O766" s="1">
        <f>result[[#This Row],[n_killed_mutants_cumulativa]]/result[[#This Row],[tot_mutants]]</f>
        <v>9.7087378640776691E-3</v>
      </c>
    </row>
    <row r="767" spans="1:16" hidden="1" x14ac:dyDescent="0.25">
      <c r="A767" t="s">
        <v>145</v>
      </c>
      <c r="B767" t="s">
        <v>19</v>
      </c>
      <c r="C767" t="s">
        <v>16</v>
      </c>
      <c r="D767">
        <v>295459</v>
      </c>
      <c r="E767">
        <v>707</v>
      </c>
      <c r="F767">
        <v>30</v>
      </c>
      <c r="G767">
        <v>900</v>
      </c>
      <c r="H767">
        <v>929</v>
      </c>
      <c r="I767">
        <v>4123</v>
      </c>
      <c r="J767">
        <v>0</v>
      </c>
      <c r="K767">
        <v>0</v>
      </c>
      <c r="L767">
        <v>103</v>
      </c>
      <c r="M767">
        <v>1</v>
      </c>
      <c r="N767" t="s">
        <v>146</v>
      </c>
      <c r="O767" s="1">
        <f>result[[#This Row],[n_killed_mutants_cumulativa]]/result[[#This Row],[tot_mutants]]</f>
        <v>9.7087378640776691E-3</v>
      </c>
    </row>
    <row r="768" spans="1:16" hidden="1" x14ac:dyDescent="0.25">
      <c r="A768" t="s">
        <v>145</v>
      </c>
      <c r="B768" t="s">
        <v>20</v>
      </c>
      <c r="C768" t="s">
        <v>16</v>
      </c>
      <c r="D768">
        <v>435440</v>
      </c>
      <c r="E768">
        <v>1010</v>
      </c>
      <c r="F768">
        <v>40</v>
      </c>
      <c r="G768">
        <v>1600</v>
      </c>
      <c r="H768">
        <v>1639</v>
      </c>
      <c r="I768">
        <v>6675</v>
      </c>
      <c r="J768">
        <v>0</v>
      </c>
      <c r="K768">
        <v>0</v>
      </c>
      <c r="L768">
        <v>103</v>
      </c>
      <c r="M768">
        <v>1</v>
      </c>
      <c r="N768" t="s">
        <v>146</v>
      </c>
      <c r="O768" s="1">
        <f>result[[#This Row],[n_killed_mutants_cumulativa]]/result[[#This Row],[tot_mutants]]</f>
        <v>9.7087378640776691E-3</v>
      </c>
    </row>
    <row r="769" spans="1:16" x14ac:dyDescent="0.25">
      <c r="A769" t="s">
        <v>145</v>
      </c>
      <c r="B769" t="s">
        <v>22</v>
      </c>
      <c r="C769" t="s">
        <v>16</v>
      </c>
      <c r="D769">
        <v>992459</v>
      </c>
      <c r="E769">
        <v>2468</v>
      </c>
      <c r="F769">
        <v>100</v>
      </c>
      <c r="G769">
        <v>3000</v>
      </c>
      <c r="H769">
        <v>3096</v>
      </c>
      <c r="I769">
        <v>13723</v>
      </c>
      <c r="J769">
        <v>0</v>
      </c>
      <c r="K769">
        <v>0</v>
      </c>
      <c r="L769">
        <v>103</v>
      </c>
      <c r="M769">
        <v>1</v>
      </c>
      <c r="N769" t="s">
        <v>146</v>
      </c>
      <c r="O769" s="1">
        <f>result[[#This Row],[n_killed_mutants_cumulativa]]/result[[#This Row],[tot_mutants]]</f>
        <v>9.7087378640776691E-3</v>
      </c>
      <c r="P769" s="9" t="s">
        <v>361</v>
      </c>
    </row>
    <row r="770" spans="1:16" hidden="1" x14ac:dyDescent="0.25">
      <c r="A770" t="s">
        <v>147</v>
      </c>
      <c r="B770" t="s">
        <v>15</v>
      </c>
      <c r="C770" t="s">
        <v>16</v>
      </c>
      <c r="D770">
        <v>4779</v>
      </c>
      <c r="E770">
        <v>327</v>
      </c>
      <c r="F770">
        <v>10</v>
      </c>
      <c r="G770">
        <v>100</v>
      </c>
      <c r="H770">
        <v>12</v>
      </c>
      <c r="I770">
        <v>550</v>
      </c>
      <c r="J770">
        <v>0</v>
      </c>
      <c r="K770">
        <v>0</v>
      </c>
      <c r="L770">
        <v>5</v>
      </c>
      <c r="M770">
        <v>0</v>
      </c>
      <c r="N770" t="s">
        <v>17</v>
      </c>
      <c r="O770" s="1">
        <f>result[[#This Row],[n_killed_mutants_cumulativa]]/result[[#This Row],[tot_mutants]]</f>
        <v>0</v>
      </c>
    </row>
    <row r="771" spans="1:16" hidden="1" x14ac:dyDescent="0.25">
      <c r="A771" t="s">
        <v>147</v>
      </c>
      <c r="B771" t="s">
        <v>18</v>
      </c>
      <c r="C771" t="s">
        <v>16</v>
      </c>
      <c r="D771">
        <v>5674</v>
      </c>
      <c r="E771">
        <v>435</v>
      </c>
      <c r="F771">
        <v>20</v>
      </c>
      <c r="G771">
        <v>400</v>
      </c>
      <c r="H771">
        <v>33</v>
      </c>
      <c r="I771">
        <v>2100</v>
      </c>
      <c r="J771">
        <v>0</v>
      </c>
      <c r="K771">
        <v>0</v>
      </c>
      <c r="L771">
        <v>5</v>
      </c>
      <c r="M771">
        <v>0</v>
      </c>
      <c r="N771" t="s">
        <v>17</v>
      </c>
      <c r="O771" s="1">
        <f>result[[#This Row],[n_killed_mutants_cumulativa]]/result[[#This Row],[tot_mutants]]</f>
        <v>0</v>
      </c>
    </row>
    <row r="772" spans="1:16" hidden="1" x14ac:dyDescent="0.25">
      <c r="A772" t="s">
        <v>147</v>
      </c>
      <c r="B772" t="s">
        <v>19</v>
      </c>
      <c r="C772" t="s">
        <v>16</v>
      </c>
      <c r="D772">
        <v>9460</v>
      </c>
      <c r="E772">
        <v>809</v>
      </c>
      <c r="F772">
        <v>30</v>
      </c>
      <c r="G772">
        <v>900</v>
      </c>
      <c r="H772">
        <v>56</v>
      </c>
      <c r="I772">
        <v>4650</v>
      </c>
      <c r="J772">
        <v>0</v>
      </c>
      <c r="K772">
        <v>0</v>
      </c>
      <c r="L772">
        <v>5</v>
      </c>
      <c r="M772">
        <v>0</v>
      </c>
      <c r="N772" t="s">
        <v>17</v>
      </c>
      <c r="O772" s="1">
        <f>result[[#This Row],[n_killed_mutants_cumulativa]]/result[[#This Row],[tot_mutants]]</f>
        <v>0</v>
      </c>
    </row>
    <row r="773" spans="1:16" hidden="1" x14ac:dyDescent="0.25">
      <c r="A773" t="s">
        <v>147</v>
      </c>
      <c r="B773" t="s">
        <v>20</v>
      </c>
      <c r="C773" t="s">
        <v>16</v>
      </c>
      <c r="D773">
        <v>15232</v>
      </c>
      <c r="E773">
        <v>1956</v>
      </c>
      <c r="F773">
        <v>40</v>
      </c>
      <c r="G773">
        <v>1600</v>
      </c>
      <c r="H773">
        <v>62</v>
      </c>
      <c r="I773">
        <v>8200</v>
      </c>
      <c r="J773">
        <v>0</v>
      </c>
      <c r="K773">
        <v>0</v>
      </c>
      <c r="L773">
        <v>5</v>
      </c>
      <c r="M773">
        <v>0</v>
      </c>
      <c r="N773" t="s">
        <v>17</v>
      </c>
      <c r="O773" s="1">
        <f>result[[#This Row],[n_killed_mutants_cumulativa]]/result[[#This Row],[tot_mutants]]</f>
        <v>0</v>
      </c>
    </row>
    <row r="774" spans="1:16" hidden="1" x14ac:dyDescent="0.25">
      <c r="A774" t="s">
        <v>147</v>
      </c>
      <c r="B774" t="s">
        <v>21</v>
      </c>
      <c r="C774" t="s">
        <v>16</v>
      </c>
      <c r="D774">
        <v>22364</v>
      </c>
      <c r="E774">
        <v>3661</v>
      </c>
      <c r="F774">
        <v>50</v>
      </c>
      <c r="G774">
        <v>2500</v>
      </c>
      <c r="H774">
        <v>81</v>
      </c>
      <c r="I774">
        <v>12750</v>
      </c>
      <c r="J774">
        <v>0</v>
      </c>
      <c r="K774">
        <v>0</v>
      </c>
      <c r="L774">
        <v>5</v>
      </c>
      <c r="M774">
        <v>0</v>
      </c>
      <c r="N774" t="s">
        <v>17</v>
      </c>
      <c r="O774" s="1">
        <f>result[[#This Row],[n_killed_mutants_cumulativa]]/result[[#This Row],[tot_mutants]]</f>
        <v>0</v>
      </c>
    </row>
    <row r="775" spans="1:16" hidden="1" x14ac:dyDescent="0.25">
      <c r="A775" t="s">
        <v>147</v>
      </c>
      <c r="B775" t="s">
        <v>24</v>
      </c>
      <c r="C775" t="s">
        <v>16</v>
      </c>
      <c r="D775">
        <v>32050</v>
      </c>
      <c r="E775">
        <v>6417</v>
      </c>
      <c r="F775">
        <v>60</v>
      </c>
      <c r="G775">
        <v>3600</v>
      </c>
      <c r="H775">
        <v>113</v>
      </c>
      <c r="I775">
        <v>18300</v>
      </c>
      <c r="J775">
        <v>0</v>
      </c>
      <c r="K775">
        <v>0</v>
      </c>
      <c r="L775">
        <v>5</v>
      </c>
      <c r="M775">
        <v>0</v>
      </c>
      <c r="N775" t="s">
        <v>17</v>
      </c>
      <c r="O775" s="1">
        <f>result[[#This Row],[n_killed_mutants_cumulativa]]/result[[#This Row],[tot_mutants]]</f>
        <v>0</v>
      </c>
    </row>
    <row r="776" spans="1:16" hidden="1" x14ac:dyDescent="0.25">
      <c r="A776" t="s">
        <v>147</v>
      </c>
      <c r="B776" t="s">
        <v>25</v>
      </c>
      <c r="C776" t="s">
        <v>16</v>
      </c>
      <c r="D776">
        <v>43636</v>
      </c>
      <c r="E776">
        <v>9563</v>
      </c>
      <c r="F776">
        <v>70</v>
      </c>
      <c r="G776">
        <v>4900</v>
      </c>
      <c r="H776">
        <v>133</v>
      </c>
      <c r="I776">
        <v>24850</v>
      </c>
      <c r="J776">
        <v>0</v>
      </c>
      <c r="K776">
        <v>0</v>
      </c>
      <c r="L776">
        <v>5</v>
      </c>
      <c r="M776">
        <v>0</v>
      </c>
      <c r="N776" t="s">
        <v>17</v>
      </c>
      <c r="O776" s="1">
        <f>result[[#This Row],[n_killed_mutants_cumulativa]]/result[[#This Row],[tot_mutants]]</f>
        <v>0</v>
      </c>
    </row>
    <row r="777" spans="1:16" hidden="1" x14ac:dyDescent="0.25">
      <c r="A777" t="s">
        <v>147</v>
      </c>
      <c r="B777" t="s">
        <v>26</v>
      </c>
      <c r="C777" t="s">
        <v>16</v>
      </c>
      <c r="D777">
        <v>58435</v>
      </c>
      <c r="E777">
        <v>14030</v>
      </c>
      <c r="F777">
        <v>80</v>
      </c>
      <c r="G777">
        <v>6400</v>
      </c>
      <c r="H777">
        <v>137</v>
      </c>
      <c r="I777">
        <v>32400</v>
      </c>
      <c r="J777">
        <v>0</v>
      </c>
      <c r="K777">
        <v>0</v>
      </c>
      <c r="L777">
        <v>5</v>
      </c>
      <c r="M777">
        <v>0</v>
      </c>
      <c r="N777" t="s">
        <v>17</v>
      </c>
      <c r="O777" s="1">
        <f>result[[#This Row],[n_killed_mutants_cumulativa]]/result[[#This Row],[tot_mutants]]</f>
        <v>0</v>
      </c>
    </row>
    <row r="778" spans="1:16" hidden="1" x14ac:dyDescent="0.25">
      <c r="A778" t="s">
        <v>147</v>
      </c>
      <c r="B778" t="s">
        <v>27</v>
      </c>
      <c r="C778" t="s">
        <v>16</v>
      </c>
      <c r="D778">
        <v>75152</v>
      </c>
      <c r="E778">
        <v>19568</v>
      </c>
      <c r="F778">
        <v>90</v>
      </c>
      <c r="G778">
        <v>8100</v>
      </c>
      <c r="H778">
        <v>147</v>
      </c>
      <c r="I778">
        <v>40950</v>
      </c>
      <c r="J778">
        <v>0</v>
      </c>
      <c r="K778">
        <v>0</v>
      </c>
      <c r="L778">
        <v>5</v>
      </c>
      <c r="M778">
        <v>0</v>
      </c>
      <c r="N778" t="s">
        <v>17</v>
      </c>
      <c r="O778" s="1">
        <f>result[[#This Row],[n_killed_mutants_cumulativa]]/result[[#This Row],[tot_mutants]]</f>
        <v>0</v>
      </c>
    </row>
    <row r="779" spans="1:16" hidden="1" x14ac:dyDescent="0.25">
      <c r="A779" t="s">
        <v>147</v>
      </c>
      <c r="B779" t="s">
        <v>30</v>
      </c>
      <c r="C779" t="s">
        <v>16</v>
      </c>
      <c r="D779">
        <v>95445</v>
      </c>
      <c r="E779">
        <v>26738</v>
      </c>
      <c r="F779">
        <v>100</v>
      </c>
      <c r="G779">
        <v>10000</v>
      </c>
      <c r="H779">
        <v>177</v>
      </c>
      <c r="I779">
        <v>50500</v>
      </c>
      <c r="J779">
        <v>0</v>
      </c>
      <c r="K779">
        <v>0</v>
      </c>
      <c r="L779">
        <v>5</v>
      </c>
      <c r="M779">
        <v>0</v>
      </c>
      <c r="N779" t="s">
        <v>17</v>
      </c>
      <c r="O779" s="1">
        <f>result[[#This Row],[n_killed_mutants_cumulativa]]/result[[#This Row],[tot_mutants]]</f>
        <v>0</v>
      </c>
    </row>
    <row r="780" spans="1:16" hidden="1" x14ac:dyDescent="0.25">
      <c r="A780" t="s">
        <v>147</v>
      </c>
      <c r="B780" t="s">
        <v>31</v>
      </c>
      <c r="C780" t="s">
        <v>16</v>
      </c>
      <c r="D780">
        <v>119063</v>
      </c>
      <c r="E780">
        <v>35897</v>
      </c>
      <c r="F780">
        <v>110</v>
      </c>
      <c r="G780">
        <v>12100</v>
      </c>
      <c r="H780">
        <v>176</v>
      </c>
      <c r="I780">
        <v>61050</v>
      </c>
      <c r="J780">
        <v>0</v>
      </c>
      <c r="K780">
        <v>0</v>
      </c>
      <c r="L780">
        <v>5</v>
      </c>
      <c r="M780">
        <v>0</v>
      </c>
      <c r="N780" t="s">
        <v>17</v>
      </c>
      <c r="O780" s="1">
        <f>result[[#This Row],[n_killed_mutants_cumulativa]]/result[[#This Row],[tot_mutants]]</f>
        <v>0</v>
      </c>
    </row>
    <row r="781" spans="1:16" hidden="1" x14ac:dyDescent="0.25">
      <c r="A781" t="s">
        <v>147</v>
      </c>
      <c r="B781" t="s">
        <v>36</v>
      </c>
      <c r="C781" t="s">
        <v>16</v>
      </c>
      <c r="D781">
        <v>147294</v>
      </c>
      <c r="E781">
        <v>45878</v>
      </c>
      <c r="F781">
        <v>120</v>
      </c>
      <c r="G781">
        <v>14400</v>
      </c>
      <c r="H781">
        <v>202</v>
      </c>
      <c r="I781">
        <v>72600</v>
      </c>
      <c r="J781">
        <v>0</v>
      </c>
      <c r="K781">
        <v>0</v>
      </c>
      <c r="L781">
        <v>5</v>
      </c>
      <c r="M781">
        <v>0</v>
      </c>
      <c r="N781" t="s">
        <v>17</v>
      </c>
      <c r="O781" s="1">
        <f>result[[#This Row],[n_killed_mutants_cumulativa]]/result[[#This Row],[tot_mutants]]</f>
        <v>0</v>
      </c>
    </row>
    <row r="782" spans="1:16" hidden="1" x14ac:dyDescent="0.25">
      <c r="A782" t="s">
        <v>147</v>
      </c>
      <c r="B782" t="s">
        <v>22</v>
      </c>
      <c r="C782" t="s">
        <v>16</v>
      </c>
      <c r="D782">
        <v>628584</v>
      </c>
      <c r="E782">
        <v>165279</v>
      </c>
      <c r="F782">
        <v>780</v>
      </c>
      <c r="G782">
        <v>65000</v>
      </c>
      <c r="H782">
        <v>1329</v>
      </c>
      <c r="I782">
        <v>328900</v>
      </c>
      <c r="J782">
        <v>0</v>
      </c>
      <c r="K782">
        <v>0</v>
      </c>
      <c r="L782">
        <v>5</v>
      </c>
      <c r="M782">
        <v>0</v>
      </c>
      <c r="N782" t="s">
        <v>17</v>
      </c>
      <c r="O782" s="1">
        <f>result[[#This Row],[n_killed_mutants_cumulativa]]/result[[#This Row],[tot_mutants]]</f>
        <v>0</v>
      </c>
      <c r="P782" s="9" t="s">
        <v>346</v>
      </c>
    </row>
    <row r="783" spans="1:16" hidden="1" x14ac:dyDescent="0.25">
      <c r="A783" t="s">
        <v>148</v>
      </c>
      <c r="B783" t="s">
        <v>15</v>
      </c>
      <c r="C783" t="s">
        <v>16</v>
      </c>
      <c r="D783">
        <v>9322</v>
      </c>
      <c r="E783">
        <v>419</v>
      </c>
      <c r="F783">
        <v>10</v>
      </c>
      <c r="G783">
        <v>100</v>
      </c>
      <c r="H783">
        <v>138</v>
      </c>
      <c r="I783">
        <v>479</v>
      </c>
      <c r="J783">
        <v>0</v>
      </c>
      <c r="K783">
        <v>0</v>
      </c>
      <c r="L783">
        <v>15</v>
      </c>
      <c r="M783">
        <v>0</v>
      </c>
      <c r="N783" t="s">
        <v>17</v>
      </c>
      <c r="O783" s="1">
        <f>result[[#This Row],[n_killed_mutants_cumulativa]]/result[[#This Row],[tot_mutants]]</f>
        <v>0</v>
      </c>
    </row>
    <row r="784" spans="1:16" hidden="1" x14ac:dyDescent="0.25">
      <c r="A784" t="s">
        <v>148</v>
      </c>
      <c r="B784" t="s">
        <v>18</v>
      </c>
      <c r="C784" t="s">
        <v>16</v>
      </c>
      <c r="D784">
        <v>13793</v>
      </c>
      <c r="E784">
        <v>548</v>
      </c>
      <c r="F784">
        <v>20</v>
      </c>
      <c r="G784">
        <v>400</v>
      </c>
      <c r="H784">
        <v>571</v>
      </c>
      <c r="I784">
        <v>2098</v>
      </c>
      <c r="J784">
        <v>0</v>
      </c>
      <c r="K784">
        <v>0</v>
      </c>
      <c r="L784">
        <v>15</v>
      </c>
      <c r="M784">
        <v>0</v>
      </c>
      <c r="N784" t="s">
        <v>17</v>
      </c>
      <c r="O784" s="1">
        <f>result[[#This Row],[n_killed_mutants_cumulativa]]/result[[#This Row],[tot_mutants]]</f>
        <v>0</v>
      </c>
    </row>
    <row r="785" spans="1:16" hidden="1" x14ac:dyDescent="0.25">
      <c r="A785" t="s">
        <v>148</v>
      </c>
      <c r="B785" t="s">
        <v>19</v>
      </c>
      <c r="C785" t="s">
        <v>16</v>
      </c>
      <c r="D785">
        <v>25681</v>
      </c>
      <c r="E785">
        <v>1551</v>
      </c>
      <c r="F785">
        <v>30</v>
      </c>
      <c r="G785">
        <v>900</v>
      </c>
      <c r="H785">
        <v>1282</v>
      </c>
      <c r="I785">
        <v>4967</v>
      </c>
      <c r="J785">
        <v>0</v>
      </c>
      <c r="K785">
        <v>0</v>
      </c>
      <c r="L785">
        <v>15</v>
      </c>
      <c r="M785">
        <v>0</v>
      </c>
      <c r="N785" t="s">
        <v>17</v>
      </c>
      <c r="O785" s="1">
        <f>result[[#This Row],[n_killed_mutants_cumulativa]]/result[[#This Row],[tot_mutants]]</f>
        <v>0</v>
      </c>
    </row>
    <row r="786" spans="1:16" hidden="1" x14ac:dyDescent="0.25">
      <c r="A786" t="s">
        <v>148</v>
      </c>
      <c r="B786" t="s">
        <v>20</v>
      </c>
      <c r="C786" t="s">
        <v>16</v>
      </c>
      <c r="D786">
        <v>42658</v>
      </c>
      <c r="E786">
        <v>3750</v>
      </c>
      <c r="F786">
        <v>40</v>
      </c>
      <c r="G786">
        <v>1600</v>
      </c>
      <c r="H786">
        <v>2262</v>
      </c>
      <c r="I786">
        <v>9213</v>
      </c>
      <c r="J786">
        <v>0</v>
      </c>
      <c r="K786">
        <v>0</v>
      </c>
      <c r="L786">
        <v>15</v>
      </c>
      <c r="M786">
        <v>0</v>
      </c>
      <c r="N786" t="s">
        <v>17</v>
      </c>
      <c r="O786" s="1">
        <f>result[[#This Row],[n_killed_mutants_cumulativa]]/result[[#This Row],[tot_mutants]]</f>
        <v>0</v>
      </c>
    </row>
    <row r="787" spans="1:16" hidden="1" x14ac:dyDescent="0.25">
      <c r="A787" t="s">
        <v>148</v>
      </c>
      <c r="B787" t="s">
        <v>21</v>
      </c>
      <c r="C787" t="s">
        <v>16</v>
      </c>
      <c r="D787">
        <v>64167</v>
      </c>
      <c r="E787">
        <v>6951</v>
      </c>
      <c r="F787">
        <v>50</v>
      </c>
      <c r="G787">
        <v>2500</v>
      </c>
      <c r="H787">
        <v>3535</v>
      </c>
      <c r="I787">
        <v>14412</v>
      </c>
      <c r="J787">
        <v>0</v>
      </c>
      <c r="K787">
        <v>0</v>
      </c>
      <c r="L787">
        <v>15</v>
      </c>
      <c r="M787">
        <v>0</v>
      </c>
      <c r="N787" t="s">
        <v>17</v>
      </c>
      <c r="O787" s="1">
        <f>result[[#This Row],[n_killed_mutants_cumulativa]]/result[[#This Row],[tot_mutants]]</f>
        <v>0</v>
      </c>
    </row>
    <row r="788" spans="1:16" hidden="1" x14ac:dyDescent="0.25">
      <c r="A788" t="s">
        <v>148</v>
      </c>
      <c r="B788" t="s">
        <v>24</v>
      </c>
      <c r="C788" t="s">
        <v>16</v>
      </c>
      <c r="D788">
        <v>92294</v>
      </c>
      <c r="E788">
        <v>12020</v>
      </c>
      <c r="F788">
        <v>60</v>
      </c>
      <c r="G788">
        <v>3600</v>
      </c>
      <c r="H788">
        <v>5081</v>
      </c>
      <c r="I788">
        <v>21113</v>
      </c>
      <c r="J788">
        <v>0</v>
      </c>
      <c r="K788">
        <v>0</v>
      </c>
      <c r="L788">
        <v>15</v>
      </c>
      <c r="M788">
        <v>0</v>
      </c>
      <c r="N788" t="s">
        <v>17</v>
      </c>
      <c r="O788" s="1">
        <f>result[[#This Row],[n_killed_mutants_cumulativa]]/result[[#This Row],[tot_mutants]]</f>
        <v>0</v>
      </c>
    </row>
    <row r="789" spans="1:16" hidden="1" x14ac:dyDescent="0.25">
      <c r="A789" t="s">
        <v>148</v>
      </c>
      <c r="B789" t="s">
        <v>25</v>
      </c>
      <c r="C789" t="s">
        <v>16</v>
      </c>
      <c r="D789">
        <v>128097</v>
      </c>
      <c r="E789">
        <v>18492</v>
      </c>
      <c r="F789">
        <v>70</v>
      </c>
      <c r="G789">
        <v>4900</v>
      </c>
      <c r="H789">
        <v>6890</v>
      </c>
      <c r="I789">
        <v>29665</v>
      </c>
      <c r="J789">
        <v>0</v>
      </c>
      <c r="K789">
        <v>0</v>
      </c>
      <c r="L789">
        <v>15</v>
      </c>
      <c r="M789">
        <v>0</v>
      </c>
      <c r="N789" t="s">
        <v>17</v>
      </c>
      <c r="O789" s="1">
        <f>result[[#This Row],[n_killed_mutants_cumulativa]]/result[[#This Row],[tot_mutants]]</f>
        <v>0</v>
      </c>
    </row>
    <row r="790" spans="1:16" hidden="1" x14ac:dyDescent="0.25">
      <c r="A790" t="s">
        <v>148</v>
      </c>
      <c r="B790" t="s">
        <v>26</v>
      </c>
      <c r="C790" t="s">
        <v>16</v>
      </c>
      <c r="D790">
        <v>173690</v>
      </c>
      <c r="E790">
        <v>27636</v>
      </c>
      <c r="F790">
        <v>80</v>
      </c>
      <c r="G790">
        <v>6400</v>
      </c>
      <c r="H790">
        <v>9107</v>
      </c>
      <c r="I790">
        <v>39867</v>
      </c>
      <c r="J790">
        <v>0</v>
      </c>
      <c r="K790">
        <v>0</v>
      </c>
      <c r="L790">
        <v>15</v>
      </c>
      <c r="M790">
        <v>0</v>
      </c>
      <c r="N790" t="s">
        <v>17</v>
      </c>
      <c r="O790" s="1">
        <f>result[[#This Row],[n_killed_mutants_cumulativa]]/result[[#This Row],[tot_mutants]]</f>
        <v>0</v>
      </c>
    </row>
    <row r="791" spans="1:16" hidden="1" x14ac:dyDescent="0.25">
      <c r="A791" t="s">
        <v>148</v>
      </c>
      <c r="B791" t="s">
        <v>27</v>
      </c>
      <c r="C791" t="s">
        <v>16</v>
      </c>
      <c r="D791">
        <v>226870</v>
      </c>
      <c r="E791">
        <v>39589</v>
      </c>
      <c r="F791">
        <v>90</v>
      </c>
      <c r="G791">
        <v>8100</v>
      </c>
      <c r="H791">
        <v>11499</v>
      </c>
      <c r="I791">
        <v>51205</v>
      </c>
      <c r="J791">
        <v>0</v>
      </c>
      <c r="K791">
        <v>0</v>
      </c>
      <c r="L791">
        <v>15</v>
      </c>
      <c r="M791">
        <v>0</v>
      </c>
      <c r="N791" t="s">
        <v>17</v>
      </c>
      <c r="O791" s="1">
        <f>result[[#This Row],[n_killed_mutants_cumulativa]]/result[[#This Row],[tot_mutants]]</f>
        <v>0</v>
      </c>
    </row>
    <row r="792" spans="1:16" hidden="1" x14ac:dyDescent="0.25">
      <c r="A792" t="s">
        <v>148</v>
      </c>
      <c r="B792" t="s">
        <v>22</v>
      </c>
      <c r="C792" t="s">
        <v>16</v>
      </c>
      <c r="D792">
        <v>776572</v>
      </c>
      <c r="E792">
        <v>110956</v>
      </c>
      <c r="F792">
        <v>450</v>
      </c>
      <c r="G792">
        <v>28500</v>
      </c>
      <c r="H792">
        <v>40365</v>
      </c>
      <c r="I792">
        <v>173019</v>
      </c>
      <c r="J792">
        <v>0</v>
      </c>
      <c r="K792">
        <v>0</v>
      </c>
      <c r="L792">
        <v>15</v>
      </c>
      <c r="M792">
        <v>0</v>
      </c>
      <c r="N792" t="s">
        <v>17</v>
      </c>
      <c r="O792" s="1">
        <f>result[[#This Row],[n_killed_mutants_cumulativa]]/result[[#This Row],[tot_mutants]]</f>
        <v>0</v>
      </c>
      <c r="P792" s="9" t="s">
        <v>346</v>
      </c>
    </row>
    <row r="793" spans="1:16" hidden="1" x14ac:dyDescent="0.25">
      <c r="A793" t="s">
        <v>149</v>
      </c>
      <c r="B793" t="s">
        <v>15</v>
      </c>
      <c r="C793" t="s">
        <v>16</v>
      </c>
      <c r="D793">
        <v>3454</v>
      </c>
      <c r="E793">
        <v>111</v>
      </c>
      <c r="F793">
        <v>10</v>
      </c>
      <c r="G793">
        <v>100</v>
      </c>
      <c r="H793">
        <v>100</v>
      </c>
      <c r="I793">
        <v>374</v>
      </c>
      <c r="J793">
        <v>0</v>
      </c>
      <c r="K793">
        <v>0</v>
      </c>
      <c r="L793">
        <v>3</v>
      </c>
      <c r="M793">
        <v>0</v>
      </c>
      <c r="N793" t="s">
        <v>17</v>
      </c>
      <c r="O793" s="1">
        <f>result[[#This Row],[n_killed_mutants_cumulativa]]/result[[#This Row],[tot_mutants]]</f>
        <v>0</v>
      </c>
    </row>
    <row r="794" spans="1:16" hidden="1" x14ac:dyDescent="0.25">
      <c r="A794" t="s">
        <v>149</v>
      </c>
      <c r="B794" t="s">
        <v>18</v>
      </c>
      <c r="C794" t="s">
        <v>16</v>
      </c>
      <c r="D794">
        <v>3342</v>
      </c>
      <c r="E794">
        <v>89</v>
      </c>
      <c r="F794">
        <v>20</v>
      </c>
      <c r="G794">
        <v>400</v>
      </c>
      <c r="H794">
        <v>400</v>
      </c>
      <c r="I794">
        <v>1549</v>
      </c>
      <c r="J794">
        <v>0</v>
      </c>
      <c r="K794">
        <v>0</v>
      </c>
      <c r="L794">
        <v>3</v>
      </c>
      <c r="M794">
        <v>0</v>
      </c>
      <c r="N794" t="s">
        <v>17</v>
      </c>
      <c r="O794" s="1">
        <f>result[[#This Row],[n_killed_mutants_cumulativa]]/result[[#This Row],[tot_mutants]]</f>
        <v>0</v>
      </c>
    </row>
    <row r="795" spans="1:16" hidden="1" x14ac:dyDescent="0.25">
      <c r="A795" t="s">
        <v>149</v>
      </c>
      <c r="B795" t="s">
        <v>19</v>
      </c>
      <c r="C795" t="s">
        <v>16</v>
      </c>
      <c r="D795">
        <v>5416</v>
      </c>
      <c r="E795">
        <v>94</v>
      </c>
      <c r="F795">
        <v>30</v>
      </c>
      <c r="G795">
        <v>900</v>
      </c>
      <c r="H795">
        <v>900</v>
      </c>
      <c r="I795">
        <v>3556</v>
      </c>
      <c r="J795">
        <v>0</v>
      </c>
      <c r="K795">
        <v>0</v>
      </c>
      <c r="L795">
        <v>3</v>
      </c>
      <c r="M795">
        <v>0</v>
      </c>
      <c r="N795" t="s">
        <v>17</v>
      </c>
      <c r="O795" s="1">
        <f>result[[#This Row],[n_killed_mutants_cumulativa]]/result[[#This Row],[tot_mutants]]</f>
        <v>0</v>
      </c>
    </row>
    <row r="796" spans="1:16" hidden="1" x14ac:dyDescent="0.25">
      <c r="A796" t="s">
        <v>149</v>
      </c>
      <c r="B796" t="s">
        <v>20</v>
      </c>
      <c r="C796" t="s">
        <v>16</v>
      </c>
      <c r="D796">
        <v>7435</v>
      </c>
      <c r="E796">
        <v>106</v>
      </c>
      <c r="F796">
        <v>40</v>
      </c>
      <c r="G796">
        <v>1600</v>
      </c>
      <c r="H796">
        <v>1600</v>
      </c>
      <c r="I796">
        <v>6311</v>
      </c>
      <c r="J796">
        <v>0</v>
      </c>
      <c r="K796">
        <v>0</v>
      </c>
      <c r="L796">
        <v>3</v>
      </c>
      <c r="M796">
        <v>0</v>
      </c>
      <c r="N796" t="s">
        <v>17</v>
      </c>
      <c r="O796" s="1">
        <f>result[[#This Row],[n_killed_mutants_cumulativa]]/result[[#This Row],[tot_mutants]]</f>
        <v>0</v>
      </c>
    </row>
    <row r="797" spans="1:16" hidden="1" x14ac:dyDescent="0.25">
      <c r="A797" t="s">
        <v>149</v>
      </c>
      <c r="B797" t="s">
        <v>21</v>
      </c>
      <c r="C797" t="s">
        <v>16</v>
      </c>
      <c r="D797">
        <v>10921</v>
      </c>
      <c r="E797">
        <v>156</v>
      </c>
      <c r="F797">
        <v>50</v>
      </c>
      <c r="G797">
        <v>2500</v>
      </c>
      <c r="H797">
        <v>2500</v>
      </c>
      <c r="I797">
        <v>9885</v>
      </c>
      <c r="J797">
        <v>0</v>
      </c>
      <c r="K797">
        <v>0</v>
      </c>
      <c r="L797">
        <v>3</v>
      </c>
      <c r="M797">
        <v>0</v>
      </c>
      <c r="N797" t="s">
        <v>17</v>
      </c>
      <c r="O797" s="1">
        <f>result[[#This Row],[n_killed_mutants_cumulativa]]/result[[#This Row],[tot_mutants]]</f>
        <v>0</v>
      </c>
    </row>
    <row r="798" spans="1:16" hidden="1" x14ac:dyDescent="0.25">
      <c r="A798" t="s">
        <v>149</v>
      </c>
      <c r="B798" t="s">
        <v>24</v>
      </c>
      <c r="C798" t="s">
        <v>16</v>
      </c>
      <c r="D798">
        <v>14808</v>
      </c>
      <c r="E798">
        <v>215</v>
      </c>
      <c r="F798">
        <v>60</v>
      </c>
      <c r="G798">
        <v>3600</v>
      </c>
      <c r="H798">
        <v>3600</v>
      </c>
      <c r="I798">
        <v>14253</v>
      </c>
      <c r="J798">
        <v>0</v>
      </c>
      <c r="K798">
        <v>0</v>
      </c>
      <c r="L798">
        <v>3</v>
      </c>
      <c r="M798">
        <v>0</v>
      </c>
      <c r="N798" t="s">
        <v>17</v>
      </c>
      <c r="O798" s="1">
        <f>result[[#This Row],[n_killed_mutants_cumulativa]]/result[[#This Row],[tot_mutants]]</f>
        <v>0</v>
      </c>
    </row>
    <row r="799" spans="1:16" hidden="1" x14ac:dyDescent="0.25">
      <c r="A799" t="s">
        <v>149</v>
      </c>
      <c r="B799" t="s">
        <v>25</v>
      </c>
      <c r="C799" t="s">
        <v>16</v>
      </c>
      <c r="D799">
        <v>19871</v>
      </c>
      <c r="E799">
        <v>266</v>
      </c>
      <c r="F799">
        <v>70</v>
      </c>
      <c r="G799">
        <v>4900</v>
      </c>
      <c r="H799">
        <v>4900</v>
      </c>
      <c r="I799">
        <v>19451</v>
      </c>
      <c r="J799">
        <v>0</v>
      </c>
      <c r="K799">
        <v>0</v>
      </c>
      <c r="L799">
        <v>3</v>
      </c>
      <c r="M799">
        <v>0</v>
      </c>
      <c r="N799" t="s">
        <v>17</v>
      </c>
      <c r="O799" s="1">
        <f>result[[#This Row],[n_killed_mutants_cumulativa]]/result[[#This Row],[tot_mutants]]</f>
        <v>0</v>
      </c>
    </row>
    <row r="800" spans="1:16" hidden="1" x14ac:dyDescent="0.25">
      <c r="A800" t="s">
        <v>149</v>
      </c>
      <c r="B800" t="s">
        <v>26</v>
      </c>
      <c r="C800" t="s">
        <v>16</v>
      </c>
      <c r="D800">
        <v>25612</v>
      </c>
      <c r="E800">
        <v>355</v>
      </c>
      <c r="F800">
        <v>80</v>
      </c>
      <c r="G800">
        <v>6400</v>
      </c>
      <c r="H800">
        <v>6400</v>
      </c>
      <c r="I800">
        <v>25416</v>
      </c>
      <c r="J800">
        <v>0</v>
      </c>
      <c r="K800">
        <v>0</v>
      </c>
      <c r="L800">
        <v>3</v>
      </c>
      <c r="M800">
        <v>0</v>
      </c>
      <c r="N800" t="s">
        <v>17</v>
      </c>
      <c r="O800" s="1">
        <f>result[[#This Row],[n_killed_mutants_cumulativa]]/result[[#This Row],[tot_mutants]]</f>
        <v>0</v>
      </c>
    </row>
    <row r="801" spans="1:16" hidden="1" x14ac:dyDescent="0.25">
      <c r="A801" t="s">
        <v>149</v>
      </c>
      <c r="B801" t="s">
        <v>27</v>
      </c>
      <c r="C801" t="s">
        <v>16</v>
      </c>
      <c r="D801">
        <v>32886</v>
      </c>
      <c r="E801">
        <v>442</v>
      </c>
      <c r="F801">
        <v>90</v>
      </c>
      <c r="G801">
        <v>8100</v>
      </c>
      <c r="H801">
        <v>8100</v>
      </c>
      <c r="I801">
        <v>32198</v>
      </c>
      <c r="J801">
        <v>0</v>
      </c>
      <c r="K801">
        <v>0</v>
      </c>
      <c r="L801">
        <v>3</v>
      </c>
      <c r="M801">
        <v>0</v>
      </c>
      <c r="N801" t="s">
        <v>17</v>
      </c>
      <c r="O801" s="1">
        <f>result[[#This Row],[n_killed_mutants_cumulativa]]/result[[#This Row],[tot_mutants]]</f>
        <v>0</v>
      </c>
    </row>
    <row r="802" spans="1:16" hidden="1" x14ac:dyDescent="0.25">
      <c r="A802" t="s">
        <v>149</v>
      </c>
      <c r="B802" t="s">
        <v>30</v>
      </c>
      <c r="C802" t="s">
        <v>16</v>
      </c>
      <c r="D802">
        <v>40717</v>
      </c>
      <c r="E802">
        <v>542</v>
      </c>
      <c r="F802">
        <v>100</v>
      </c>
      <c r="G802">
        <v>10000</v>
      </c>
      <c r="H802">
        <v>10000</v>
      </c>
      <c r="I802">
        <v>39820</v>
      </c>
      <c r="J802">
        <v>0</v>
      </c>
      <c r="K802">
        <v>0</v>
      </c>
      <c r="L802">
        <v>3</v>
      </c>
      <c r="M802">
        <v>0</v>
      </c>
      <c r="N802" t="s">
        <v>17</v>
      </c>
      <c r="O802" s="1">
        <f>result[[#This Row],[n_killed_mutants_cumulativa]]/result[[#This Row],[tot_mutants]]</f>
        <v>0</v>
      </c>
    </row>
    <row r="803" spans="1:16" hidden="1" x14ac:dyDescent="0.25">
      <c r="A803" t="s">
        <v>149</v>
      </c>
      <c r="B803" t="s">
        <v>31</v>
      </c>
      <c r="C803" t="s">
        <v>16</v>
      </c>
      <c r="D803">
        <v>49895</v>
      </c>
      <c r="E803">
        <v>660</v>
      </c>
      <c r="F803">
        <v>110</v>
      </c>
      <c r="G803">
        <v>12100</v>
      </c>
      <c r="H803">
        <v>12100</v>
      </c>
      <c r="I803">
        <v>48183</v>
      </c>
      <c r="J803">
        <v>0</v>
      </c>
      <c r="K803">
        <v>0</v>
      </c>
      <c r="L803">
        <v>3</v>
      </c>
      <c r="M803">
        <v>0</v>
      </c>
      <c r="N803" t="s">
        <v>17</v>
      </c>
      <c r="O803" s="1">
        <f>result[[#This Row],[n_killed_mutants_cumulativa]]/result[[#This Row],[tot_mutants]]</f>
        <v>0</v>
      </c>
    </row>
    <row r="804" spans="1:16" hidden="1" x14ac:dyDescent="0.25">
      <c r="A804" t="s">
        <v>149</v>
      </c>
      <c r="B804" t="s">
        <v>36</v>
      </c>
      <c r="C804" t="s">
        <v>16</v>
      </c>
      <c r="D804">
        <v>59955</v>
      </c>
      <c r="E804">
        <v>780</v>
      </c>
      <c r="F804">
        <v>120</v>
      </c>
      <c r="G804">
        <v>14400</v>
      </c>
      <c r="H804">
        <v>14400</v>
      </c>
      <c r="I804">
        <v>57351</v>
      </c>
      <c r="J804">
        <v>0</v>
      </c>
      <c r="K804">
        <v>0</v>
      </c>
      <c r="L804">
        <v>3</v>
      </c>
      <c r="M804">
        <v>0</v>
      </c>
      <c r="N804" t="s">
        <v>17</v>
      </c>
      <c r="O804" s="1">
        <f>result[[#This Row],[n_killed_mutants_cumulativa]]/result[[#This Row],[tot_mutants]]</f>
        <v>0</v>
      </c>
    </row>
    <row r="805" spans="1:16" hidden="1" x14ac:dyDescent="0.25">
      <c r="A805" t="s">
        <v>149</v>
      </c>
      <c r="B805" t="s">
        <v>40</v>
      </c>
      <c r="C805" t="s">
        <v>16</v>
      </c>
      <c r="D805">
        <v>72072</v>
      </c>
      <c r="E805">
        <v>894</v>
      </c>
      <c r="F805">
        <v>130</v>
      </c>
      <c r="G805">
        <v>16900</v>
      </c>
      <c r="H805">
        <v>16900</v>
      </c>
      <c r="I805">
        <v>67353</v>
      </c>
      <c r="J805">
        <v>0</v>
      </c>
      <c r="K805">
        <v>0</v>
      </c>
      <c r="L805">
        <v>3</v>
      </c>
      <c r="M805">
        <v>0</v>
      </c>
      <c r="N805" t="s">
        <v>17</v>
      </c>
      <c r="O805" s="1">
        <f>result[[#This Row],[n_killed_mutants_cumulativa]]/result[[#This Row],[tot_mutants]]</f>
        <v>0</v>
      </c>
    </row>
    <row r="806" spans="1:16" hidden="1" x14ac:dyDescent="0.25">
      <c r="A806" t="s">
        <v>149</v>
      </c>
      <c r="B806" t="s">
        <v>47</v>
      </c>
      <c r="C806" t="s">
        <v>16</v>
      </c>
      <c r="D806">
        <v>84870</v>
      </c>
      <c r="E806">
        <v>1034</v>
      </c>
      <c r="F806">
        <v>140</v>
      </c>
      <c r="G806">
        <v>19600</v>
      </c>
      <c r="H806">
        <v>19600</v>
      </c>
      <c r="I806">
        <v>78078</v>
      </c>
      <c r="J806">
        <v>0</v>
      </c>
      <c r="K806">
        <v>0</v>
      </c>
      <c r="L806">
        <v>3</v>
      </c>
      <c r="M806">
        <v>0</v>
      </c>
      <c r="N806" t="s">
        <v>17</v>
      </c>
      <c r="O806" s="1">
        <f>result[[#This Row],[n_killed_mutants_cumulativa]]/result[[#This Row],[tot_mutants]]</f>
        <v>0</v>
      </c>
    </row>
    <row r="807" spans="1:16" hidden="1" x14ac:dyDescent="0.25">
      <c r="A807" t="s">
        <v>149</v>
      </c>
      <c r="B807" t="s">
        <v>48</v>
      </c>
      <c r="C807" t="s">
        <v>16</v>
      </c>
      <c r="D807">
        <v>99372</v>
      </c>
      <c r="E807">
        <v>1199</v>
      </c>
      <c r="F807">
        <v>150</v>
      </c>
      <c r="G807">
        <v>22500</v>
      </c>
      <c r="H807">
        <v>22500</v>
      </c>
      <c r="I807">
        <v>89684</v>
      </c>
      <c r="J807">
        <v>0</v>
      </c>
      <c r="K807">
        <v>0</v>
      </c>
      <c r="L807">
        <v>3</v>
      </c>
      <c r="M807">
        <v>0</v>
      </c>
      <c r="N807" t="s">
        <v>17</v>
      </c>
      <c r="O807" s="1">
        <f>result[[#This Row],[n_killed_mutants_cumulativa]]/result[[#This Row],[tot_mutants]]</f>
        <v>0</v>
      </c>
    </row>
    <row r="808" spans="1:16" hidden="1" x14ac:dyDescent="0.25">
      <c r="A808" t="s">
        <v>149</v>
      </c>
      <c r="B808" t="s">
        <v>49</v>
      </c>
      <c r="C808" t="s">
        <v>16</v>
      </c>
      <c r="D808">
        <v>115514</v>
      </c>
      <c r="E808">
        <v>1353</v>
      </c>
      <c r="F808">
        <v>160</v>
      </c>
      <c r="G808">
        <v>25600</v>
      </c>
      <c r="H808">
        <v>25600</v>
      </c>
      <c r="I808">
        <v>102110</v>
      </c>
      <c r="J808">
        <v>0</v>
      </c>
      <c r="K808">
        <v>0</v>
      </c>
      <c r="L808">
        <v>3</v>
      </c>
      <c r="M808">
        <v>0</v>
      </c>
      <c r="N808" t="s">
        <v>17</v>
      </c>
      <c r="O808" s="1">
        <f>result[[#This Row],[n_killed_mutants_cumulativa]]/result[[#This Row],[tot_mutants]]</f>
        <v>0</v>
      </c>
    </row>
    <row r="809" spans="1:16" hidden="1" x14ac:dyDescent="0.25">
      <c r="A809" t="s">
        <v>149</v>
      </c>
      <c r="B809" t="s">
        <v>22</v>
      </c>
      <c r="C809" t="s">
        <v>16</v>
      </c>
      <c r="D809">
        <v>646140</v>
      </c>
      <c r="E809">
        <v>8296</v>
      </c>
      <c r="F809">
        <v>1360</v>
      </c>
      <c r="G809">
        <v>149600</v>
      </c>
      <c r="H809">
        <v>149600</v>
      </c>
      <c r="I809">
        <v>595572</v>
      </c>
      <c r="J809">
        <v>0</v>
      </c>
      <c r="K809">
        <v>0</v>
      </c>
      <c r="L809">
        <v>3</v>
      </c>
      <c r="M809">
        <v>0</v>
      </c>
      <c r="N809" t="s">
        <v>17</v>
      </c>
      <c r="O809" s="1">
        <f>result[[#This Row],[n_killed_mutants_cumulativa]]/result[[#This Row],[tot_mutants]]</f>
        <v>0</v>
      </c>
      <c r="P809" s="9" t="s">
        <v>346</v>
      </c>
    </row>
    <row r="810" spans="1:16" hidden="1" x14ac:dyDescent="0.25">
      <c r="A810" t="s">
        <v>150</v>
      </c>
      <c r="B810" t="s">
        <v>15</v>
      </c>
      <c r="C810" t="s">
        <v>16</v>
      </c>
      <c r="D810">
        <v>3172</v>
      </c>
      <c r="E810">
        <v>124</v>
      </c>
      <c r="F810">
        <v>10</v>
      </c>
      <c r="G810">
        <v>100</v>
      </c>
      <c r="H810">
        <v>300</v>
      </c>
      <c r="I810">
        <v>210</v>
      </c>
      <c r="J810">
        <v>0</v>
      </c>
      <c r="K810">
        <v>0</v>
      </c>
      <c r="L810">
        <v>2</v>
      </c>
      <c r="M810">
        <v>0</v>
      </c>
      <c r="N810" t="s">
        <v>17</v>
      </c>
      <c r="O810" s="1">
        <f>result[[#This Row],[n_killed_mutants_cumulativa]]/result[[#This Row],[tot_mutants]]</f>
        <v>0</v>
      </c>
    </row>
    <row r="811" spans="1:16" hidden="1" x14ac:dyDescent="0.25">
      <c r="A811" t="s">
        <v>150</v>
      </c>
      <c r="B811" t="s">
        <v>18</v>
      </c>
      <c r="C811" t="s">
        <v>16</v>
      </c>
      <c r="D811">
        <v>2713</v>
      </c>
      <c r="E811">
        <v>67</v>
      </c>
      <c r="F811">
        <v>20</v>
      </c>
      <c r="G811">
        <v>400</v>
      </c>
      <c r="H811">
        <v>840</v>
      </c>
      <c r="I811">
        <v>820</v>
      </c>
      <c r="J811">
        <v>0</v>
      </c>
      <c r="K811">
        <v>0</v>
      </c>
      <c r="L811">
        <v>2</v>
      </c>
      <c r="M811">
        <v>0</v>
      </c>
      <c r="N811" t="s">
        <v>17</v>
      </c>
      <c r="O811" s="1">
        <f>result[[#This Row],[n_killed_mutants_cumulativa]]/result[[#This Row],[tot_mutants]]</f>
        <v>0</v>
      </c>
    </row>
    <row r="812" spans="1:16" hidden="1" x14ac:dyDescent="0.25">
      <c r="A812" t="s">
        <v>150</v>
      </c>
      <c r="B812" t="s">
        <v>19</v>
      </c>
      <c r="C812" t="s">
        <v>16</v>
      </c>
      <c r="D812">
        <v>3739</v>
      </c>
      <c r="E812">
        <v>44</v>
      </c>
      <c r="F812">
        <v>30</v>
      </c>
      <c r="G812">
        <v>900</v>
      </c>
      <c r="H812">
        <v>1215</v>
      </c>
      <c r="I812">
        <v>1830</v>
      </c>
      <c r="J812">
        <v>0</v>
      </c>
      <c r="K812">
        <v>0</v>
      </c>
      <c r="L812">
        <v>2</v>
      </c>
      <c r="M812">
        <v>0</v>
      </c>
      <c r="N812" t="s">
        <v>17</v>
      </c>
      <c r="O812" s="1">
        <f>result[[#This Row],[n_killed_mutants_cumulativa]]/result[[#This Row],[tot_mutants]]</f>
        <v>0</v>
      </c>
    </row>
    <row r="813" spans="1:16" hidden="1" x14ac:dyDescent="0.25">
      <c r="A813" t="s">
        <v>150</v>
      </c>
      <c r="B813" t="s">
        <v>20</v>
      </c>
      <c r="C813" t="s">
        <v>16</v>
      </c>
      <c r="D813">
        <v>4795</v>
      </c>
      <c r="E813">
        <v>56</v>
      </c>
      <c r="F813">
        <v>40</v>
      </c>
      <c r="G813">
        <v>1600</v>
      </c>
      <c r="H813">
        <v>1620</v>
      </c>
      <c r="I813">
        <v>3240</v>
      </c>
      <c r="J813">
        <v>0</v>
      </c>
      <c r="K813">
        <v>0</v>
      </c>
      <c r="L813">
        <v>2</v>
      </c>
      <c r="M813">
        <v>0</v>
      </c>
      <c r="N813" t="s">
        <v>17</v>
      </c>
      <c r="O813" s="1">
        <f>result[[#This Row],[n_killed_mutants_cumulativa]]/result[[#This Row],[tot_mutants]]</f>
        <v>0</v>
      </c>
    </row>
    <row r="814" spans="1:16" hidden="1" x14ac:dyDescent="0.25">
      <c r="A814" t="s">
        <v>150</v>
      </c>
      <c r="B814" t="s">
        <v>21</v>
      </c>
      <c r="C814" t="s">
        <v>16</v>
      </c>
      <c r="D814">
        <v>6356</v>
      </c>
      <c r="E814">
        <v>61</v>
      </c>
      <c r="F814">
        <v>50</v>
      </c>
      <c r="G814">
        <v>2500</v>
      </c>
      <c r="H814">
        <v>2094</v>
      </c>
      <c r="I814">
        <v>5050</v>
      </c>
      <c r="J814">
        <v>0</v>
      </c>
      <c r="K814">
        <v>0</v>
      </c>
      <c r="L814">
        <v>2</v>
      </c>
      <c r="M814">
        <v>0</v>
      </c>
      <c r="N814" t="s">
        <v>17</v>
      </c>
      <c r="O814" s="1">
        <f>result[[#This Row],[n_killed_mutants_cumulativa]]/result[[#This Row],[tot_mutants]]</f>
        <v>0</v>
      </c>
    </row>
    <row r="815" spans="1:16" hidden="1" x14ac:dyDescent="0.25">
      <c r="A815" t="s">
        <v>150</v>
      </c>
      <c r="B815" t="s">
        <v>24</v>
      </c>
      <c r="C815" t="s">
        <v>16</v>
      </c>
      <c r="D815">
        <v>8495</v>
      </c>
      <c r="E815">
        <v>67</v>
      </c>
      <c r="F815">
        <v>60</v>
      </c>
      <c r="G815">
        <v>3600</v>
      </c>
      <c r="H815">
        <v>2376</v>
      </c>
      <c r="I815">
        <v>7260</v>
      </c>
      <c r="J815">
        <v>0</v>
      </c>
      <c r="K815">
        <v>0</v>
      </c>
      <c r="L815">
        <v>2</v>
      </c>
      <c r="M815">
        <v>0</v>
      </c>
      <c r="N815" t="s">
        <v>17</v>
      </c>
      <c r="O815" s="1">
        <f>result[[#This Row],[n_killed_mutants_cumulativa]]/result[[#This Row],[tot_mutants]]</f>
        <v>0</v>
      </c>
    </row>
    <row r="816" spans="1:16" hidden="1" x14ac:dyDescent="0.25">
      <c r="A816" t="s">
        <v>150</v>
      </c>
      <c r="B816" t="s">
        <v>25</v>
      </c>
      <c r="C816" t="s">
        <v>16</v>
      </c>
      <c r="D816">
        <v>10711</v>
      </c>
      <c r="E816">
        <v>72</v>
      </c>
      <c r="F816">
        <v>70</v>
      </c>
      <c r="G816">
        <v>4900</v>
      </c>
      <c r="H816">
        <v>2871</v>
      </c>
      <c r="I816">
        <v>9870</v>
      </c>
      <c r="J816">
        <v>0</v>
      </c>
      <c r="K816">
        <v>0</v>
      </c>
      <c r="L816">
        <v>2</v>
      </c>
      <c r="M816">
        <v>0</v>
      </c>
      <c r="N816" t="s">
        <v>17</v>
      </c>
      <c r="O816" s="1">
        <f>result[[#This Row],[n_killed_mutants_cumulativa]]/result[[#This Row],[tot_mutants]]</f>
        <v>0</v>
      </c>
    </row>
    <row r="817" spans="1:16" hidden="1" x14ac:dyDescent="0.25">
      <c r="A817" t="s">
        <v>150</v>
      </c>
      <c r="B817" t="s">
        <v>26</v>
      </c>
      <c r="C817" t="s">
        <v>16</v>
      </c>
      <c r="D817">
        <v>13718</v>
      </c>
      <c r="E817">
        <v>87</v>
      </c>
      <c r="F817">
        <v>80</v>
      </c>
      <c r="G817">
        <v>6400</v>
      </c>
      <c r="H817">
        <v>3279</v>
      </c>
      <c r="I817">
        <v>12880</v>
      </c>
      <c r="J817">
        <v>0</v>
      </c>
      <c r="K817">
        <v>0</v>
      </c>
      <c r="L817">
        <v>2</v>
      </c>
      <c r="M817">
        <v>0</v>
      </c>
      <c r="N817" t="s">
        <v>17</v>
      </c>
      <c r="O817" s="1">
        <f>result[[#This Row],[n_killed_mutants_cumulativa]]/result[[#This Row],[tot_mutants]]</f>
        <v>0</v>
      </c>
    </row>
    <row r="818" spans="1:16" hidden="1" x14ac:dyDescent="0.25">
      <c r="A818" t="s">
        <v>150</v>
      </c>
      <c r="B818" t="s">
        <v>27</v>
      </c>
      <c r="C818" t="s">
        <v>16</v>
      </c>
      <c r="D818">
        <v>16665</v>
      </c>
      <c r="E818">
        <v>106</v>
      </c>
      <c r="F818">
        <v>90</v>
      </c>
      <c r="G818">
        <v>8100</v>
      </c>
      <c r="H818">
        <v>3612</v>
      </c>
      <c r="I818">
        <v>16290</v>
      </c>
      <c r="J818">
        <v>0</v>
      </c>
      <c r="K818">
        <v>0</v>
      </c>
      <c r="L818">
        <v>2</v>
      </c>
      <c r="M818">
        <v>0</v>
      </c>
      <c r="N818" t="s">
        <v>17</v>
      </c>
      <c r="O818" s="1">
        <f>result[[#This Row],[n_killed_mutants_cumulativa]]/result[[#This Row],[tot_mutants]]</f>
        <v>0</v>
      </c>
    </row>
    <row r="819" spans="1:16" hidden="1" x14ac:dyDescent="0.25">
      <c r="A819" t="s">
        <v>150</v>
      </c>
      <c r="B819" t="s">
        <v>30</v>
      </c>
      <c r="C819" t="s">
        <v>16</v>
      </c>
      <c r="D819">
        <v>20707</v>
      </c>
      <c r="E819">
        <v>124</v>
      </c>
      <c r="F819">
        <v>100</v>
      </c>
      <c r="G819">
        <v>10000</v>
      </c>
      <c r="H819">
        <v>4080</v>
      </c>
      <c r="I819">
        <v>20100</v>
      </c>
      <c r="J819">
        <v>0</v>
      </c>
      <c r="K819">
        <v>0</v>
      </c>
      <c r="L819">
        <v>2</v>
      </c>
      <c r="M819">
        <v>0</v>
      </c>
      <c r="N819" t="s">
        <v>17</v>
      </c>
      <c r="O819" s="1">
        <f>result[[#This Row],[n_killed_mutants_cumulativa]]/result[[#This Row],[tot_mutants]]</f>
        <v>0</v>
      </c>
    </row>
    <row r="820" spans="1:16" hidden="1" x14ac:dyDescent="0.25">
      <c r="A820" t="s">
        <v>150</v>
      </c>
      <c r="B820" t="s">
        <v>31</v>
      </c>
      <c r="C820" t="s">
        <v>16</v>
      </c>
      <c r="D820">
        <v>24855</v>
      </c>
      <c r="E820">
        <v>145</v>
      </c>
      <c r="F820">
        <v>110</v>
      </c>
      <c r="G820">
        <v>12100</v>
      </c>
      <c r="H820">
        <v>4449</v>
      </c>
      <c r="I820">
        <v>24310</v>
      </c>
      <c r="J820">
        <v>0</v>
      </c>
      <c r="K820">
        <v>0</v>
      </c>
      <c r="L820">
        <v>2</v>
      </c>
      <c r="M820">
        <v>0</v>
      </c>
      <c r="N820" t="s">
        <v>17</v>
      </c>
      <c r="O820" s="1">
        <f>result[[#This Row],[n_killed_mutants_cumulativa]]/result[[#This Row],[tot_mutants]]</f>
        <v>0</v>
      </c>
    </row>
    <row r="821" spans="1:16" hidden="1" x14ac:dyDescent="0.25">
      <c r="A821" t="s">
        <v>150</v>
      </c>
      <c r="B821" t="s">
        <v>36</v>
      </c>
      <c r="C821" t="s">
        <v>16</v>
      </c>
      <c r="D821">
        <v>29781</v>
      </c>
      <c r="E821">
        <v>168</v>
      </c>
      <c r="F821">
        <v>120</v>
      </c>
      <c r="G821">
        <v>14400</v>
      </c>
      <c r="H821">
        <v>4839</v>
      </c>
      <c r="I821">
        <v>28920</v>
      </c>
      <c r="J821">
        <v>0</v>
      </c>
      <c r="K821">
        <v>0</v>
      </c>
      <c r="L821">
        <v>2</v>
      </c>
      <c r="M821">
        <v>0</v>
      </c>
      <c r="N821" t="s">
        <v>17</v>
      </c>
      <c r="O821" s="1">
        <f>result[[#This Row],[n_killed_mutants_cumulativa]]/result[[#This Row],[tot_mutants]]</f>
        <v>0</v>
      </c>
    </row>
    <row r="822" spans="1:16" hidden="1" x14ac:dyDescent="0.25">
      <c r="A822" t="s">
        <v>150</v>
      </c>
      <c r="B822" t="s">
        <v>40</v>
      </c>
      <c r="C822" t="s">
        <v>16</v>
      </c>
      <c r="D822">
        <v>35286</v>
      </c>
      <c r="E822">
        <v>185</v>
      </c>
      <c r="F822">
        <v>130</v>
      </c>
      <c r="G822">
        <v>16900</v>
      </c>
      <c r="H822">
        <v>5247</v>
      </c>
      <c r="I822">
        <v>33930</v>
      </c>
      <c r="J822">
        <v>0</v>
      </c>
      <c r="K822">
        <v>0</v>
      </c>
      <c r="L822">
        <v>2</v>
      </c>
      <c r="M822">
        <v>0</v>
      </c>
      <c r="N822" t="s">
        <v>17</v>
      </c>
      <c r="O822" s="1">
        <f>result[[#This Row],[n_killed_mutants_cumulativa]]/result[[#This Row],[tot_mutants]]</f>
        <v>0</v>
      </c>
    </row>
    <row r="823" spans="1:16" hidden="1" x14ac:dyDescent="0.25">
      <c r="A823" t="s">
        <v>150</v>
      </c>
      <c r="B823" t="s">
        <v>47</v>
      </c>
      <c r="C823" t="s">
        <v>16</v>
      </c>
      <c r="D823">
        <v>41189</v>
      </c>
      <c r="E823">
        <v>204</v>
      </c>
      <c r="F823">
        <v>140</v>
      </c>
      <c r="G823">
        <v>19600</v>
      </c>
      <c r="H823">
        <v>5592</v>
      </c>
      <c r="I823">
        <v>39340</v>
      </c>
      <c r="J823">
        <v>0</v>
      </c>
      <c r="K823">
        <v>0</v>
      </c>
      <c r="L823">
        <v>2</v>
      </c>
      <c r="M823">
        <v>0</v>
      </c>
      <c r="N823" t="s">
        <v>17</v>
      </c>
      <c r="O823" s="1">
        <f>result[[#This Row],[n_killed_mutants_cumulativa]]/result[[#This Row],[tot_mutants]]</f>
        <v>0</v>
      </c>
    </row>
    <row r="824" spans="1:16" hidden="1" x14ac:dyDescent="0.25">
      <c r="A824" t="s">
        <v>150</v>
      </c>
      <c r="B824" t="s">
        <v>48</v>
      </c>
      <c r="C824" t="s">
        <v>16</v>
      </c>
      <c r="D824">
        <v>47817</v>
      </c>
      <c r="E824">
        <v>230</v>
      </c>
      <c r="F824">
        <v>150</v>
      </c>
      <c r="G824">
        <v>22500</v>
      </c>
      <c r="H824">
        <v>6096</v>
      </c>
      <c r="I824">
        <v>45150</v>
      </c>
      <c r="J824">
        <v>0</v>
      </c>
      <c r="K824">
        <v>0</v>
      </c>
      <c r="L824">
        <v>2</v>
      </c>
      <c r="M824">
        <v>0</v>
      </c>
      <c r="N824" t="s">
        <v>17</v>
      </c>
      <c r="O824" s="1">
        <f>result[[#This Row],[n_killed_mutants_cumulativa]]/result[[#This Row],[tot_mutants]]</f>
        <v>0</v>
      </c>
    </row>
    <row r="825" spans="1:16" hidden="1" x14ac:dyDescent="0.25">
      <c r="A825" t="s">
        <v>150</v>
      </c>
      <c r="B825" t="s">
        <v>49</v>
      </c>
      <c r="C825" t="s">
        <v>16</v>
      </c>
      <c r="D825">
        <v>55342</v>
      </c>
      <c r="E825">
        <v>257</v>
      </c>
      <c r="F825">
        <v>160</v>
      </c>
      <c r="G825">
        <v>25600</v>
      </c>
      <c r="H825">
        <v>6471</v>
      </c>
      <c r="I825">
        <v>51360</v>
      </c>
      <c r="J825">
        <v>0</v>
      </c>
      <c r="K825">
        <v>0</v>
      </c>
      <c r="L825">
        <v>2</v>
      </c>
      <c r="M825">
        <v>0</v>
      </c>
      <c r="N825" t="s">
        <v>17</v>
      </c>
      <c r="O825" s="1">
        <f>result[[#This Row],[n_killed_mutants_cumulativa]]/result[[#This Row],[tot_mutants]]</f>
        <v>0</v>
      </c>
    </row>
    <row r="826" spans="1:16" hidden="1" x14ac:dyDescent="0.25">
      <c r="A826" t="s">
        <v>150</v>
      </c>
      <c r="B826" t="s">
        <v>50</v>
      </c>
      <c r="C826" t="s">
        <v>16</v>
      </c>
      <c r="D826">
        <v>64909</v>
      </c>
      <c r="E826">
        <v>283</v>
      </c>
      <c r="F826">
        <v>170</v>
      </c>
      <c r="G826">
        <v>28900</v>
      </c>
      <c r="H826">
        <v>6825</v>
      </c>
      <c r="I826">
        <v>57970</v>
      </c>
      <c r="J826">
        <v>0</v>
      </c>
      <c r="K826">
        <v>0</v>
      </c>
      <c r="L826">
        <v>2</v>
      </c>
      <c r="M826">
        <v>0</v>
      </c>
      <c r="N826" t="s">
        <v>17</v>
      </c>
      <c r="O826" s="1">
        <f>result[[#This Row],[n_killed_mutants_cumulativa]]/result[[#This Row],[tot_mutants]]</f>
        <v>0</v>
      </c>
    </row>
    <row r="827" spans="1:16" hidden="1" x14ac:dyDescent="0.25">
      <c r="A827" t="s">
        <v>150</v>
      </c>
      <c r="B827" t="s">
        <v>51</v>
      </c>
      <c r="C827" t="s">
        <v>16</v>
      </c>
      <c r="D827">
        <v>73973</v>
      </c>
      <c r="E827">
        <v>321</v>
      </c>
      <c r="F827">
        <v>180</v>
      </c>
      <c r="G827">
        <v>32400</v>
      </c>
      <c r="H827">
        <v>7263</v>
      </c>
      <c r="I827">
        <v>64980</v>
      </c>
      <c r="J827">
        <v>0</v>
      </c>
      <c r="K827">
        <v>0</v>
      </c>
      <c r="L827">
        <v>2</v>
      </c>
      <c r="M827">
        <v>0</v>
      </c>
      <c r="N827" t="s">
        <v>17</v>
      </c>
      <c r="O827" s="1">
        <f>result[[#This Row],[n_killed_mutants_cumulativa]]/result[[#This Row],[tot_mutants]]</f>
        <v>0</v>
      </c>
    </row>
    <row r="828" spans="1:16" hidden="1" x14ac:dyDescent="0.25">
      <c r="A828" t="s">
        <v>150</v>
      </c>
      <c r="B828" t="s">
        <v>52</v>
      </c>
      <c r="C828" t="s">
        <v>16</v>
      </c>
      <c r="D828">
        <v>83911</v>
      </c>
      <c r="E828">
        <v>344</v>
      </c>
      <c r="F828">
        <v>190</v>
      </c>
      <c r="G828">
        <v>36100</v>
      </c>
      <c r="H828">
        <v>7461</v>
      </c>
      <c r="I828">
        <v>72390</v>
      </c>
      <c r="J828">
        <v>0</v>
      </c>
      <c r="K828">
        <v>0</v>
      </c>
      <c r="L828">
        <v>2</v>
      </c>
      <c r="M828">
        <v>0</v>
      </c>
      <c r="N828" t="s">
        <v>17</v>
      </c>
      <c r="O828" s="1">
        <f>result[[#This Row],[n_killed_mutants_cumulativa]]/result[[#This Row],[tot_mutants]]</f>
        <v>0</v>
      </c>
    </row>
    <row r="829" spans="1:16" hidden="1" x14ac:dyDescent="0.25">
      <c r="A829" t="s">
        <v>150</v>
      </c>
      <c r="B829" t="s">
        <v>53</v>
      </c>
      <c r="C829" t="s">
        <v>16</v>
      </c>
      <c r="D829">
        <v>94758</v>
      </c>
      <c r="E829">
        <v>377</v>
      </c>
      <c r="F829">
        <v>200</v>
      </c>
      <c r="G829">
        <v>40000</v>
      </c>
      <c r="H829">
        <v>7956</v>
      </c>
      <c r="I829">
        <v>80200</v>
      </c>
      <c r="J829">
        <v>0</v>
      </c>
      <c r="K829">
        <v>0</v>
      </c>
      <c r="L829">
        <v>2</v>
      </c>
      <c r="M829">
        <v>0</v>
      </c>
      <c r="N829" t="s">
        <v>17</v>
      </c>
      <c r="O829" s="1">
        <f>result[[#This Row],[n_killed_mutants_cumulativa]]/result[[#This Row],[tot_mutants]]</f>
        <v>0</v>
      </c>
    </row>
    <row r="830" spans="1:16" hidden="1" x14ac:dyDescent="0.25">
      <c r="A830" t="s">
        <v>150</v>
      </c>
      <c r="B830" t="s">
        <v>22</v>
      </c>
      <c r="C830" t="s">
        <v>16</v>
      </c>
      <c r="D830">
        <v>642892</v>
      </c>
      <c r="E830">
        <v>3322</v>
      </c>
      <c r="F830">
        <v>2100</v>
      </c>
      <c r="G830">
        <v>287000</v>
      </c>
      <c r="H830">
        <v>84486</v>
      </c>
      <c r="I830">
        <v>576100</v>
      </c>
      <c r="J830">
        <v>0</v>
      </c>
      <c r="K830">
        <v>0</v>
      </c>
      <c r="L830">
        <v>2</v>
      </c>
      <c r="M830">
        <v>0</v>
      </c>
      <c r="N830" t="s">
        <v>17</v>
      </c>
      <c r="O830" s="1">
        <f>result[[#This Row],[n_killed_mutants_cumulativa]]/result[[#This Row],[tot_mutants]]</f>
        <v>0</v>
      </c>
      <c r="P830" s="9" t="s">
        <v>346</v>
      </c>
    </row>
    <row r="831" spans="1:16" hidden="1" x14ac:dyDescent="0.25">
      <c r="A831" t="s">
        <v>151</v>
      </c>
      <c r="B831" t="s">
        <v>15</v>
      </c>
      <c r="C831" t="s">
        <v>16</v>
      </c>
      <c r="D831">
        <v>191</v>
      </c>
      <c r="E831">
        <v>90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0</v>
      </c>
      <c r="N831" t="s">
        <v>17</v>
      </c>
      <c r="O831" s="1">
        <f>result[[#This Row],[n_killed_mutants_cumulativa]]/result[[#This Row],[tot_mutants]]</f>
        <v>0</v>
      </c>
    </row>
    <row r="832" spans="1:16" hidden="1" x14ac:dyDescent="0.25">
      <c r="A832" t="s">
        <v>151</v>
      </c>
      <c r="B832" t="s">
        <v>18</v>
      </c>
      <c r="C832" t="s">
        <v>16</v>
      </c>
      <c r="D832">
        <v>83</v>
      </c>
      <c r="E832">
        <v>67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0</v>
      </c>
      <c r="N832" t="s">
        <v>17</v>
      </c>
      <c r="O832" s="1">
        <f>result[[#This Row],[n_killed_mutants_cumulativa]]/result[[#This Row],[tot_mutants]]</f>
        <v>0</v>
      </c>
    </row>
    <row r="833" spans="1:15" hidden="1" x14ac:dyDescent="0.25">
      <c r="A833" t="s">
        <v>151</v>
      </c>
      <c r="B833" t="s">
        <v>19</v>
      </c>
      <c r="C833" t="s">
        <v>16</v>
      </c>
      <c r="D833">
        <v>98</v>
      </c>
      <c r="E833">
        <v>84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0</v>
      </c>
      <c r="N833" t="s">
        <v>17</v>
      </c>
      <c r="O833" s="1">
        <f>result[[#This Row],[n_killed_mutants_cumulativa]]/result[[#This Row],[tot_mutants]]</f>
        <v>0</v>
      </c>
    </row>
    <row r="834" spans="1:15" hidden="1" x14ac:dyDescent="0.25">
      <c r="A834" t="s">
        <v>151</v>
      </c>
      <c r="B834" t="s">
        <v>20</v>
      </c>
      <c r="C834" t="s">
        <v>16</v>
      </c>
      <c r="D834">
        <v>96</v>
      </c>
      <c r="E834">
        <v>83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0</v>
      </c>
      <c r="N834" t="s">
        <v>17</v>
      </c>
      <c r="O834" s="1">
        <f>result[[#This Row],[n_killed_mutants_cumulativa]]/result[[#This Row],[tot_mutants]]</f>
        <v>0</v>
      </c>
    </row>
    <row r="835" spans="1:15" hidden="1" x14ac:dyDescent="0.25">
      <c r="A835" t="s">
        <v>151</v>
      </c>
      <c r="B835" t="s">
        <v>21</v>
      </c>
      <c r="C835" t="s">
        <v>16</v>
      </c>
      <c r="D835">
        <v>97</v>
      </c>
      <c r="E835">
        <v>82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0</v>
      </c>
      <c r="N835" t="s">
        <v>17</v>
      </c>
      <c r="O835" s="1">
        <f>result[[#This Row],[n_killed_mutants_cumulativa]]/result[[#This Row],[tot_mutants]]</f>
        <v>0</v>
      </c>
    </row>
    <row r="836" spans="1:15" hidden="1" x14ac:dyDescent="0.25">
      <c r="A836" t="s">
        <v>151</v>
      </c>
      <c r="B836" t="s">
        <v>22</v>
      </c>
      <c r="C836" t="s">
        <v>16</v>
      </c>
      <c r="D836">
        <v>565</v>
      </c>
      <c r="E836">
        <v>406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0</v>
      </c>
      <c r="N836" t="s">
        <v>17</v>
      </c>
      <c r="O836" s="1">
        <f>result[[#This Row],[n_killed_mutants_cumulativa]]/result[[#This Row],[tot_mutants]]</f>
        <v>0</v>
      </c>
    </row>
    <row r="837" spans="1:15" hidden="1" x14ac:dyDescent="0.25">
      <c r="A837" t="s">
        <v>152</v>
      </c>
      <c r="B837" t="s">
        <v>15</v>
      </c>
      <c r="C837" t="s">
        <v>16</v>
      </c>
      <c r="D837">
        <v>332</v>
      </c>
      <c r="E837">
        <v>195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14</v>
      </c>
      <c r="M837">
        <v>0</v>
      </c>
      <c r="N837" t="s">
        <v>17</v>
      </c>
      <c r="O837" s="1">
        <f>result[[#This Row],[n_killed_mutants_cumulativa]]/result[[#This Row],[tot_mutants]]</f>
        <v>0</v>
      </c>
    </row>
    <row r="838" spans="1:15" hidden="1" x14ac:dyDescent="0.25">
      <c r="A838" t="s">
        <v>152</v>
      </c>
      <c r="B838" t="s">
        <v>18</v>
      </c>
      <c r="C838" t="s">
        <v>16</v>
      </c>
      <c r="D838">
        <v>209</v>
      </c>
      <c r="E838">
        <v>174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14</v>
      </c>
      <c r="M838">
        <v>0</v>
      </c>
      <c r="N838" t="s">
        <v>17</v>
      </c>
      <c r="O838" s="1">
        <f>result[[#This Row],[n_killed_mutants_cumulativa]]/result[[#This Row],[tot_mutants]]</f>
        <v>0</v>
      </c>
    </row>
    <row r="839" spans="1:15" hidden="1" x14ac:dyDescent="0.25">
      <c r="A839" t="s">
        <v>152</v>
      </c>
      <c r="B839" t="s">
        <v>19</v>
      </c>
      <c r="C839" t="s">
        <v>16</v>
      </c>
      <c r="D839">
        <v>232</v>
      </c>
      <c r="E839">
        <v>199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14</v>
      </c>
      <c r="M839">
        <v>0</v>
      </c>
      <c r="N839" t="s">
        <v>17</v>
      </c>
      <c r="O839" s="1">
        <f>result[[#This Row],[n_killed_mutants_cumulativa]]/result[[#This Row],[tot_mutants]]</f>
        <v>0</v>
      </c>
    </row>
    <row r="840" spans="1:15" hidden="1" x14ac:dyDescent="0.25">
      <c r="A840" t="s">
        <v>152</v>
      </c>
      <c r="B840" t="s">
        <v>20</v>
      </c>
      <c r="C840" t="s">
        <v>16</v>
      </c>
      <c r="D840">
        <v>200</v>
      </c>
      <c r="E840">
        <v>172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14</v>
      </c>
      <c r="M840">
        <v>0</v>
      </c>
      <c r="N840" t="s">
        <v>17</v>
      </c>
      <c r="O840" s="1">
        <f>result[[#This Row],[n_killed_mutants_cumulativa]]/result[[#This Row],[tot_mutants]]</f>
        <v>0</v>
      </c>
    </row>
    <row r="841" spans="1:15" hidden="1" x14ac:dyDescent="0.25">
      <c r="A841" t="s">
        <v>152</v>
      </c>
      <c r="B841" t="s">
        <v>21</v>
      </c>
      <c r="C841" t="s">
        <v>16</v>
      </c>
      <c r="D841">
        <v>235</v>
      </c>
      <c r="E841">
        <v>211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14</v>
      </c>
      <c r="M841">
        <v>0</v>
      </c>
      <c r="N841" t="s">
        <v>17</v>
      </c>
      <c r="O841" s="1">
        <f>result[[#This Row],[n_killed_mutants_cumulativa]]/result[[#This Row],[tot_mutants]]</f>
        <v>0</v>
      </c>
    </row>
    <row r="842" spans="1:15" hidden="1" x14ac:dyDescent="0.25">
      <c r="A842" t="s">
        <v>152</v>
      </c>
      <c r="B842" t="s">
        <v>22</v>
      </c>
      <c r="C842" t="s">
        <v>16</v>
      </c>
      <c r="D842">
        <v>1208</v>
      </c>
      <c r="E842">
        <v>951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14</v>
      </c>
      <c r="M842">
        <v>0</v>
      </c>
      <c r="N842" t="s">
        <v>17</v>
      </c>
      <c r="O842" s="1">
        <f>result[[#This Row],[n_killed_mutants_cumulativa]]/result[[#This Row],[tot_mutants]]</f>
        <v>0</v>
      </c>
    </row>
    <row r="843" spans="1:15" hidden="1" x14ac:dyDescent="0.25">
      <c r="A843" t="s">
        <v>153</v>
      </c>
      <c r="B843" t="s">
        <v>15</v>
      </c>
      <c r="C843" t="s">
        <v>16</v>
      </c>
      <c r="D843">
        <v>2136</v>
      </c>
      <c r="E843">
        <v>384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10</v>
      </c>
      <c r="L843">
        <v>6</v>
      </c>
      <c r="M843">
        <v>0</v>
      </c>
      <c r="N843" t="s">
        <v>17</v>
      </c>
      <c r="O843" s="1">
        <f>result[[#This Row],[n_killed_mutants_cumulativa]]/result[[#This Row],[tot_mutants]]</f>
        <v>0</v>
      </c>
    </row>
    <row r="844" spans="1:15" hidden="1" x14ac:dyDescent="0.25">
      <c r="A844" t="s">
        <v>153</v>
      </c>
      <c r="B844" t="s">
        <v>18</v>
      </c>
      <c r="C844" t="s">
        <v>16</v>
      </c>
      <c r="D844">
        <v>1318</v>
      </c>
      <c r="E844">
        <v>340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20</v>
      </c>
      <c r="L844">
        <v>6</v>
      </c>
      <c r="M844">
        <v>0</v>
      </c>
      <c r="N844" t="s">
        <v>17</v>
      </c>
      <c r="O844" s="1">
        <f>result[[#This Row],[n_killed_mutants_cumulativa]]/result[[#This Row],[tot_mutants]]</f>
        <v>0</v>
      </c>
    </row>
    <row r="845" spans="1:15" hidden="1" x14ac:dyDescent="0.25">
      <c r="A845" t="s">
        <v>153</v>
      </c>
      <c r="B845" t="s">
        <v>19</v>
      </c>
      <c r="C845" t="s">
        <v>16</v>
      </c>
      <c r="D845">
        <v>1906</v>
      </c>
      <c r="E845">
        <v>767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30</v>
      </c>
      <c r="L845">
        <v>6</v>
      </c>
      <c r="M845">
        <v>0</v>
      </c>
      <c r="N845" t="s">
        <v>17</v>
      </c>
      <c r="O845" s="1">
        <f>result[[#This Row],[n_killed_mutants_cumulativa]]/result[[#This Row],[tot_mutants]]</f>
        <v>0</v>
      </c>
    </row>
    <row r="846" spans="1:15" hidden="1" x14ac:dyDescent="0.25">
      <c r="A846" t="s">
        <v>153</v>
      </c>
      <c r="B846" t="s">
        <v>20</v>
      </c>
      <c r="C846" t="s">
        <v>16</v>
      </c>
      <c r="D846">
        <v>2265</v>
      </c>
      <c r="E846">
        <v>950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40</v>
      </c>
      <c r="L846">
        <v>6</v>
      </c>
      <c r="M846">
        <v>0</v>
      </c>
      <c r="N846" t="s">
        <v>17</v>
      </c>
      <c r="O846" s="1">
        <f>result[[#This Row],[n_killed_mutants_cumulativa]]/result[[#This Row],[tot_mutants]]</f>
        <v>0</v>
      </c>
    </row>
    <row r="847" spans="1:15" hidden="1" x14ac:dyDescent="0.25">
      <c r="A847" t="s">
        <v>153</v>
      </c>
      <c r="B847" t="s">
        <v>21</v>
      </c>
      <c r="C847" t="s">
        <v>16</v>
      </c>
      <c r="D847">
        <v>2874</v>
      </c>
      <c r="E847">
        <v>1431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50</v>
      </c>
      <c r="L847">
        <v>6</v>
      </c>
      <c r="M847">
        <v>0</v>
      </c>
      <c r="N847" t="s">
        <v>17</v>
      </c>
      <c r="O847" s="1">
        <f>result[[#This Row],[n_killed_mutants_cumulativa]]/result[[#This Row],[tot_mutants]]</f>
        <v>0</v>
      </c>
    </row>
    <row r="848" spans="1:15" hidden="1" x14ac:dyDescent="0.25">
      <c r="A848" t="s">
        <v>153</v>
      </c>
      <c r="B848" t="s">
        <v>22</v>
      </c>
      <c r="C848" t="s">
        <v>16</v>
      </c>
      <c r="D848">
        <v>10499</v>
      </c>
      <c r="E848">
        <v>3872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150</v>
      </c>
      <c r="L848">
        <v>6</v>
      </c>
      <c r="M848">
        <v>0</v>
      </c>
      <c r="N848" t="s">
        <v>17</v>
      </c>
      <c r="O848" s="1">
        <f>result[[#This Row],[n_killed_mutants_cumulativa]]/result[[#This Row],[tot_mutants]]</f>
        <v>0</v>
      </c>
    </row>
    <row r="849" spans="1:16" hidden="1" x14ac:dyDescent="0.25">
      <c r="A849" t="s">
        <v>154</v>
      </c>
      <c r="B849" t="s">
        <v>15</v>
      </c>
      <c r="C849" t="s">
        <v>16</v>
      </c>
      <c r="D849">
        <v>4548</v>
      </c>
      <c r="E849">
        <v>293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10</v>
      </c>
      <c r="L849">
        <v>2</v>
      </c>
      <c r="M849">
        <v>0</v>
      </c>
      <c r="N849" t="s">
        <v>17</v>
      </c>
      <c r="O849" s="1">
        <f>result[[#This Row],[n_killed_mutants_cumulativa]]/result[[#This Row],[tot_mutants]]</f>
        <v>0</v>
      </c>
    </row>
    <row r="850" spans="1:16" hidden="1" x14ac:dyDescent="0.25">
      <c r="A850" t="s">
        <v>154</v>
      </c>
      <c r="B850" t="s">
        <v>18</v>
      </c>
      <c r="C850" t="s">
        <v>16</v>
      </c>
      <c r="D850">
        <v>5735</v>
      </c>
      <c r="E850">
        <v>419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20</v>
      </c>
      <c r="L850">
        <v>2</v>
      </c>
      <c r="M850">
        <v>0</v>
      </c>
      <c r="N850" t="s">
        <v>17</v>
      </c>
      <c r="O850" s="1">
        <f>result[[#This Row],[n_killed_mutants_cumulativa]]/result[[#This Row],[tot_mutants]]</f>
        <v>0</v>
      </c>
    </row>
    <row r="851" spans="1:16" hidden="1" x14ac:dyDescent="0.25">
      <c r="A851" t="s">
        <v>154</v>
      </c>
      <c r="B851" t="s">
        <v>19</v>
      </c>
      <c r="C851" t="s">
        <v>16</v>
      </c>
      <c r="D851">
        <v>7914</v>
      </c>
      <c r="E851">
        <v>435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30</v>
      </c>
      <c r="L851">
        <v>2</v>
      </c>
      <c r="M851">
        <v>0</v>
      </c>
      <c r="N851" t="s">
        <v>17</v>
      </c>
      <c r="O851" s="1">
        <f>result[[#This Row],[n_killed_mutants_cumulativa]]/result[[#This Row],[tot_mutants]]</f>
        <v>0</v>
      </c>
    </row>
    <row r="852" spans="1:16" hidden="1" x14ac:dyDescent="0.25">
      <c r="A852" t="s">
        <v>154</v>
      </c>
      <c r="B852" t="s">
        <v>20</v>
      </c>
      <c r="C852" t="s">
        <v>16</v>
      </c>
      <c r="D852">
        <v>10261</v>
      </c>
      <c r="E852">
        <v>773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40</v>
      </c>
      <c r="L852">
        <v>2</v>
      </c>
      <c r="M852">
        <v>0</v>
      </c>
      <c r="N852" t="s">
        <v>17</v>
      </c>
      <c r="O852" s="1">
        <f>result[[#This Row],[n_killed_mutants_cumulativa]]/result[[#This Row],[tot_mutants]]</f>
        <v>0</v>
      </c>
    </row>
    <row r="853" spans="1:16" hidden="1" x14ac:dyDescent="0.25">
      <c r="A853" t="s">
        <v>154</v>
      </c>
      <c r="B853" t="s">
        <v>21</v>
      </c>
      <c r="C853" t="s">
        <v>16</v>
      </c>
      <c r="D853">
        <v>12812</v>
      </c>
      <c r="E853">
        <v>926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50</v>
      </c>
      <c r="L853">
        <v>2</v>
      </c>
      <c r="M853">
        <v>0</v>
      </c>
      <c r="N853" t="s">
        <v>17</v>
      </c>
      <c r="O853" s="1">
        <f>result[[#This Row],[n_killed_mutants_cumulativa]]/result[[#This Row],[tot_mutants]]</f>
        <v>0</v>
      </c>
    </row>
    <row r="854" spans="1:16" hidden="1" x14ac:dyDescent="0.25">
      <c r="A854" t="s">
        <v>154</v>
      </c>
      <c r="B854" t="s">
        <v>22</v>
      </c>
      <c r="C854" t="s">
        <v>16</v>
      </c>
      <c r="D854">
        <v>41270</v>
      </c>
      <c r="E854">
        <v>2846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150</v>
      </c>
      <c r="L854">
        <v>2</v>
      </c>
      <c r="M854">
        <v>0</v>
      </c>
      <c r="N854" t="s">
        <v>17</v>
      </c>
      <c r="O854" s="1">
        <f>result[[#This Row],[n_killed_mutants_cumulativa]]/result[[#This Row],[tot_mutants]]</f>
        <v>0</v>
      </c>
    </row>
    <row r="855" spans="1:16" hidden="1" x14ac:dyDescent="0.25">
      <c r="A855" t="s">
        <v>155</v>
      </c>
      <c r="B855" t="s">
        <v>15</v>
      </c>
      <c r="C855" t="s">
        <v>16</v>
      </c>
      <c r="D855">
        <v>7671</v>
      </c>
      <c r="E855">
        <v>3551</v>
      </c>
      <c r="F855">
        <v>10</v>
      </c>
      <c r="G855">
        <v>100</v>
      </c>
      <c r="H855">
        <v>200</v>
      </c>
      <c r="I855">
        <v>382</v>
      </c>
      <c r="J855">
        <v>0</v>
      </c>
      <c r="K855">
        <v>0</v>
      </c>
      <c r="L855">
        <v>1</v>
      </c>
      <c r="M855">
        <v>0</v>
      </c>
      <c r="N855" t="s">
        <v>17</v>
      </c>
      <c r="O855" s="1">
        <f>result[[#This Row],[n_killed_mutants_cumulativa]]/result[[#This Row],[tot_mutants]]</f>
        <v>0</v>
      </c>
    </row>
    <row r="856" spans="1:16" hidden="1" x14ac:dyDescent="0.25">
      <c r="A856" t="s">
        <v>155</v>
      </c>
      <c r="B856" t="s">
        <v>18</v>
      </c>
      <c r="C856" t="s">
        <v>16</v>
      </c>
      <c r="D856">
        <v>21094</v>
      </c>
      <c r="E856">
        <v>15822</v>
      </c>
      <c r="F856">
        <v>20</v>
      </c>
      <c r="G856">
        <v>400</v>
      </c>
      <c r="H856">
        <v>800</v>
      </c>
      <c r="I856">
        <v>880</v>
      </c>
      <c r="J856">
        <v>0</v>
      </c>
      <c r="K856">
        <v>0</v>
      </c>
      <c r="L856">
        <v>1</v>
      </c>
      <c r="M856">
        <v>0</v>
      </c>
      <c r="N856" t="s">
        <v>17</v>
      </c>
      <c r="O856" s="1">
        <f>result[[#This Row],[n_killed_mutants_cumulativa]]/result[[#This Row],[tot_mutants]]</f>
        <v>0</v>
      </c>
    </row>
    <row r="857" spans="1:16" hidden="1" x14ac:dyDescent="0.25">
      <c r="A857" t="s">
        <v>155</v>
      </c>
      <c r="B857" t="s">
        <v>19</v>
      </c>
      <c r="C857" t="s">
        <v>16</v>
      </c>
      <c r="D857">
        <v>60253</v>
      </c>
      <c r="E857">
        <v>50344</v>
      </c>
      <c r="F857">
        <v>30</v>
      </c>
      <c r="G857">
        <v>900</v>
      </c>
      <c r="H857">
        <v>1800</v>
      </c>
      <c r="I857">
        <v>1470</v>
      </c>
      <c r="J857">
        <v>0</v>
      </c>
      <c r="K857">
        <v>0</v>
      </c>
      <c r="L857">
        <v>1</v>
      </c>
      <c r="M857">
        <v>0</v>
      </c>
      <c r="N857" t="s">
        <v>17</v>
      </c>
      <c r="O857" s="1">
        <f>result[[#This Row],[n_killed_mutants_cumulativa]]/result[[#This Row],[tot_mutants]]</f>
        <v>0</v>
      </c>
    </row>
    <row r="858" spans="1:16" hidden="1" x14ac:dyDescent="0.25">
      <c r="A858" t="s">
        <v>155</v>
      </c>
      <c r="B858" t="s">
        <v>20</v>
      </c>
      <c r="C858" t="s">
        <v>16</v>
      </c>
      <c r="D858">
        <v>132959</v>
      </c>
      <c r="E858">
        <v>117188</v>
      </c>
      <c r="F858">
        <v>40</v>
      </c>
      <c r="G858">
        <v>1600</v>
      </c>
      <c r="H858">
        <v>3200</v>
      </c>
      <c r="I858">
        <v>2090</v>
      </c>
      <c r="J858">
        <v>0</v>
      </c>
      <c r="K858">
        <v>0</v>
      </c>
      <c r="L858">
        <v>1</v>
      </c>
      <c r="M858">
        <v>0</v>
      </c>
      <c r="N858" t="s">
        <v>17</v>
      </c>
      <c r="O858" s="1">
        <f>result[[#This Row],[n_killed_mutants_cumulativa]]/result[[#This Row],[tot_mutants]]</f>
        <v>0</v>
      </c>
    </row>
    <row r="859" spans="1:16" hidden="1" x14ac:dyDescent="0.25">
      <c r="A859" t="s">
        <v>155</v>
      </c>
      <c r="B859" t="s">
        <v>21</v>
      </c>
      <c r="C859" t="s">
        <v>16</v>
      </c>
      <c r="D859">
        <v>247721</v>
      </c>
      <c r="E859">
        <v>224741</v>
      </c>
      <c r="F859">
        <v>50</v>
      </c>
      <c r="G859">
        <v>2500</v>
      </c>
      <c r="H859">
        <v>5000</v>
      </c>
      <c r="I859">
        <v>2860</v>
      </c>
      <c r="J859">
        <v>0</v>
      </c>
      <c r="K859">
        <v>0</v>
      </c>
      <c r="L859">
        <v>1</v>
      </c>
      <c r="M859">
        <v>0</v>
      </c>
      <c r="N859" t="s">
        <v>17</v>
      </c>
      <c r="O859" s="1">
        <f>result[[#This Row],[n_killed_mutants_cumulativa]]/result[[#This Row],[tot_mutants]]</f>
        <v>0</v>
      </c>
    </row>
    <row r="860" spans="1:16" hidden="1" x14ac:dyDescent="0.25">
      <c r="A860" t="s">
        <v>155</v>
      </c>
      <c r="B860" t="s">
        <v>24</v>
      </c>
      <c r="C860" t="s">
        <v>16</v>
      </c>
      <c r="D860">
        <v>419162</v>
      </c>
      <c r="E860">
        <v>387168</v>
      </c>
      <c r="F860">
        <v>60</v>
      </c>
      <c r="G860">
        <v>3600</v>
      </c>
      <c r="H860">
        <v>7200</v>
      </c>
      <c r="I860">
        <v>3588</v>
      </c>
      <c r="J860">
        <v>0</v>
      </c>
      <c r="K860">
        <v>0</v>
      </c>
      <c r="L860">
        <v>1</v>
      </c>
      <c r="M860">
        <v>0</v>
      </c>
      <c r="N860" t="s">
        <v>17</v>
      </c>
      <c r="O860" s="1">
        <f>result[[#This Row],[n_killed_mutants_cumulativa]]/result[[#This Row],[tot_mutants]]</f>
        <v>0</v>
      </c>
    </row>
    <row r="861" spans="1:16" hidden="1" x14ac:dyDescent="0.25">
      <c r="A861" t="s">
        <v>155</v>
      </c>
      <c r="B861" t="s">
        <v>22</v>
      </c>
      <c r="C861" t="s">
        <v>16</v>
      </c>
      <c r="D861">
        <v>888860</v>
      </c>
      <c r="E861">
        <v>798814</v>
      </c>
      <c r="F861">
        <v>210</v>
      </c>
      <c r="G861">
        <v>9100</v>
      </c>
      <c r="H861">
        <v>18200</v>
      </c>
      <c r="I861">
        <v>11270</v>
      </c>
      <c r="J861">
        <v>0</v>
      </c>
      <c r="K861">
        <v>0</v>
      </c>
      <c r="L861">
        <v>1</v>
      </c>
      <c r="M861">
        <v>0</v>
      </c>
      <c r="N861" t="s">
        <v>17</v>
      </c>
      <c r="O861" s="1">
        <f>result[[#This Row],[n_killed_mutants_cumulativa]]/result[[#This Row],[tot_mutants]]</f>
        <v>0</v>
      </c>
      <c r="P861" s="9" t="s">
        <v>346</v>
      </c>
    </row>
    <row r="862" spans="1:16" hidden="1" x14ac:dyDescent="0.25">
      <c r="A862" t="s">
        <v>156</v>
      </c>
      <c r="B862" t="s">
        <v>15</v>
      </c>
      <c r="C862" t="s">
        <v>16</v>
      </c>
      <c r="D862">
        <v>3102</v>
      </c>
      <c r="E862">
        <v>83</v>
      </c>
      <c r="F862">
        <v>10</v>
      </c>
      <c r="G862">
        <v>100</v>
      </c>
      <c r="H862">
        <v>0</v>
      </c>
      <c r="I862">
        <v>130</v>
      </c>
      <c r="J862">
        <v>0</v>
      </c>
      <c r="K862">
        <v>0</v>
      </c>
      <c r="L862">
        <v>3</v>
      </c>
      <c r="M862">
        <v>0</v>
      </c>
      <c r="N862" t="s">
        <v>17</v>
      </c>
      <c r="O862" s="1">
        <f>result[[#This Row],[n_killed_mutants_cumulativa]]/result[[#This Row],[tot_mutants]]</f>
        <v>0</v>
      </c>
    </row>
    <row r="863" spans="1:16" hidden="1" x14ac:dyDescent="0.25">
      <c r="A863" t="s">
        <v>156</v>
      </c>
      <c r="B863" t="s">
        <v>18</v>
      </c>
      <c r="C863" t="s">
        <v>16</v>
      </c>
      <c r="D863">
        <v>2731</v>
      </c>
      <c r="E863">
        <v>49</v>
      </c>
      <c r="F863">
        <v>20</v>
      </c>
      <c r="G863">
        <v>400</v>
      </c>
      <c r="H863">
        <v>0</v>
      </c>
      <c r="I863">
        <v>660</v>
      </c>
      <c r="J863">
        <v>0</v>
      </c>
      <c r="K863">
        <v>0</v>
      </c>
      <c r="L863">
        <v>3</v>
      </c>
      <c r="M863">
        <v>0</v>
      </c>
      <c r="N863" t="s">
        <v>17</v>
      </c>
      <c r="O863" s="1">
        <f>result[[#This Row],[n_killed_mutants_cumulativa]]/result[[#This Row],[tot_mutants]]</f>
        <v>0</v>
      </c>
    </row>
    <row r="864" spans="1:16" hidden="1" x14ac:dyDescent="0.25">
      <c r="A864" t="s">
        <v>156</v>
      </c>
      <c r="B864" t="s">
        <v>19</v>
      </c>
      <c r="C864" t="s">
        <v>16</v>
      </c>
      <c r="D864">
        <v>4012</v>
      </c>
      <c r="E864">
        <v>43</v>
      </c>
      <c r="F864">
        <v>30</v>
      </c>
      <c r="G864">
        <v>900</v>
      </c>
      <c r="H864">
        <v>0</v>
      </c>
      <c r="I864">
        <v>1590</v>
      </c>
      <c r="J864">
        <v>0</v>
      </c>
      <c r="K864">
        <v>0</v>
      </c>
      <c r="L864">
        <v>3</v>
      </c>
      <c r="M864">
        <v>0</v>
      </c>
      <c r="N864" t="s">
        <v>17</v>
      </c>
      <c r="O864" s="1">
        <f>result[[#This Row],[n_killed_mutants_cumulativa]]/result[[#This Row],[tot_mutants]]</f>
        <v>0</v>
      </c>
    </row>
    <row r="865" spans="1:16" hidden="1" x14ac:dyDescent="0.25">
      <c r="A865" t="s">
        <v>156</v>
      </c>
      <c r="B865" t="s">
        <v>20</v>
      </c>
      <c r="C865" t="s">
        <v>16</v>
      </c>
      <c r="D865">
        <v>5585</v>
      </c>
      <c r="E865">
        <v>61</v>
      </c>
      <c r="F865">
        <v>40</v>
      </c>
      <c r="G865">
        <v>1600</v>
      </c>
      <c r="H865">
        <v>0</v>
      </c>
      <c r="I865">
        <v>2920</v>
      </c>
      <c r="J865">
        <v>0</v>
      </c>
      <c r="K865">
        <v>0</v>
      </c>
      <c r="L865">
        <v>3</v>
      </c>
      <c r="M865">
        <v>0</v>
      </c>
      <c r="N865" t="s">
        <v>17</v>
      </c>
      <c r="O865" s="1">
        <f>result[[#This Row],[n_killed_mutants_cumulativa]]/result[[#This Row],[tot_mutants]]</f>
        <v>0</v>
      </c>
    </row>
    <row r="866" spans="1:16" hidden="1" x14ac:dyDescent="0.25">
      <c r="A866" t="s">
        <v>156</v>
      </c>
      <c r="B866" t="s">
        <v>21</v>
      </c>
      <c r="C866" t="s">
        <v>16</v>
      </c>
      <c r="D866">
        <v>7552</v>
      </c>
      <c r="E866">
        <v>96</v>
      </c>
      <c r="F866">
        <v>50</v>
      </c>
      <c r="G866">
        <v>2500</v>
      </c>
      <c r="H866">
        <v>0</v>
      </c>
      <c r="I866">
        <v>4650</v>
      </c>
      <c r="J866">
        <v>0</v>
      </c>
      <c r="K866">
        <v>0</v>
      </c>
      <c r="L866">
        <v>3</v>
      </c>
      <c r="M866">
        <v>0</v>
      </c>
      <c r="N866" t="s">
        <v>17</v>
      </c>
      <c r="O866" s="1">
        <f>result[[#This Row],[n_killed_mutants_cumulativa]]/result[[#This Row],[tot_mutants]]</f>
        <v>0</v>
      </c>
    </row>
    <row r="867" spans="1:16" hidden="1" x14ac:dyDescent="0.25">
      <c r="A867" t="s">
        <v>156</v>
      </c>
      <c r="B867" t="s">
        <v>24</v>
      </c>
      <c r="C867" t="s">
        <v>16</v>
      </c>
      <c r="D867">
        <v>10568</v>
      </c>
      <c r="E867">
        <v>124</v>
      </c>
      <c r="F867">
        <v>60</v>
      </c>
      <c r="G867">
        <v>3600</v>
      </c>
      <c r="H867">
        <v>0</v>
      </c>
      <c r="I867">
        <v>6780</v>
      </c>
      <c r="J867">
        <v>0</v>
      </c>
      <c r="K867">
        <v>0</v>
      </c>
      <c r="L867">
        <v>3</v>
      </c>
      <c r="M867">
        <v>0</v>
      </c>
      <c r="N867" t="s">
        <v>17</v>
      </c>
      <c r="O867" s="1">
        <f>result[[#This Row],[n_killed_mutants_cumulativa]]/result[[#This Row],[tot_mutants]]</f>
        <v>0</v>
      </c>
    </row>
    <row r="868" spans="1:16" hidden="1" x14ac:dyDescent="0.25">
      <c r="A868" t="s">
        <v>156</v>
      </c>
      <c r="B868" t="s">
        <v>25</v>
      </c>
      <c r="C868" t="s">
        <v>16</v>
      </c>
      <c r="D868">
        <v>13611</v>
      </c>
      <c r="E868">
        <v>166</v>
      </c>
      <c r="F868">
        <v>70</v>
      </c>
      <c r="G868">
        <v>4900</v>
      </c>
      <c r="H868">
        <v>0</v>
      </c>
      <c r="I868">
        <v>9310</v>
      </c>
      <c r="J868">
        <v>0</v>
      </c>
      <c r="K868">
        <v>0</v>
      </c>
      <c r="L868">
        <v>3</v>
      </c>
      <c r="M868">
        <v>0</v>
      </c>
      <c r="N868" t="s">
        <v>17</v>
      </c>
      <c r="O868" s="1">
        <f>result[[#This Row],[n_killed_mutants_cumulativa]]/result[[#This Row],[tot_mutants]]</f>
        <v>0</v>
      </c>
    </row>
    <row r="869" spans="1:16" hidden="1" x14ac:dyDescent="0.25">
      <c r="A869" t="s">
        <v>156</v>
      </c>
      <c r="B869" t="s">
        <v>26</v>
      </c>
      <c r="C869" t="s">
        <v>16</v>
      </c>
      <c r="D869">
        <v>17217</v>
      </c>
      <c r="E869">
        <v>212</v>
      </c>
      <c r="F869">
        <v>80</v>
      </c>
      <c r="G869">
        <v>6400</v>
      </c>
      <c r="H869">
        <v>0</v>
      </c>
      <c r="I869">
        <v>12240</v>
      </c>
      <c r="J869">
        <v>0</v>
      </c>
      <c r="K869">
        <v>0</v>
      </c>
      <c r="L869">
        <v>3</v>
      </c>
      <c r="M869">
        <v>0</v>
      </c>
      <c r="N869" t="s">
        <v>17</v>
      </c>
      <c r="O869" s="1">
        <f>result[[#This Row],[n_killed_mutants_cumulativa]]/result[[#This Row],[tot_mutants]]</f>
        <v>0</v>
      </c>
    </row>
    <row r="870" spans="1:16" hidden="1" x14ac:dyDescent="0.25">
      <c r="A870" t="s">
        <v>156</v>
      </c>
      <c r="B870" t="s">
        <v>27</v>
      </c>
      <c r="C870" t="s">
        <v>16</v>
      </c>
      <c r="D870">
        <v>21889</v>
      </c>
      <c r="E870">
        <v>272</v>
      </c>
      <c r="F870">
        <v>90</v>
      </c>
      <c r="G870">
        <v>8100</v>
      </c>
      <c r="H870">
        <v>0</v>
      </c>
      <c r="I870">
        <v>15570</v>
      </c>
      <c r="J870">
        <v>0</v>
      </c>
      <c r="K870">
        <v>0</v>
      </c>
      <c r="L870">
        <v>3</v>
      </c>
      <c r="M870">
        <v>0</v>
      </c>
      <c r="N870" t="s">
        <v>17</v>
      </c>
      <c r="O870" s="1">
        <f>result[[#This Row],[n_killed_mutants_cumulativa]]/result[[#This Row],[tot_mutants]]</f>
        <v>0</v>
      </c>
    </row>
    <row r="871" spans="1:16" hidden="1" x14ac:dyDescent="0.25">
      <c r="A871" t="s">
        <v>156</v>
      </c>
      <c r="B871" t="s">
        <v>30</v>
      </c>
      <c r="C871" t="s">
        <v>16</v>
      </c>
      <c r="D871">
        <v>26841</v>
      </c>
      <c r="E871">
        <v>333</v>
      </c>
      <c r="F871">
        <v>100</v>
      </c>
      <c r="G871">
        <v>10000</v>
      </c>
      <c r="H871">
        <v>0</v>
      </c>
      <c r="I871">
        <v>19300</v>
      </c>
      <c r="J871">
        <v>0</v>
      </c>
      <c r="K871">
        <v>0</v>
      </c>
      <c r="L871">
        <v>3</v>
      </c>
      <c r="M871">
        <v>0</v>
      </c>
      <c r="N871" t="s">
        <v>17</v>
      </c>
      <c r="O871" s="1">
        <f>result[[#This Row],[n_killed_mutants_cumulativa]]/result[[#This Row],[tot_mutants]]</f>
        <v>0</v>
      </c>
    </row>
    <row r="872" spans="1:16" hidden="1" x14ac:dyDescent="0.25">
      <c r="A872" t="s">
        <v>156</v>
      </c>
      <c r="B872" t="s">
        <v>31</v>
      </c>
      <c r="C872" t="s">
        <v>16</v>
      </c>
      <c r="D872">
        <v>33210</v>
      </c>
      <c r="E872">
        <v>404</v>
      </c>
      <c r="F872">
        <v>110</v>
      </c>
      <c r="G872">
        <v>12100</v>
      </c>
      <c r="H872">
        <v>0</v>
      </c>
      <c r="I872">
        <v>23430</v>
      </c>
      <c r="J872">
        <v>0</v>
      </c>
      <c r="K872">
        <v>0</v>
      </c>
      <c r="L872">
        <v>3</v>
      </c>
      <c r="M872">
        <v>0</v>
      </c>
      <c r="N872" t="s">
        <v>17</v>
      </c>
      <c r="O872" s="1">
        <f>result[[#This Row],[n_killed_mutants_cumulativa]]/result[[#This Row],[tot_mutants]]</f>
        <v>0</v>
      </c>
    </row>
    <row r="873" spans="1:16" hidden="1" x14ac:dyDescent="0.25">
      <c r="A873" t="s">
        <v>156</v>
      </c>
      <c r="B873" t="s">
        <v>36</v>
      </c>
      <c r="C873" t="s">
        <v>16</v>
      </c>
      <c r="D873">
        <v>39829</v>
      </c>
      <c r="E873">
        <v>479</v>
      </c>
      <c r="F873">
        <v>120</v>
      </c>
      <c r="G873">
        <v>14400</v>
      </c>
      <c r="H873">
        <v>0</v>
      </c>
      <c r="I873">
        <v>27960</v>
      </c>
      <c r="J873">
        <v>0</v>
      </c>
      <c r="K873">
        <v>0</v>
      </c>
      <c r="L873">
        <v>3</v>
      </c>
      <c r="M873">
        <v>0</v>
      </c>
      <c r="N873" t="s">
        <v>17</v>
      </c>
      <c r="O873" s="1">
        <f>result[[#This Row],[n_killed_mutants_cumulativa]]/result[[#This Row],[tot_mutants]]</f>
        <v>0</v>
      </c>
    </row>
    <row r="874" spans="1:16" hidden="1" x14ac:dyDescent="0.25">
      <c r="A874" t="s">
        <v>156</v>
      </c>
      <c r="B874" t="s">
        <v>40</v>
      </c>
      <c r="C874" t="s">
        <v>16</v>
      </c>
      <c r="D874">
        <v>47186</v>
      </c>
      <c r="E874">
        <v>548</v>
      </c>
      <c r="F874">
        <v>130</v>
      </c>
      <c r="G874">
        <v>16900</v>
      </c>
      <c r="H874">
        <v>0</v>
      </c>
      <c r="I874">
        <v>32890</v>
      </c>
      <c r="J874">
        <v>0</v>
      </c>
      <c r="K874">
        <v>0</v>
      </c>
      <c r="L874">
        <v>3</v>
      </c>
      <c r="M874">
        <v>0</v>
      </c>
      <c r="N874" t="s">
        <v>17</v>
      </c>
      <c r="O874" s="1">
        <f>result[[#This Row],[n_killed_mutants_cumulativa]]/result[[#This Row],[tot_mutants]]</f>
        <v>0</v>
      </c>
    </row>
    <row r="875" spans="1:16" hidden="1" x14ac:dyDescent="0.25">
      <c r="A875" t="s">
        <v>156</v>
      </c>
      <c r="B875" t="s">
        <v>47</v>
      </c>
      <c r="C875" t="s">
        <v>16</v>
      </c>
      <c r="D875">
        <v>55538</v>
      </c>
      <c r="E875">
        <v>635</v>
      </c>
      <c r="F875">
        <v>140</v>
      </c>
      <c r="G875">
        <v>19600</v>
      </c>
      <c r="H875">
        <v>0</v>
      </c>
      <c r="I875">
        <v>38220</v>
      </c>
      <c r="J875">
        <v>0</v>
      </c>
      <c r="K875">
        <v>0</v>
      </c>
      <c r="L875">
        <v>3</v>
      </c>
      <c r="M875">
        <v>0</v>
      </c>
      <c r="N875" t="s">
        <v>17</v>
      </c>
      <c r="O875" s="1">
        <f>result[[#This Row],[n_killed_mutants_cumulativa]]/result[[#This Row],[tot_mutants]]</f>
        <v>0</v>
      </c>
    </row>
    <row r="876" spans="1:16" hidden="1" x14ac:dyDescent="0.25">
      <c r="A876" t="s">
        <v>156</v>
      </c>
      <c r="B876" t="s">
        <v>48</v>
      </c>
      <c r="C876" t="s">
        <v>16</v>
      </c>
      <c r="D876">
        <v>64749</v>
      </c>
      <c r="E876">
        <v>780</v>
      </c>
      <c r="F876">
        <v>150</v>
      </c>
      <c r="G876">
        <v>22500</v>
      </c>
      <c r="H876">
        <v>0</v>
      </c>
      <c r="I876">
        <v>43950</v>
      </c>
      <c r="J876">
        <v>0</v>
      </c>
      <c r="K876">
        <v>0</v>
      </c>
      <c r="L876">
        <v>3</v>
      </c>
      <c r="M876">
        <v>0</v>
      </c>
      <c r="N876" t="s">
        <v>17</v>
      </c>
      <c r="O876" s="1">
        <f>result[[#This Row],[n_killed_mutants_cumulativa]]/result[[#This Row],[tot_mutants]]</f>
        <v>0</v>
      </c>
    </row>
    <row r="877" spans="1:16" hidden="1" x14ac:dyDescent="0.25">
      <c r="A877" t="s">
        <v>156</v>
      </c>
      <c r="B877" t="s">
        <v>49</v>
      </c>
      <c r="C877" t="s">
        <v>16</v>
      </c>
      <c r="D877">
        <v>75191</v>
      </c>
      <c r="E877">
        <v>825</v>
      </c>
      <c r="F877">
        <v>160</v>
      </c>
      <c r="G877">
        <v>25600</v>
      </c>
      <c r="H877">
        <v>0</v>
      </c>
      <c r="I877">
        <v>50080</v>
      </c>
      <c r="J877">
        <v>0</v>
      </c>
      <c r="K877">
        <v>0</v>
      </c>
      <c r="L877">
        <v>3</v>
      </c>
      <c r="M877">
        <v>0</v>
      </c>
      <c r="N877" t="s">
        <v>17</v>
      </c>
      <c r="O877" s="1">
        <f>result[[#This Row],[n_killed_mutants_cumulativa]]/result[[#This Row],[tot_mutants]]</f>
        <v>0</v>
      </c>
    </row>
    <row r="878" spans="1:16" hidden="1" x14ac:dyDescent="0.25">
      <c r="A878" t="s">
        <v>156</v>
      </c>
      <c r="B878" t="s">
        <v>50</v>
      </c>
      <c r="C878" t="s">
        <v>16</v>
      </c>
      <c r="D878">
        <v>86562</v>
      </c>
      <c r="E878">
        <v>927</v>
      </c>
      <c r="F878">
        <v>170</v>
      </c>
      <c r="G878">
        <v>28900</v>
      </c>
      <c r="H878">
        <v>0</v>
      </c>
      <c r="I878">
        <v>56610</v>
      </c>
      <c r="J878">
        <v>0</v>
      </c>
      <c r="K878">
        <v>0</v>
      </c>
      <c r="L878">
        <v>3</v>
      </c>
      <c r="M878">
        <v>0</v>
      </c>
      <c r="N878" t="s">
        <v>17</v>
      </c>
      <c r="O878" s="1">
        <f>result[[#This Row],[n_killed_mutants_cumulativa]]/result[[#This Row],[tot_mutants]]</f>
        <v>0</v>
      </c>
    </row>
    <row r="879" spans="1:16" hidden="1" x14ac:dyDescent="0.25">
      <c r="A879" t="s">
        <v>156</v>
      </c>
      <c r="B879" t="s">
        <v>51</v>
      </c>
      <c r="C879" t="s">
        <v>16</v>
      </c>
      <c r="D879">
        <v>98452</v>
      </c>
      <c r="E879">
        <v>1036</v>
      </c>
      <c r="F879">
        <v>180</v>
      </c>
      <c r="G879">
        <v>32400</v>
      </c>
      <c r="H879">
        <v>0</v>
      </c>
      <c r="I879">
        <v>63540</v>
      </c>
      <c r="J879">
        <v>0</v>
      </c>
      <c r="K879">
        <v>0</v>
      </c>
      <c r="L879">
        <v>3</v>
      </c>
      <c r="M879">
        <v>0</v>
      </c>
      <c r="N879" t="s">
        <v>17</v>
      </c>
      <c r="O879" s="1">
        <f>result[[#This Row],[n_killed_mutants_cumulativa]]/result[[#This Row],[tot_mutants]]</f>
        <v>0</v>
      </c>
    </row>
    <row r="880" spans="1:16" hidden="1" x14ac:dyDescent="0.25">
      <c r="A880" t="s">
        <v>156</v>
      </c>
      <c r="B880" t="s">
        <v>22</v>
      </c>
      <c r="C880" t="s">
        <v>16</v>
      </c>
      <c r="D880">
        <v>613825</v>
      </c>
      <c r="E880">
        <v>7073</v>
      </c>
      <c r="F880">
        <v>1710</v>
      </c>
      <c r="G880">
        <v>210900</v>
      </c>
      <c r="H880">
        <v>0</v>
      </c>
      <c r="I880">
        <v>409830</v>
      </c>
      <c r="J880">
        <v>0</v>
      </c>
      <c r="K880">
        <v>0</v>
      </c>
      <c r="L880">
        <v>3</v>
      </c>
      <c r="M880">
        <v>0</v>
      </c>
      <c r="N880" t="s">
        <v>17</v>
      </c>
      <c r="O880" s="1">
        <f>result[[#This Row],[n_killed_mutants_cumulativa]]/result[[#This Row],[tot_mutants]]</f>
        <v>0</v>
      </c>
      <c r="P880" s="9" t="s">
        <v>351</v>
      </c>
    </row>
    <row r="881" spans="1:15" hidden="1" x14ac:dyDescent="0.25">
      <c r="A881" t="s">
        <v>157</v>
      </c>
      <c r="B881" t="s">
        <v>15</v>
      </c>
      <c r="C881" t="s">
        <v>16</v>
      </c>
      <c r="D881">
        <v>3705</v>
      </c>
      <c r="E881">
        <v>115</v>
      </c>
      <c r="F881">
        <v>10</v>
      </c>
      <c r="G881">
        <v>100</v>
      </c>
      <c r="H881">
        <v>100</v>
      </c>
      <c r="I881">
        <v>240</v>
      </c>
      <c r="J881">
        <v>0</v>
      </c>
      <c r="K881">
        <v>0</v>
      </c>
      <c r="L881">
        <v>5</v>
      </c>
      <c r="M881">
        <v>1</v>
      </c>
      <c r="N881" t="s">
        <v>86</v>
      </c>
      <c r="O881" s="1">
        <f>result[[#This Row],[n_killed_mutants_cumulativa]]/result[[#This Row],[tot_mutants]]</f>
        <v>0.2</v>
      </c>
    </row>
    <row r="882" spans="1:15" hidden="1" x14ac:dyDescent="0.25">
      <c r="A882" t="s">
        <v>157</v>
      </c>
      <c r="B882" t="s">
        <v>18</v>
      </c>
      <c r="C882" t="s">
        <v>16</v>
      </c>
      <c r="D882">
        <v>3481</v>
      </c>
      <c r="E882">
        <v>83</v>
      </c>
      <c r="F882">
        <v>20</v>
      </c>
      <c r="G882">
        <v>400</v>
      </c>
      <c r="H882">
        <v>400</v>
      </c>
      <c r="I882">
        <v>851</v>
      </c>
      <c r="J882">
        <v>0</v>
      </c>
      <c r="K882">
        <v>0</v>
      </c>
      <c r="L882">
        <v>5</v>
      </c>
      <c r="M882">
        <v>1</v>
      </c>
      <c r="N882" t="s">
        <v>86</v>
      </c>
      <c r="O882" s="1">
        <f>result[[#This Row],[n_killed_mutants_cumulativa]]/result[[#This Row],[tot_mutants]]</f>
        <v>0.2</v>
      </c>
    </row>
    <row r="883" spans="1:15" hidden="1" x14ac:dyDescent="0.25">
      <c r="A883" t="s">
        <v>157</v>
      </c>
      <c r="B883" t="s">
        <v>19</v>
      </c>
      <c r="C883" t="s">
        <v>16</v>
      </c>
      <c r="D883">
        <v>5255</v>
      </c>
      <c r="E883">
        <v>91</v>
      </c>
      <c r="F883">
        <v>30</v>
      </c>
      <c r="G883">
        <v>900</v>
      </c>
      <c r="H883">
        <v>900</v>
      </c>
      <c r="I883">
        <v>1924</v>
      </c>
      <c r="J883">
        <v>0</v>
      </c>
      <c r="K883">
        <v>0</v>
      </c>
      <c r="L883">
        <v>5</v>
      </c>
      <c r="M883">
        <v>1</v>
      </c>
      <c r="N883" t="s">
        <v>86</v>
      </c>
      <c r="O883" s="1">
        <f>result[[#This Row],[n_killed_mutants_cumulativa]]/result[[#This Row],[tot_mutants]]</f>
        <v>0.2</v>
      </c>
    </row>
    <row r="884" spans="1:15" hidden="1" x14ac:dyDescent="0.25">
      <c r="A884" t="s">
        <v>157</v>
      </c>
      <c r="B884" t="s">
        <v>20</v>
      </c>
      <c r="C884" t="s">
        <v>16</v>
      </c>
      <c r="D884">
        <v>7427</v>
      </c>
      <c r="E884">
        <v>190</v>
      </c>
      <c r="F884">
        <v>40</v>
      </c>
      <c r="G884">
        <v>1600</v>
      </c>
      <c r="H884">
        <v>1600</v>
      </c>
      <c r="I884">
        <v>3299</v>
      </c>
      <c r="J884">
        <v>0</v>
      </c>
      <c r="K884">
        <v>0</v>
      </c>
      <c r="L884">
        <v>5</v>
      </c>
      <c r="M884">
        <v>1</v>
      </c>
      <c r="N884" t="s">
        <v>86</v>
      </c>
      <c r="O884" s="1">
        <f>result[[#This Row],[n_killed_mutants_cumulativa]]/result[[#This Row],[tot_mutants]]</f>
        <v>0.2</v>
      </c>
    </row>
    <row r="885" spans="1:15" hidden="1" x14ac:dyDescent="0.25">
      <c r="A885" t="s">
        <v>157</v>
      </c>
      <c r="B885" t="s">
        <v>21</v>
      </c>
      <c r="C885" t="s">
        <v>16</v>
      </c>
      <c r="D885">
        <v>10554</v>
      </c>
      <c r="E885">
        <v>263</v>
      </c>
      <c r="F885">
        <v>50</v>
      </c>
      <c r="G885">
        <v>2500</v>
      </c>
      <c r="H885">
        <v>2500</v>
      </c>
      <c r="I885">
        <v>5190</v>
      </c>
      <c r="J885">
        <v>0</v>
      </c>
      <c r="K885">
        <v>0</v>
      </c>
      <c r="L885">
        <v>5</v>
      </c>
      <c r="M885">
        <v>1</v>
      </c>
      <c r="N885" t="s">
        <v>86</v>
      </c>
      <c r="O885" s="1">
        <f>result[[#This Row],[n_killed_mutants_cumulativa]]/result[[#This Row],[tot_mutants]]</f>
        <v>0.2</v>
      </c>
    </row>
    <row r="886" spans="1:15" hidden="1" x14ac:dyDescent="0.25">
      <c r="A886" t="s">
        <v>157</v>
      </c>
      <c r="B886" t="s">
        <v>24</v>
      </c>
      <c r="C886" t="s">
        <v>16</v>
      </c>
      <c r="D886">
        <v>14002</v>
      </c>
      <c r="E886">
        <v>245</v>
      </c>
      <c r="F886">
        <v>60</v>
      </c>
      <c r="G886">
        <v>3600</v>
      </c>
      <c r="H886">
        <v>3600</v>
      </c>
      <c r="I886">
        <v>7514</v>
      </c>
      <c r="J886">
        <v>0</v>
      </c>
      <c r="K886">
        <v>0</v>
      </c>
      <c r="L886">
        <v>5</v>
      </c>
      <c r="M886">
        <v>1</v>
      </c>
      <c r="N886" t="s">
        <v>86</v>
      </c>
      <c r="O886" s="1">
        <f>result[[#This Row],[n_killed_mutants_cumulativa]]/result[[#This Row],[tot_mutants]]</f>
        <v>0.2</v>
      </c>
    </row>
    <row r="887" spans="1:15" hidden="1" x14ac:dyDescent="0.25">
      <c r="A887" t="s">
        <v>157</v>
      </c>
      <c r="B887" t="s">
        <v>25</v>
      </c>
      <c r="C887" t="s">
        <v>16</v>
      </c>
      <c r="D887">
        <v>18534</v>
      </c>
      <c r="E887">
        <v>394</v>
      </c>
      <c r="F887">
        <v>70</v>
      </c>
      <c r="G887">
        <v>4900</v>
      </c>
      <c r="H887">
        <v>4900</v>
      </c>
      <c r="I887">
        <v>10115</v>
      </c>
      <c r="J887">
        <v>0</v>
      </c>
      <c r="K887">
        <v>0</v>
      </c>
      <c r="L887">
        <v>5</v>
      </c>
      <c r="M887">
        <v>1</v>
      </c>
      <c r="N887" t="s">
        <v>86</v>
      </c>
      <c r="O887" s="1">
        <f>result[[#This Row],[n_killed_mutants_cumulativa]]/result[[#This Row],[tot_mutants]]</f>
        <v>0.2</v>
      </c>
    </row>
    <row r="888" spans="1:15" hidden="1" x14ac:dyDescent="0.25">
      <c r="A888" t="s">
        <v>157</v>
      </c>
      <c r="B888" t="s">
        <v>26</v>
      </c>
      <c r="C888" t="s">
        <v>16</v>
      </c>
      <c r="D888">
        <v>23692</v>
      </c>
      <c r="E888">
        <v>419</v>
      </c>
      <c r="F888">
        <v>80</v>
      </c>
      <c r="G888">
        <v>6400</v>
      </c>
      <c r="H888">
        <v>6400</v>
      </c>
      <c r="I888">
        <v>13059</v>
      </c>
      <c r="J888">
        <v>0</v>
      </c>
      <c r="K888">
        <v>0</v>
      </c>
      <c r="L888">
        <v>5</v>
      </c>
      <c r="M888">
        <v>1</v>
      </c>
      <c r="N888" t="s">
        <v>86</v>
      </c>
      <c r="O888" s="1">
        <f>result[[#This Row],[n_killed_mutants_cumulativa]]/result[[#This Row],[tot_mutants]]</f>
        <v>0.2</v>
      </c>
    </row>
    <row r="889" spans="1:15" hidden="1" x14ac:dyDescent="0.25">
      <c r="A889" t="s">
        <v>157</v>
      </c>
      <c r="B889" t="s">
        <v>27</v>
      </c>
      <c r="C889" t="s">
        <v>16</v>
      </c>
      <c r="D889">
        <v>29893</v>
      </c>
      <c r="E889">
        <v>529</v>
      </c>
      <c r="F889">
        <v>90</v>
      </c>
      <c r="G889">
        <v>8100</v>
      </c>
      <c r="H889">
        <v>8100</v>
      </c>
      <c r="I889">
        <v>16471</v>
      </c>
      <c r="J889">
        <v>0</v>
      </c>
      <c r="K889">
        <v>0</v>
      </c>
      <c r="L889">
        <v>5</v>
      </c>
      <c r="M889">
        <v>1</v>
      </c>
      <c r="N889" t="s">
        <v>86</v>
      </c>
      <c r="O889" s="1">
        <f>result[[#This Row],[n_killed_mutants_cumulativa]]/result[[#This Row],[tot_mutants]]</f>
        <v>0.2</v>
      </c>
    </row>
    <row r="890" spans="1:15" hidden="1" x14ac:dyDescent="0.25">
      <c r="A890" t="s">
        <v>157</v>
      </c>
      <c r="B890" t="s">
        <v>30</v>
      </c>
      <c r="C890" t="s">
        <v>16</v>
      </c>
      <c r="D890">
        <v>37011</v>
      </c>
      <c r="E890">
        <v>651</v>
      </c>
      <c r="F890">
        <v>100</v>
      </c>
      <c r="G890">
        <v>10000</v>
      </c>
      <c r="H890">
        <v>10000</v>
      </c>
      <c r="I890">
        <v>20322</v>
      </c>
      <c r="J890">
        <v>0</v>
      </c>
      <c r="K890">
        <v>0</v>
      </c>
      <c r="L890">
        <v>5</v>
      </c>
      <c r="M890">
        <v>1</v>
      </c>
      <c r="N890" t="s">
        <v>86</v>
      </c>
      <c r="O890" s="1">
        <f>result[[#This Row],[n_killed_mutants_cumulativa]]/result[[#This Row],[tot_mutants]]</f>
        <v>0.2</v>
      </c>
    </row>
    <row r="891" spans="1:15" hidden="1" x14ac:dyDescent="0.25">
      <c r="A891" t="s">
        <v>157</v>
      </c>
      <c r="B891" t="s">
        <v>31</v>
      </c>
      <c r="C891" t="s">
        <v>16</v>
      </c>
      <c r="D891">
        <v>44872</v>
      </c>
      <c r="E891">
        <v>787</v>
      </c>
      <c r="F891">
        <v>110</v>
      </c>
      <c r="G891">
        <v>12100</v>
      </c>
      <c r="H891">
        <v>12100</v>
      </c>
      <c r="I891">
        <v>24513</v>
      </c>
      <c r="J891">
        <v>0</v>
      </c>
      <c r="K891">
        <v>0</v>
      </c>
      <c r="L891">
        <v>5</v>
      </c>
      <c r="M891">
        <v>1</v>
      </c>
      <c r="N891" t="s">
        <v>86</v>
      </c>
      <c r="O891" s="1">
        <f>result[[#This Row],[n_killed_mutants_cumulativa]]/result[[#This Row],[tot_mutants]]</f>
        <v>0.2</v>
      </c>
    </row>
    <row r="892" spans="1:15" hidden="1" x14ac:dyDescent="0.25">
      <c r="A892" t="s">
        <v>157</v>
      </c>
      <c r="B892" t="s">
        <v>36</v>
      </c>
      <c r="C892" t="s">
        <v>16</v>
      </c>
      <c r="D892">
        <v>54038</v>
      </c>
      <c r="E892">
        <v>939</v>
      </c>
      <c r="F892">
        <v>120</v>
      </c>
      <c r="G892">
        <v>14400</v>
      </c>
      <c r="H892">
        <v>14400</v>
      </c>
      <c r="I892">
        <v>29337</v>
      </c>
      <c r="J892">
        <v>0</v>
      </c>
      <c r="K892">
        <v>0</v>
      </c>
      <c r="L892">
        <v>5</v>
      </c>
      <c r="M892">
        <v>1</v>
      </c>
      <c r="N892" t="s">
        <v>86</v>
      </c>
      <c r="O892" s="1">
        <f>result[[#This Row],[n_killed_mutants_cumulativa]]/result[[#This Row],[tot_mutants]]</f>
        <v>0.2</v>
      </c>
    </row>
    <row r="893" spans="1:15" hidden="1" x14ac:dyDescent="0.25">
      <c r="A893" t="s">
        <v>157</v>
      </c>
      <c r="B893" t="s">
        <v>40</v>
      </c>
      <c r="C893" t="s">
        <v>16</v>
      </c>
      <c r="D893">
        <v>64449</v>
      </c>
      <c r="E893">
        <v>1086</v>
      </c>
      <c r="F893">
        <v>130</v>
      </c>
      <c r="G893">
        <v>16900</v>
      </c>
      <c r="H893">
        <v>16900</v>
      </c>
      <c r="I893">
        <v>34252</v>
      </c>
      <c r="J893">
        <v>0</v>
      </c>
      <c r="K893">
        <v>0</v>
      </c>
      <c r="L893">
        <v>5</v>
      </c>
      <c r="M893">
        <v>1</v>
      </c>
      <c r="N893" t="s">
        <v>86</v>
      </c>
      <c r="O893" s="1">
        <f>result[[#This Row],[n_killed_mutants_cumulativa]]/result[[#This Row],[tot_mutants]]</f>
        <v>0.2</v>
      </c>
    </row>
    <row r="894" spans="1:15" hidden="1" x14ac:dyDescent="0.25">
      <c r="A894" t="s">
        <v>157</v>
      </c>
      <c r="B894" t="s">
        <v>47</v>
      </c>
      <c r="C894" t="s">
        <v>16</v>
      </c>
      <c r="D894">
        <v>75847</v>
      </c>
      <c r="E894">
        <v>1256</v>
      </c>
      <c r="F894">
        <v>140</v>
      </c>
      <c r="G894">
        <v>19600</v>
      </c>
      <c r="H894">
        <v>19600</v>
      </c>
      <c r="I894">
        <v>39659</v>
      </c>
      <c r="J894">
        <v>0</v>
      </c>
      <c r="K894">
        <v>0</v>
      </c>
      <c r="L894">
        <v>5</v>
      </c>
      <c r="M894">
        <v>1</v>
      </c>
      <c r="N894" t="s">
        <v>86</v>
      </c>
      <c r="O894" s="1">
        <f>result[[#This Row],[n_killed_mutants_cumulativa]]/result[[#This Row],[tot_mutants]]</f>
        <v>0.2</v>
      </c>
    </row>
    <row r="895" spans="1:15" hidden="1" x14ac:dyDescent="0.25">
      <c r="A895" t="s">
        <v>157</v>
      </c>
      <c r="B895" t="s">
        <v>48</v>
      </c>
      <c r="C895" t="s">
        <v>16</v>
      </c>
      <c r="D895">
        <v>89366</v>
      </c>
      <c r="E895">
        <v>1442</v>
      </c>
      <c r="F895">
        <v>150</v>
      </c>
      <c r="G895">
        <v>22500</v>
      </c>
      <c r="H895">
        <v>22500</v>
      </c>
      <c r="I895">
        <v>45578</v>
      </c>
      <c r="J895">
        <v>0</v>
      </c>
      <c r="K895">
        <v>0</v>
      </c>
      <c r="L895">
        <v>5</v>
      </c>
      <c r="M895">
        <v>1</v>
      </c>
      <c r="N895" t="s">
        <v>86</v>
      </c>
      <c r="O895" s="1">
        <f>result[[#This Row],[n_killed_mutants_cumulativa]]/result[[#This Row],[tot_mutants]]</f>
        <v>0.2</v>
      </c>
    </row>
    <row r="896" spans="1:15" hidden="1" x14ac:dyDescent="0.25">
      <c r="A896" t="s">
        <v>157</v>
      </c>
      <c r="B896" t="s">
        <v>49</v>
      </c>
      <c r="C896" t="s">
        <v>16</v>
      </c>
      <c r="D896">
        <v>104082</v>
      </c>
      <c r="E896">
        <v>1657</v>
      </c>
      <c r="F896">
        <v>160</v>
      </c>
      <c r="G896">
        <v>25600</v>
      </c>
      <c r="H896">
        <v>25600</v>
      </c>
      <c r="I896">
        <v>52089</v>
      </c>
      <c r="J896">
        <v>0</v>
      </c>
      <c r="K896">
        <v>0</v>
      </c>
      <c r="L896">
        <v>5</v>
      </c>
      <c r="M896">
        <v>1</v>
      </c>
      <c r="N896" t="s">
        <v>86</v>
      </c>
      <c r="O896" s="1">
        <f>result[[#This Row],[n_killed_mutants_cumulativa]]/result[[#This Row],[tot_mutants]]</f>
        <v>0.2</v>
      </c>
    </row>
    <row r="897" spans="1:16" hidden="1" x14ac:dyDescent="0.25">
      <c r="A897" t="s">
        <v>157</v>
      </c>
      <c r="B897" t="s">
        <v>50</v>
      </c>
      <c r="C897" t="s">
        <v>16</v>
      </c>
      <c r="D897">
        <v>119406</v>
      </c>
      <c r="E897">
        <v>1856</v>
      </c>
      <c r="F897">
        <v>170</v>
      </c>
      <c r="G897">
        <v>28900</v>
      </c>
      <c r="H897">
        <v>28900</v>
      </c>
      <c r="I897">
        <v>58166</v>
      </c>
      <c r="J897">
        <v>0</v>
      </c>
      <c r="K897">
        <v>0</v>
      </c>
      <c r="L897">
        <v>5</v>
      </c>
      <c r="M897">
        <v>1</v>
      </c>
      <c r="N897" t="s">
        <v>86</v>
      </c>
      <c r="O897" s="1">
        <f>result[[#This Row],[n_killed_mutants_cumulativa]]/result[[#This Row],[tot_mutants]]</f>
        <v>0.2</v>
      </c>
    </row>
    <row r="898" spans="1:16" x14ac:dyDescent="0.25">
      <c r="A898" t="s">
        <v>157</v>
      </c>
      <c r="B898" t="s">
        <v>22</v>
      </c>
      <c r="C898" t="s">
        <v>16</v>
      </c>
      <c r="D898">
        <v>705614</v>
      </c>
      <c r="E898">
        <v>12003</v>
      </c>
      <c r="F898">
        <v>1530</v>
      </c>
      <c r="G898">
        <v>178500</v>
      </c>
      <c r="H898">
        <v>178500</v>
      </c>
      <c r="I898">
        <v>362579</v>
      </c>
      <c r="J898">
        <v>0</v>
      </c>
      <c r="K898">
        <v>0</v>
      </c>
      <c r="L898">
        <v>5</v>
      </c>
      <c r="M898">
        <v>1</v>
      </c>
      <c r="N898" t="s">
        <v>86</v>
      </c>
      <c r="O898" s="1">
        <f>result[[#This Row],[n_killed_mutants_cumulativa]]/result[[#This Row],[tot_mutants]]</f>
        <v>0.2</v>
      </c>
      <c r="P898" s="9" t="s">
        <v>359</v>
      </c>
    </row>
    <row r="899" spans="1:16" hidden="1" x14ac:dyDescent="0.25">
      <c r="A899" t="s">
        <v>158</v>
      </c>
      <c r="B899" t="s">
        <v>15</v>
      </c>
      <c r="C899" t="s">
        <v>16</v>
      </c>
      <c r="D899">
        <v>1776</v>
      </c>
      <c r="E899">
        <v>110</v>
      </c>
      <c r="F899">
        <v>10</v>
      </c>
      <c r="G899">
        <v>10</v>
      </c>
      <c r="H899">
        <v>10</v>
      </c>
      <c r="I899">
        <v>26</v>
      </c>
      <c r="J899">
        <v>0</v>
      </c>
      <c r="K899">
        <v>0</v>
      </c>
      <c r="L899">
        <v>1</v>
      </c>
      <c r="M899">
        <v>1</v>
      </c>
      <c r="N899" t="s">
        <v>55</v>
      </c>
      <c r="O899" s="1">
        <f>result[[#This Row],[n_killed_mutants_cumulativa]]/result[[#This Row],[tot_mutants]]</f>
        <v>1</v>
      </c>
    </row>
    <row r="900" spans="1:16" x14ac:dyDescent="0.25">
      <c r="A900" t="s">
        <v>158</v>
      </c>
      <c r="B900" t="s">
        <v>22</v>
      </c>
      <c r="C900" t="s">
        <v>16</v>
      </c>
      <c r="D900">
        <v>1776</v>
      </c>
      <c r="E900">
        <v>110</v>
      </c>
      <c r="F900">
        <v>10</v>
      </c>
      <c r="G900">
        <v>10</v>
      </c>
      <c r="H900">
        <v>10</v>
      </c>
      <c r="I900">
        <v>26</v>
      </c>
      <c r="J900">
        <v>0</v>
      </c>
      <c r="K900">
        <v>0</v>
      </c>
      <c r="L900">
        <v>1</v>
      </c>
      <c r="M900">
        <v>1</v>
      </c>
      <c r="N900" t="s">
        <v>55</v>
      </c>
      <c r="O900" s="1">
        <f>result[[#This Row],[n_killed_mutants_cumulativa]]/result[[#This Row],[tot_mutants]]</f>
        <v>1</v>
      </c>
      <c r="P900" s="9" t="s">
        <v>360</v>
      </c>
    </row>
    <row r="901" spans="1:16" hidden="1" x14ac:dyDescent="0.25">
      <c r="A901" t="s">
        <v>159</v>
      </c>
      <c r="B901" t="s">
        <v>15</v>
      </c>
      <c r="C901" t="s">
        <v>16</v>
      </c>
      <c r="D901">
        <v>2126</v>
      </c>
      <c r="E901">
        <v>511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10</v>
      </c>
      <c r="L901">
        <v>4</v>
      </c>
      <c r="M901">
        <v>0</v>
      </c>
      <c r="N901" t="s">
        <v>17</v>
      </c>
      <c r="O901" s="1">
        <f>result[[#This Row],[n_killed_mutants_cumulativa]]/result[[#This Row],[tot_mutants]]</f>
        <v>0</v>
      </c>
    </row>
    <row r="902" spans="1:16" hidden="1" x14ac:dyDescent="0.25">
      <c r="A902" t="s">
        <v>159</v>
      </c>
      <c r="B902" t="s">
        <v>18</v>
      </c>
      <c r="C902" t="s">
        <v>16</v>
      </c>
      <c r="D902">
        <v>1973</v>
      </c>
      <c r="E902">
        <v>1027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20</v>
      </c>
      <c r="L902">
        <v>4</v>
      </c>
      <c r="M902">
        <v>0</v>
      </c>
      <c r="N902" t="s">
        <v>17</v>
      </c>
      <c r="O902" s="1">
        <f>result[[#This Row],[n_killed_mutants_cumulativa]]/result[[#This Row],[tot_mutants]]</f>
        <v>0</v>
      </c>
    </row>
    <row r="903" spans="1:16" hidden="1" x14ac:dyDescent="0.25">
      <c r="A903" t="s">
        <v>159</v>
      </c>
      <c r="B903" t="s">
        <v>19</v>
      </c>
      <c r="C903" t="s">
        <v>16</v>
      </c>
      <c r="D903">
        <v>4422</v>
      </c>
      <c r="E903">
        <v>3453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30</v>
      </c>
      <c r="L903">
        <v>4</v>
      </c>
      <c r="M903">
        <v>0</v>
      </c>
      <c r="N903" t="s">
        <v>17</v>
      </c>
      <c r="O903" s="1">
        <f>result[[#This Row],[n_killed_mutants_cumulativa]]/result[[#This Row],[tot_mutants]]</f>
        <v>0</v>
      </c>
    </row>
    <row r="904" spans="1:16" hidden="1" x14ac:dyDescent="0.25">
      <c r="A904" t="s">
        <v>159</v>
      </c>
      <c r="B904" t="s">
        <v>20</v>
      </c>
      <c r="C904" t="s">
        <v>16</v>
      </c>
      <c r="D904">
        <v>9805</v>
      </c>
      <c r="E904">
        <v>8660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40</v>
      </c>
      <c r="L904">
        <v>4</v>
      </c>
      <c r="M904">
        <v>0</v>
      </c>
      <c r="N904" t="s">
        <v>17</v>
      </c>
      <c r="O904" s="1">
        <f>result[[#This Row],[n_killed_mutants_cumulativa]]/result[[#This Row],[tot_mutants]]</f>
        <v>0</v>
      </c>
    </row>
    <row r="905" spans="1:16" hidden="1" x14ac:dyDescent="0.25">
      <c r="A905" t="s">
        <v>159</v>
      </c>
      <c r="B905" t="s">
        <v>21</v>
      </c>
      <c r="C905" t="s">
        <v>16</v>
      </c>
      <c r="D905">
        <v>22883</v>
      </c>
      <c r="E905">
        <v>21385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50</v>
      </c>
      <c r="L905">
        <v>4</v>
      </c>
      <c r="M905">
        <v>0</v>
      </c>
      <c r="N905" t="s">
        <v>17</v>
      </c>
      <c r="O905" s="1">
        <f>result[[#This Row],[n_killed_mutants_cumulativa]]/result[[#This Row],[tot_mutants]]</f>
        <v>0</v>
      </c>
    </row>
    <row r="906" spans="1:16" hidden="1" x14ac:dyDescent="0.25">
      <c r="A906" t="s">
        <v>159</v>
      </c>
      <c r="B906" t="s">
        <v>22</v>
      </c>
      <c r="C906" t="s">
        <v>16</v>
      </c>
      <c r="D906">
        <v>41209</v>
      </c>
      <c r="E906">
        <v>35036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150</v>
      </c>
      <c r="L906">
        <v>4</v>
      </c>
      <c r="M906">
        <v>0</v>
      </c>
      <c r="N906" t="s">
        <v>17</v>
      </c>
      <c r="O906" s="1">
        <f>result[[#This Row],[n_killed_mutants_cumulativa]]/result[[#This Row],[tot_mutants]]</f>
        <v>0</v>
      </c>
    </row>
    <row r="907" spans="1:16" hidden="1" x14ac:dyDescent="0.25">
      <c r="A907" t="s">
        <v>160</v>
      </c>
      <c r="B907" t="s">
        <v>15</v>
      </c>
      <c r="C907" t="s">
        <v>16</v>
      </c>
      <c r="D907">
        <v>4625</v>
      </c>
      <c r="E907">
        <v>1623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10</v>
      </c>
      <c r="L907">
        <v>5</v>
      </c>
      <c r="M907">
        <v>0</v>
      </c>
      <c r="N907" t="s">
        <v>17</v>
      </c>
      <c r="O907" s="1">
        <f>result[[#This Row],[n_killed_mutants_cumulativa]]/result[[#This Row],[tot_mutants]]</f>
        <v>0</v>
      </c>
    </row>
    <row r="908" spans="1:16" hidden="1" x14ac:dyDescent="0.25">
      <c r="A908" t="s">
        <v>160</v>
      </c>
      <c r="B908" t="s">
        <v>18</v>
      </c>
      <c r="C908" t="s">
        <v>16</v>
      </c>
      <c r="D908">
        <v>6601</v>
      </c>
      <c r="E908">
        <v>3658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20</v>
      </c>
      <c r="L908">
        <v>5</v>
      </c>
      <c r="M908">
        <v>0</v>
      </c>
      <c r="N908" t="s">
        <v>17</v>
      </c>
      <c r="O908" s="1">
        <f>result[[#This Row],[n_killed_mutants_cumulativa]]/result[[#This Row],[tot_mutants]]</f>
        <v>0</v>
      </c>
    </row>
    <row r="909" spans="1:16" hidden="1" x14ac:dyDescent="0.25">
      <c r="A909" t="s">
        <v>160</v>
      </c>
      <c r="B909" t="s">
        <v>19</v>
      </c>
      <c r="C909" t="s">
        <v>16</v>
      </c>
      <c r="D909">
        <v>11068</v>
      </c>
      <c r="E909">
        <v>7102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30</v>
      </c>
      <c r="L909">
        <v>5</v>
      </c>
      <c r="M909">
        <v>0</v>
      </c>
      <c r="N909" t="s">
        <v>17</v>
      </c>
      <c r="O909" s="1">
        <f>result[[#This Row],[n_killed_mutants_cumulativa]]/result[[#This Row],[tot_mutants]]</f>
        <v>0</v>
      </c>
    </row>
    <row r="910" spans="1:16" hidden="1" x14ac:dyDescent="0.25">
      <c r="A910" t="s">
        <v>160</v>
      </c>
      <c r="B910" t="s">
        <v>20</v>
      </c>
      <c r="C910" t="s">
        <v>16</v>
      </c>
      <c r="D910">
        <v>18941</v>
      </c>
      <c r="E910">
        <v>13458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40</v>
      </c>
      <c r="L910">
        <v>5</v>
      </c>
      <c r="M910">
        <v>0</v>
      </c>
      <c r="N910" t="s">
        <v>17</v>
      </c>
      <c r="O910" s="1">
        <f>result[[#This Row],[n_killed_mutants_cumulativa]]/result[[#This Row],[tot_mutants]]</f>
        <v>0</v>
      </c>
    </row>
    <row r="911" spans="1:16" hidden="1" x14ac:dyDescent="0.25">
      <c r="A911" t="s">
        <v>160</v>
      </c>
      <c r="B911" t="s">
        <v>21</v>
      </c>
      <c r="C911" t="s">
        <v>16</v>
      </c>
      <c r="D911">
        <v>27581</v>
      </c>
      <c r="E911">
        <v>20970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50</v>
      </c>
      <c r="L911">
        <v>5</v>
      </c>
      <c r="M911">
        <v>0</v>
      </c>
      <c r="N911" t="s">
        <v>17</v>
      </c>
      <c r="O911" s="1">
        <f>result[[#This Row],[n_killed_mutants_cumulativa]]/result[[#This Row],[tot_mutants]]</f>
        <v>0</v>
      </c>
    </row>
    <row r="912" spans="1:16" hidden="1" x14ac:dyDescent="0.25">
      <c r="A912" t="s">
        <v>160</v>
      </c>
      <c r="B912" t="s">
        <v>22</v>
      </c>
      <c r="C912" t="s">
        <v>16</v>
      </c>
      <c r="D912">
        <v>68816</v>
      </c>
      <c r="E912">
        <v>46811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150</v>
      </c>
      <c r="L912">
        <v>5</v>
      </c>
      <c r="M912">
        <v>0</v>
      </c>
      <c r="N912" t="s">
        <v>17</v>
      </c>
      <c r="O912" s="1">
        <f>result[[#This Row],[n_killed_mutants_cumulativa]]/result[[#This Row],[tot_mutants]]</f>
        <v>0</v>
      </c>
    </row>
    <row r="913" spans="1:15" hidden="1" x14ac:dyDescent="0.25">
      <c r="A913" t="s">
        <v>161</v>
      </c>
      <c r="B913" t="s">
        <v>15</v>
      </c>
      <c r="C913" t="s">
        <v>16</v>
      </c>
      <c r="D913">
        <v>5612</v>
      </c>
      <c r="E913">
        <v>5468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26</v>
      </c>
      <c r="M913">
        <v>0</v>
      </c>
      <c r="N913" t="s">
        <v>17</v>
      </c>
      <c r="O913" s="1">
        <f>result[[#This Row],[n_killed_mutants_cumulativa]]/result[[#This Row],[tot_mutants]]</f>
        <v>0</v>
      </c>
    </row>
    <row r="914" spans="1:15" hidden="1" x14ac:dyDescent="0.25">
      <c r="A914" t="s">
        <v>161</v>
      </c>
      <c r="B914" t="s">
        <v>18</v>
      </c>
      <c r="C914" t="s">
        <v>16</v>
      </c>
      <c r="D914">
        <v>10705</v>
      </c>
      <c r="E914">
        <v>10642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26</v>
      </c>
      <c r="M914">
        <v>0</v>
      </c>
      <c r="N914" t="s">
        <v>17</v>
      </c>
      <c r="O914" s="1">
        <f>result[[#This Row],[n_killed_mutants_cumulativa]]/result[[#This Row],[tot_mutants]]</f>
        <v>0</v>
      </c>
    </row>
    <row r="915" spans="1:15" hidden="1" x14ac:dyDescent="0.25">
      <c r="A915" t="s">
        <v>161</v>
      </c>
      <c r="B915" t="s">
        <v>19</v>
      </c>
      <c r="C915" t="s">
        <v>16</v>
      </c>
      <c r="D915">
        <v>16373</v>
      </c>
      <c r="E915">
        <v>16336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26</v>
      </c>
      <c r="M915">
        <v>0</v>
      </c>
      <c r="N915" t="s">
        <v>17</v>
      </c>
      <c r="O915" s="1">
        <f>result[[#This Row],[n_killed_mutants_cumulativa]]/result[[#This Row],[tot_mutants]]</f>
        <v>0</v>
      </c>
    </row>
    <row r="916" spans="1:15" hidden="1" x14ac:dyDescent="0.25">
      <c r="A916" t="s">
        <v>161</v>
      </c>
      <c r="B916" t="s">
        <v>20</v>
      </c>
      <c r="C916" t="s">
        <v>16</v>
      </c>
      <c r="D916">
        <v>23943</v>
      </c>
      <c r="E916">
        <v>23903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26</v>
      </c>
      <c r="M916">
        <v>0</v>
      </c>
      <c r="N916" t="s">
        <v>17</v>
      </c>
      <c r="O916" s="1">
        <f>result[[#This Row],[n_killed_mutants_cumulativa]]/result[[#This Row],[tot_mutants]]</f>
        <v>0</v>
      </c>
    </row>
    <row r="917" spans="1:15" hidden="1" x14ac:dyDescent="0.25">
      <c r="A917" t="s">
        <v>161</v>
      </c>
      <c r="B917" t="s">
        <v>21</v>
      </c>
      <c r="C917" t="s">
        <v>16</v>
      </c>
      <c r="D917">
        <v>23880</v>
      </c>
      <c r="E917">
        <v>23837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26</v>
      </c>
      <c r="M917">
        <v>0</v>
      </c>
      <c r="N917" t="s">
        <v>17</v>
      </c>
      <c r="O917" s="1">
        <f>result[[#This Row],[n_killed_mutants_cumulativa]]/result[[#This Row],[tot_mutants]]</f>
        <v>0</v>
      </c>
    </row>
    <row r="918" spans="1:15" hidden="1" x14ac:dyDescent="0.25">
      <c r="A918" t="s">
        <v>161</v>
      </c>
      <c r="B918" t="s">
        <v>22</v>
      </c>
      <c r="C918" t="s">
        <v>16</v>
      </c>
      <c r="D918">
        <v>80513</v>
      </c>
      <c r="E918">
        <v>80186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26</v>
      </c>
      <c r="M918">
        <v>0</v>
      </c>
      <c r="N918" t="s">
        <v>17</v>
      </c>
      <c r="O918" s="1">
        <f>result[[#This Row],[n_killed_mutants_cumulativa]]/result[[#This Row],[tot_mutants]]</f>
        <v>0</v>
      </c>
    </row>
    <row r="919" spans="1:15" hidden="1" x14ac:dyDescent="0.25">
      <c r="A919" t="s">
        <v>162</v>
      </c>
      <c r="B919" t="s">
        <v>15</v>
      </c>
      <c r="C919" t="s">
        <v>16</v>
      </c>
      <c r="D919">
        <v>2583</v>
      </c>
      <c r="E919">
        <v>131</v>
      </c>
      <c r="F919">
        <v>10</v>
      </c>
      <c r="G919">
        <v>100</v>
      </c>
      <c r="H919">
        <v>0</v>
      </c>
      <c r="I919">
        <v>140</v>
      </c>
      <c r="J919">
        <v>0</v>
      </c>
      <c r="K919">
        <v>0</v>
      </c>
      <c r="L919">
        <v>1</v>
      </c>
      <c r="M919">
        <v>0</v>
      </c>
      <c r="N919" t="s">
        <v>17</v>
      </c>
      <c r="O919" s="1">
        <f>result[[#This Row],[n_killed_mutants_cumulativa]]/result[[#This Row],[tot_mutants]]</f>
        <v>0</v>
      </c>
    </row>
    <row r="920" spans="1:15" hidden="1" x14ac:dyDescent="0.25">
      <c r="A920" t="s">
        <v>162</v>
      </c>
      <c r="B920" t="s">
        <v>18</v>
      </c>
      <c r="C920" t="s">
        <v>16</v>
      </c>
      <c r="D920">
        <v>1893</v>
      </c>
      <c r="E920">
        <v>127</v>
      </c>
      <c r="F920">
        <v>20</v>
      </c>
      <c r="G920">
        <v>400</v>
      </c>
      <c r="H920">
        <v>0</v>
      </c>
      <c r="I920">
        <v>280</v>
      </c>
      <c r="J920">
        <v>0</v>
      </c>
      <c r="K920">
        <v>0</v>
      </c>
      <c r="L920">
        <v>1</v>
      </c>
      <c r="M920">
        <v>0</v>
      </c>
      <c r="N920" t="s">
        <v>17</v>
      </c>
      <c r="O920" s="1">
        <f>result[[#This Row],[n_killed_mutants_cumulativa]]/result[[#This Row],[tot_mutants]]</f>
        <v>0</v>
      </c>
    </row>
    <row r="921" spans="1:15" hidden="1" x14ac:dyDescent="0.25">
      <c r="A921" t="s">
        <v>162</v>
      </c>
      <c r="B921" t="s">
        <v>19</v>
      </c>
      <c r="C921" t="s">
        <v>16</v>
      </c>
      <c r="D921">
        <v>2823</v>
      </c>
      <c r="E921">
        <v>122</v>
      </c>
      <c r="F921">
        <v>30</v>
      </c>
      <c r="G921">
        <v>900</v>
      </c>
      <c r="H921">
        <v>0</v>
      </c>
      <c r="I921">
        <v>420</v>
      </c>
      <c r="J921">
        <v>0</v>
      </c>
      <c r="K921">
        <v>0</v>
      </c>
      <c r="L921">
        <v>1</v>
      </c>
      <c r="M921">
        <v>0</v>
      </c>
      <c r="N921" t="s">
        <v>17</v>
      </c>
      <c r="O921" s="1">
        <f>result[[#This Row],[n_killed_mutants_cumulativa]]/result[[#This Row],[tot_mutants]]</f>
        <v>0</v>
      </c>
    </row>
    <row r="922" spans="1:15" hidden="1" x14ac:dyDescent="0.25">
      <c r="A922" t="s">
        <v>162</v>
      </c>
      <c r="B922" t="s">
        <v>20</v>
      </c>
      <c r="C922" t="s">
        <v>16</v>
      </c>
      <c r="D922">
        <v>3216</v>
      </c>
      <c r="E922">
        <v>132</v>
      </c>
      <c r="F922">
        <v>40</v>
      </c>
      <c r="G922">
        <v>1600</v>
      </c>
      <c r="H922">
        <v>0</v>
      </c>
      <c r="I922">
        <v>560</v>
      </c>
      <c r="J922">
        <v>0</v>
      </c>
      <c r="K922">
        <v>0</v>
      </c>
      <c r="L922">
        <v>1</v>
      </c>
      <c r="M922">
        <v>0</v>
      </c>
      <c r="N922" t="s">
        <v>17</v>
      </c>
      <c r="O922" s="1">
        <f>result[[#This Row],[n_killed_mutants_cumulativa]]/result[[#This Row],[tot_mutants]]</f>
        <v>0</v>
      </c>
    </row>
    <row r="923" spans="1:15" hidden="1" x14ac:dyDescent="0.25">
      <c r="A923" t="s">
        <v>162</v>
      </c>
      <c r="B923" t="s">
        <v>21</v>
      </c>
      <c r="C923" t="s">
        <v>16</v>
      </c>
      <c r="D923">
        <v>3508</v>
      </c>
      <c r="E923">
        <v>151</v>
      </c>
      <c r="F923">
        <v>50</v>
      </c>
      <c r="G923">
        <v>2500</v>
      </c>
      <c r="H923">
        <v>0</v>
      </c>
      <c r="I923">
        <v>700</v>
      </c>
      <c r="J923">
        <v>0</v>
      </c>
      <c r="K923">
        <v>0</v>
      </c>
      <c r="L923">
        <v>1</v>
      </c>
      <c r="M923">
        <v>0</v>
      </c>
      <c r="N923" t="s">
        <v>17</v>
      </c>
      <c r="O923" s="1">
        <f>result[[#This Row],[n_killed_mutants_cumulativa]]/result[[#This Row],[tot_mutants]]</f>
        <v>0</v>
      </c>
    </row>
    <row r="924" spans="1:15" hidden="1" x14ac:dyDescent="0.25">
      <c r="A924" t="s">
        <v>162</v>
      </c>
      <c r="B924" t="s">
        <v>24</v>
      </c>
      <c r="C924" t="s">
        <v>16</v>
      </c>
      <c r="D924">
        <v>4521</v>
      </c>
      <c r="E924">
        <v>232</v>
      </c>
      <c r="F924">
        <v>60</v>
      </c>
      <c r="G924">
        <v>3600</v>
      </c>
      <c r="H924">
        <v>0</v>
      </c>
      <c r="I924">
        <v>840</v>
      </c>
      <c r="J924">
        <v>0</v>
      </c>
      <c r="K924">
        <v>0</v>
      </c>
      <c r="L924">
        <v>1</v>
      </c>
      <c r="M924">
        <v>0</v>
      </c>
      <c r="N924" t="s">
        <v>17</v>
      </c>
      <c r="O924" s="1">
        <f>result[[#This Row],[n_killed_mutants_cumulativa]]/result[[#This Row],[tot_mutants]]</f>
        <v>0</v>
      </c>
    </row>
    <row r="925" spans="1:15" hidden="1" x14ac:dyDescent="0.25">
      <c r="A925" t="s">
        <v>162</v>
      </c>
      <c r="B925" t="s">
        <v>25</v>
      </c>
      <c r="C925" t="s">
        <v>16</v>
      </c>
      <c r="D925">
        <v>5654</v>
      </c>
      <c r="E925">
        <v>252</v>
      </c>
      <c r="F925">
        <v>70</v>
      </c>
      <c r="G925">
        <v>4900</v>
      </c>
      <c r="H925">
        <v>0</v>
      </c>
      <c r="I925">
        <v>980</v>
      </c>
      <c r="J925">
        <v>0</v>
      </c>
      <c r="K925">
        <v>0</v>
      </c>
      <c r="L925">
        <v>1</v>
      </c>
      <c r="M925">
        <v>0</v>
      </c>
      <c r="N925" t="s">
        <v>17</v>
      </c>
      <c r="O925" s="1">
        <f>result[[#This Row],[n_killed_mutants_cumulativa]]/result[[#This Row],[tot_mutants]]</f>
        <v>0</v>
      </c>
    </row>
    <row r="926" spans="1:15" hidden="1" x14ac:dyDescent="0.25">
      <c r="A926" t="s">
        <v>162</v>
      </c>
      <c r="B926" t="s">
        <v>26</v>
      </c>
      <c r="C926" t="s">
        <v>16</v>
      </c>
      <c r="D926">
        <v>7105</v>
      </c>
      <c r="E926">
        <v>321</v>
      </c>
      <c r="F926">
        <v>80</v>
      </c>
      <c r="G926">
        <v>6400</v>
      </c>
      <c r="H926">
        <v>0</v>
      </c>
      <c r="I926">
        <v>1120</v>
      </c>
      <c r="J926">
        <v>0</v>
      </c>
      <c r="K926">
        <v>0</v>
      </c>
      <c r="L926">
        <v>1</v>
      </c>
      <c r="M926">
        <v>0</v>
      </c>
      <c r="N926" t="s">
        <v>17</v>
      </c>
      <c r="O926" s="1">
        <f>result[[#This Row],[n_killed_mutants_cumulativa]]/result[[#This Row],[tot_mutants]]</f>
        <v>0</v>
      </c>
    </row>
    <row r="927" spans="1:15" hidden="1" x14ac:dyDescent="0.25">
      <c r="A927" t="s">
        <v>162</v>
      </c>
      <c r="B927" t="s">
        <v>27</v>
      </c>
      <c r="C927" t="s">
        <v>16</v>
      </c>
      <c r="D927">
        <v>8202</v>
      </c>
      <c r="E927">
        <v>418</v>
      </c>
      <c r="F927">
        <v>90</v>
      </c>
      <c r="G927">
        <v>8100</v>
      </c>
      <c r="H927">
        <v>0</v>
      </c>
      <c r="I927">
        <v>1260</v>
      </c>
      <c r="J927">
        <v>0</v>
      </c>
      <c r="K927">
        <v>0</v>
      </c>
      <c r="L927">
        <v>1</v>
      </c>
      <c r="M927">
        <v>0</v>
      </c>
      <c r="N927" t="s">
        <v>17</v>
      </c>
      <c r="O927" s="1">
        <f>result[[#This Row],[n_killed_mutants_cumulativa]]/result[[#This Row],[tot_mutants]]</f>
        <v>0</v>
      </c>
    </row>
    <row r="928" spans="1:15" hidden="1" x14ac:dyDescent="0.25">
      <c r="A928" t="s">
        <v>162</v>
      </c>
      <c r="B928" t="s">
        <v>30</v>
      </c>
      <c r="C928" t="s">
        <v>16</v>
      </c>
      <c r="D928">
        <v>9859</v>
      </c>
      <c r="E928">
        <v>507</v>
      </c>
      <c r="F928">
        <v>100</v>
      </c>
      <c r="G928">
        <v>10000</v>
      </c>
      <c r="H928">
        <v>0</v>
      </c>
      <c r="I928">
        <v>1400</v>
      </c>
      <c r="J928">
        <v>0</v>
      </c>
      <c r="K928">
        <v>0</v>
      </c>
      <c r="L928">
        <v>1</v>
      </c>
      <c r="M928">
        <v>0</v>
      </c>
      <c r="N928" t="s">
        <v>17</v>
      </c>
      <c r="O928" s="1">
        <f>result[[#This Row],[n_killed_mutants_cumulativa]]/result[[#This Row],[tot_mutants]]</f>
        <v>0</v>
      </c>
    </row>
    <row r="929" spans="1:16" hidden="1" x14ac:dyDescent="0.25">
      <c r="A929" t="s">
        <v>162</v>
      </c>
      <c r="B929" t="s">
        <v>31</v>
      </c>
      <c r="C929" t="s">
        <v>16</v>
      </c>
      <c r="D929">
        <v>11527</v>
      </c>
      <c r="E929">
        <v>602</v>
      </c>
      <c r="F929">
        <v>110</v>
      </c>
      <c r="G929">
        <v>12100</v>
      </c>
      <c r="H929">
        <v>0</v>
      </c>
      <c r="I929">
        <v>1540</v>
      </c>
      <c r="J929">
        <v>0</v>
      </c>
      <c r="K929">
        <v>0</v>
      </c>
      <c r="L929">
        <v>1</v>
      </c>
      <c r="M929">
        <v>0</v>
      </c>
      <c r="N929" t="s">
        <v>17</v>
      </c>
      <c r="O929" s="1">
        <f>result[[#This Row],[n_killed_mutants_cumulativa]]/result[[#This Row],[tot_mutants]]</f>
        <v>0</v>
      </c>
    </row>
    <row r="930" spans="1:16" hidden="1" x14ac:dyDescent="0.25">
      <c r="A930" t="s">
        <v>162</v>
      </c>
      <c r="B930" t="s">
        <v>36</v>
      </c>
      <c r="C930" t="s">
        <v>16</v>
      </c>
      <c r="D930">
        <v>13364</v>
      </c>
      <c r="E930">
        <v>705</v>
      </c>
      <c r="F930">
        <v>120</v>
      </c>
      <c r="G930">
        <v>14400</v>
      </c>
      <c r="H930">
        <v>0</v>
      </c>
      <c r="I930">
        <v>1680</v>
      </c>
      <c r="J930">
        <v>0</v>
      </c>
      <c r="K930">
        <v>0</v>
      </c>
      <c r="L930">
        <v>1</v>
      </c>
      <c r="M930">
        <v>0</v>
      </c>
      <c r="N930" t="s">
        <v>17</v>
      </c>
      <c r="O930" s="1">
        <f>result[[#This Row],[n_killed_mutants_cumulativa]]/result[[#This Row],[tot_mutants]]</f>
        <v>0</v>
      </c>
    </row>
    <row r="931" spans="1:16" hidden="1" x14ac:dyDescent="0.25">
      <c r="A931" t="s">
        <v>162</v>
      </c>
      <c r="B931" t="s">
        <v>40</v>
      </c>
      <c r="C931" t="s">
        <v>16</v>
      </c>
      <c r="D931">
        <v>15665</v>
      </c>
      <c r="E931">
        <v>852</v>
      </c>
      <c r="F931">
        <v>130</v>
      </c>
      <c r="G931">
        <v>16900</v>
      </c>
      <c r="H931">
        <v>0</v>
      </c>
      <c r="I931">
        <v>1820</v>
      </c>
      <c r="J931">
        <v>0</v>
      </c>
      <c r="K931">
        <v>0</v>
      </c>
      <c r="L931">
        <v>1</v>
      </c>
      <c r="M931">
        <v>0</v>
      </c>
      <c r="N931" t="s">
        <v>17</v>
      </c>
      <c r="O931" s="1">
        <f>result[[#This Row],[n_killed_mutants_cumulativa]]/result[[#This Row],[tot_mutants]]</f>
        <v>0</v>
      </c>
    </row>
    <row r="932" spans="1:16" hidden="1" x14ac:dyDescent="0.25">
      <c r="A932" t="s">
        <v>162</v>
      </c>
      <c r="B932" t="s">
        <v>47</v>
      </c>
      <c r="C932" t="s">
        <v>16</v>
      </c>
      <c r="D932">
        <v>17683</v>
      </c>
      <c r="E932">
        <v>952</v>
      </c>
      <c r="F932">
        <v>140</v>
      </c>
      <c r="G932">
        <v>19600</v>
      </c>
      <c r="H932">
        <v>0</v>
      </c>
      <c r="I932">
        <v>1960</v>
      </c>
      <c r="J932">
        <v>0</v>
      </c>
      <c r="K932">
        <v>0</v>
      </c>
      <c r="L932">
        <v>1</v>
      </c>
      <c r="M932">
        <v>0</v>
      </c>
      <c r="N932" t="s">
        <v>17</v>
      </c>
      <c r="O932" s="1">
        <f>result[[#This Row],[n_killed_mutants_cumulativa]]/result[[#This Row],[tot_mutants]]</f>
        <v>0</v>
      </c>
    </row>
    <row r="933" spans="1:16" hidden="1" x14ac:dyDescent="0.25">
      <c r="A933" t="s">
        <v>162</v>
      </c>
      <c r="B933" t="s">
        <v>48</v>
      </c>
      <c r="C933" t="s">
        <v>16</v>
      </c>
      <c r="D933">
        <v>20873</v>
      </c>
      <c r="E933">
        <v>1076</v>
      </c>
      <c r="F933">
        <v>150</v>
      </c>
      <c r="G933">
        <v>22500</v>
      </c>
      <c r="H933">
        <v>0</v>
      </c>
      <c r="I933">
        <v>2100</v>
      </c>
      <c r="J933">
        <v>0</v>
      </c>
      <c r="K933">
        <v>0</v>
      </c>
      <c r="L933">
        <v>1</v>
      </c>
      <c r="M933">
        <v>0</v>
      </c>
      <c r="N933" t="s">
        <v>17</v>
      </c>
      <c r="O933" s="1">
        <f>result[[#This Row],[n_killed_mutants_cumulativa]]/result[[#This Row],[tot_mutants]]</f>
        <v>0</v>
      </c>
    </row>
    <row r="934" spans="1:16" hidden="1" x14ac:dyDescent="0.25">
      <c r="A934" t="s">
        <v>162</v>
      </c>
      <c r="B934" t="s">
        <v>49</v>
      </c>
      <c r="C934" t="s">
        <v>16</v>
      </c>
      <c r="D934">
        <v>23771</v>
      </c>
      <c r="E934">
        <v>1226</v>
      </c>
      <c r="F934">
        <v>160</v>
      </c>
      <c r="G934">
        <v>25600</v>
      </c>
      <c r="H934">
        <v>0</v>
      </c>
      <c r="I934">
        <v>2240</v>
      </c>
      <c r="J934">
        <v>0</v>
      </c>
      <c r="K934">
        <v>0</v>
      </c>
      <c r="L934">
        <v>1</v>
      </c>
      <c r="M934">
        <v>0</v>
      </c>
      <c r="N934" t="s">
        <v>17</v>
      </c>
      <c r="O934" s="1">
        <f>result[[#This Row],[n_killed_mutants_cumulativa]]/result[[#This Row],[tot_mutants]]</f>
        <v>0</v>
      </c>
    </row>
    <row r="935" spans="1:16" hidden="1" x14ac:dyDescent="0.25">
      <c r="A935" t="s">
        <v>162</v>
      </c>
      <c r="B935" t="s">
        <v>50</v>
      </c>
      <c r="C935" t="s">
        <v>16</v>
      </c>
      <c r="D935">
        <v>27527</v>
      </c>
      <c r="E935">
        <v>1376</v>
      </c>
      <c r="F935">
        <v>170</v>
      </c>
      <c r="G935">
        <v>28900</v>
      </c>
      <c r="H935">
        <v>0</v>
      </c>
      <c r="I935">
        <v>2380</v>
      </c>
      <c r="J935">
        <v>0</v>
      </c>
      <c r="K935">
        <v>0</v>
      </c>
      <c r="L935">
        <v>1</v>
      </c>
      <c r="M935">
        <v>0</v>
      </c>
      <c r="N935" t="s">
        <v>17</v>
      </c>
      <c r="O935" s="1">
        <f>result[[#This Row],[n_killed_mutants_cumulativa]]/result[[#This Row],[tot_mutants]]</f>
        <v>0</v>
      </c>
    </row>
    <row r="936" spans="1:16" hidden="1" x14ac:dyDescent="0.25">
      <c r="A936" t="s">
        <v>162</v>
      </c>
      <c r="B936" t="s">
        <v>51</v>
      </c>
      <c r="C936" t="s">
        <v>16</v>
      </c>
      <c r="D936">
        <v>31516</v>
      </c>
      <c r="E936">
        <v>1638</v>
      </c>
      <c r="F936">
        <v>180</v>
      </c>
      <c r="G936">
        <v>32400</v>
      </c>
      <c r="H936">
        <v>0</v>
      </c>
      <c r="I936">
        <v>2520</v>
      </c>
      <c r="J936">
        <v>0</v>
      </c>
      <c r="K936">
        <v>0</v>
      </c>
      <c r="L936">
        <v>1</v>
      </c>
      <c r="M936">
        <v>0</v>
      </c>
      <c r="N936" t="s">
        <v>17</v>
      </c>
      <c r="O936" s="1">
        <f>result[[#This Row],[n_killed_mutants_cumulativa]]/result[[#This Row],[tot_mutants]]</f>
        <v>0</v>
      </c>
    </row>
    <row r="937" spans="1:16" hidden="1" x14ac:dyDescent="0.25">
      <c r="A937" t="s">
        <v>162</v>
      </c>
      <c r="B937" t="s">
        <v>52</v>
      </c>
      <c r="C937" t="s">
        <v>16</v>
      </c>
      <c r="D937">
        <v>35343</v>
      </c>
      <c r="E937">
        <v>1720</v>
      </c>
      <c r="F937">
        <v>190</v>
      </c>
      <c r="G937">
        <v>36100</v>
      </c>
      <c r="H937">
        <v>0</v>
      </c>
      <c r="I937">
        <v>2660</v>
      </c>
      <c r="J937">
        <v>0</v>
      </c>
      <c r="K937">
        <v>0</v>
      </c>
      <c r="L937">
        <v>1</v>
      </c>
      <c r="M937">
        <v>0</v>
      </c>
      <c r="N937" t="s">
        <v>17</v>
      </c>
      <c r="O937" s="1">
        <f>result[[#This Row],[n_killed_mutants_cumulativa]]/result[[#This Row],[tot_mutants]]</f>
        <v>0</v>
      </c>
    </row>
    <row r="938" spans="1:16" hidden="1" x14ac:dyDescent="0.25">
      <c r="A938" t="s">
        <v>162</v>
      </c>
      <c r="B938" t="s">
        <v>53</v>
      </c>
      <c r="C938" t="s">
        <v>16</v>
      </c>
      <c r="D938">
        <v>39266</v>
      </c>
      <c r="E938">
        <v>1894</v>
      </c>
      <c r="F938">
        <v>200</v>
      </c>
      <c r="G938">
        <v>40000</v>
      </c>
      <c r="H938">
        <v>0</v>
      </c>
      <c r="I938">
        <v>2800</v>
      </c>
      <c r="J938">
        <v>0</v>
      </c>
      <c r="K938">
        <v>0</v>
      </c>
      <c r="L938">
        <v>1</v>
      </c>
      <c r="M938">
        <v>0</v>
      </c>
      <c r="N938" t="s">
        <v>17</v>
      </c>
      <c r="O938" s="1">
        <f>result[[#This Row],[n_killed_mutants_cumulativa]]/result[[#This Row],[tot_mutants]]</f>
        <v>0</v>
      </c>
    </row>
    <row r="939" spans="1:16" hidden="1" x14ac:dyDescent="0.25">
      <c r="A939" t="s">
        <v>162</v>
      </c>
      <c r="B939" t="s">
        <v>22</v>
      </c>
      <c r="C939" t="s">
        <v>16</v>
      </c>
      <c r="D939">
        <v>285899</v>
      </c>
      <c r="E939">
        <v>14434</v>
      </c>
      <c r="F939">
        <v>2100</v>
      </c>
      <c r="G939">
        <v>287000</v>
      </c>
      <c r="H939">
        <v>0</v>
      </c>
      <c r="I939">
        <v>29400</v>
      </c>
      <c r="J939">
        <v>0</v>
      </c>
      <c r="K939">
        <v>0</v>
      </c>
      <c r="L939">
        <v>1</v>
      </c>
      <c r="M939">
        <v>0</v>
      </c>
      <c r="N939" t="s">
        <v>17</v>
      </c>
      <c r="O939" s="1">
        <f>result[[#This Row],[n_killed_mutants_cumulativa]]/result[[#This Row],[tot_mutants]]</f>
        <v>0</v>
      </c>
      <c r="P939" s="9" t="s">
        <v>346</v>
      </c>
    </row>
    <row r="940" spans="1:16" hidden="1" x14ac:dyDescent="0.25">
      <c r="A940" t="s">
        <v>163</v>
      </c>
      <c r="B940" t="s">
        <v>15</v>
      </c>
      <c r="C940" t="s">
        <v>16</v>
      </c>
      <c r="D940">
        <v>3968</v>
      </c>
      <c r="E940">
        <v>2211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10</v>
      </c>
      <c r="L940">
        <v>2</v>
      </c>
      <c r="M940">
        <v>0</v>
      </c>
      <c r="N940" t="s">
        <v>17</v>
      </c>
      <c r="O940" s="1">
        <f>result[[#This Row],[n_killed_mutants_cumulativa]]/result[[#This Row],[tot_mutants]]</f>
        <v>0</v>
      </c>
    </row>
    <row r="941" spans="1:16" hidden="1" x14ac:dyDescent="0.25">
      <c r="A941" t="s">
        <v>163</v>
      </c>
      <c r="B941" t="s">
        <v>18</v>
      </c>
      <c r="C941" t="s">
        <v>16</v>
      </c>
      <c r="D941">
        <v>15621</v>
      </c>
      <c r="E941">
        <v>14400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20</v>
      </c>
      <c r="L941">
        <v>2</v>
      </c>
      <c r="M941">
        <v>0</v>
      </c>
      <c r="N941" t="s">
        <v>17</v>
      </c>
      <c r="O941" s="1">
        <f>result[[#This Row],[n_killed_mutants_cumulativa]]/result[[#This Row],[tot_mutants]]</f>
        <v>0</v>
      </c>
    </row>
    <row r="942" spans="1:16" hidden="1" x14ac:dyDescent="0.25">
      <c r="A942" t="s">
        <v>163</v>
      </c>
      <c r="B942" t="s">
        <v>19</v>
      </c>
      <c r="C942" t="s">
        <v>16</v>
      </c>
      <c r="D942">
        <v>62895</v>
      </c>
      <c r="E942">
        <v>61649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30</v>
      </c>
      <c r="L942">
        <v>2</v>
      </c>
      <c r="M942">
        <v>0</v>
      </c>
      <c r="N942" t="s">
        <v>17</v>
      </c>
      <c r="O942" s="1">
        <f>result[[#This Row],[n_killed_mutants_cumulativa]]/result[[#This Row],[tot_mutants]]</f>
        <v>0</v>
      </c>
    </row>
    <row r="943" spans="1:16" hidden="1" x14ac:dyDescent="0.25">
      <c r="A943" t="s">
        <v>163</v>
      </c>
      <c r="B943" t="s">
        <v>20</v>
      </c>
      <c r="C943" t="s">
        <v>16</v>
      </c>
      <c r="D943">
        <v>182651</v>
      </c>
      <c r="E943">
        <v>181110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40</v>
      </c>
      <c r="L943">
        <v>2</v>
      </c>
      <c r="M943">
        <v>0</v>
      </c>
      <c r="N943" t="s">
        <v>17</v>
      </c>
      <c r="O943" s="1">
        <f>result[[#This Row],[n_killed_mutants_cumulativa]]/result[[#This Row],[tot_mutants]]</f>
        <v>0</v>
      </c>
    </row>
    <row r="944" spans="1:16" hidden="1" x14ac:dyDescent="0.25">
      <c r="A944" t="s">
        <v>163</v>
      </c>
      <c r="B944" t="s">
        <v>21</v>
      </c>
      <c r="C944" t="s">
        <v>16</v>
      </c>
      <c r="D944">
        <v>394836</v>
      </c>
      <c r="E944">
        <v>392862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50</v>
      </c>
      <c r="L944">
        <v>2</v>
      </c>
      <c r="M944">
        <v>0</v>
      </c>
      <c r="N944" t="s">
        <v>17</v>
      </c>
      <c r="O944" s="1">
        <f>result[[#This Row],[n_killed_mutants_cumulativa]]/result[[#This Row],[tot_mutants]]</f>
        <v>0</v>
      </c>
    </row>
    <row r="945" spans="1:15" hidden="1" x14ac:dyDescent="0.25">
      <c r="A945" t="s">
        <v>163</v>
      </c>
      <c r="B945" t="s">
        <v>22</v>
      </c>
      <c r="C945" t="s">
        <v>16</v>
      </c>
      <c r="D945">
        <v>659971</v>
      </c>
      <c r="E945">
        <v>652232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150</v>
      </c>
      <c r="L945">
        <v>2</v>
      </c>
      <c r="M945">
        <v>0</v>
      </c>
      <c r="N945" t="s">
        <v>17</v>
      </c>
      <c r="O945" s="1">
        <f>result[[#This Row],[n_killed_mutants_cumulativa]]/result[[#This Row],[tot_mutants]]</f>
        <v>0</v>
      </c>
    </row>
    <row r="946" spans="1:15" hidden="1" x14ac:dyDescent="0.25">
      <c r="A946" t="s">
        <v>164</v>
      </c>
      <c r="B946" t="s">
        <v>15</v>
      </c>
      <c r="C946" t="s">
        <v>16</v>
      </c>
      <c r="D946">
        <v>2062</v>
      </c>
      <c r="E946">
        <v>804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10</v>
      </c>
      <c r="L946">
        <v>4</v>
      </c>
      <c r="M946">
        <v>0</v>
      </c>
      <c r="N946" t="s">
        <v>17</v>
      </c>
      <c r="O946" s="1">
        <f>result[[#This Row],[n_killed_mutants_cumulativa]]/result[[#This Row],[tot_mutants]]</f>
        <v>0</v>
      </c>
    </row>
    <row r="947" spans="1:15" hidden="1" x14ac:dyDescent="0.25">
      <c r="A947" t="s">
        <v>164</v>
      </c>
      <c r="B947" t="s">
        <v>18</v>
      </c>
      <c r="C947" t="s">
        <v>16</v>
      </c>
      <c r="D947">
        <v>3576</v>
      </c>
      <c r="E947">
        <v>3075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20</v>
      </c>
      <c r="L947">
        <v>4</v>
      </c>
      <c r="M947">
        <v>0</v>
      </c>
      <c r="N947" t="s">
        <v>17</v>
      </c>
      <c r="O947" s="1">
        <f>result[[#This Row],[n_killed_mutants_cumulativa]]/result[[#This Row],[tot_mutants]]</f>
        <v>0</v>
      </c>
    </row>
    <row r="948" spans="1:15" hidden="1" x14ac:dyDescent="0.25">
      <c r="A948" t="s">
        <v>164</v>
      </c>
      <c r="B948" t="s">
        <v>19</v>
      </c>
      <c r="C948" t="s">
        <v>16</v>
      </c>
      <c r="D948">
        <v>11277</v>
      </c>
      <c r="E948">
        <v>10586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30</v>
      </c>
      <c r="L948">
        <v>4</v>
      </c>
      <c r="M948">
        <v>0</v>
      </c>
      <c r="N948" t="s">
        <v>17</v>
      </c>
      <c r="O948" s="1">
        <f>result[[#This Row],[n_killed_mutants_cumulativa]]/result[[#This Row],[tot_mutants]]</f>
        <v>0</v>
      </c>
    </row>
    <row r="949" spans="1:15" hidden="1" x14ac:dyDescent="0.25">
      <c r="A949" t="s">
        <v>164</v>
      </c>
      <c r="B949" t="s">
        <v>20</v>
      </c>
      <c r="C949" t="s">
        <v>16</v>
      </c>
      <c r="D949">
        <v>32347</v>
      </c>
      <c r="E949">
        <v>31357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40</v>
      </c>
      <c r="L949">
        <v>4</v>
      </c>
      <c r="M949">
        <v>0</v>
      </c>
      <c r="N949" t="s">
        <v>17</v>
      </c>
      <c r="O949" s="1">
        <f>result[[#This Row],[n_killed_mutants_cumulativa]]/result[[#This Row],[tot_mutants]]</f>
        <v>0</v>
      </c>
    </row>
    <row r="950" spans="1:15" hidden="1" x14ac:dyDescent="0.25">
      <c r="A950" t="s">
        <v>164</v>
      </c>
      <c r="B950" t="s">
        <v>21</v>
      </c>
      <c r="C950" t="s">
        <v>16</v>
      </c>
      <c r="D950">
        <v>74985</v>
      </c>
      <c r="E950">
        <v>74014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50</v>
      </c>
      <c r="L950">
        <v>4</v>
      </c>
      <c r="M950">
        <v>0</v>
      </c>
      <c r="N950" t="s">
        <v>17</v>
      </c>
      <c r="O950" s="1">
        <f>result[[#This Row],[n_killed_mutants_cumulativa]]/result[[#This Row],[tot_mutants]]</f>
        <v>0</v>
      </c>
    </row>
    <row r="951" spans="1:15" hidden="1" x14ac:dyDescent="0.25">
      <c r="A951" t="s">
        <v>164</v>
      </c>
      <c r="B951" t="s">
        <v>22</v>
      </c>
      <c r="C951" t="s">
        <v>16</v>
      </c>
      <c r="D951">
        <v>124247</v>
      </c>
      <c r="E951">
        <v>119836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150</v>
      </c>
      <c r="L951">
        <v>4</v>
      </c>
      <c r="M951">
        <v>0</v>
      </c>
      <c r="N951" t="s">
        <v>17</v>
      </c>
      <c r="O951" s="1">
        <f>result[[#This Row],[n_killed_mutants_cumulativa]]/result[[#This Row],[tot_mutants]]</f>
        <v>0</v>
      </c>
    </row>
    <row r="952" spans="1:15" hidden="1" x14ac:dyDescent="0.25">
      <c r="A952" t="s">
        <v>165</v>
      </c>
      <c r="B952" t="s">
        <v>15</v>
      </c>
      <c r="C952" t="s">
        <v>16</v>
      </c>
      <c r="D952">
        <v>2804</v>
      </c>
      <c r="E952">
        <v>1657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2</v>
      </c>
      <c r="L952">
        <v>15</v>
      </c>
      <c r="M952">
        <v>0</v>
      </c>
      <c r="N952" t="s">
        <v>17</v>
      </c>
      <c r="O952" s="1">
        <f>result[[#This Row],[n_killed_mutants_cumulativa]]/result[[#This Row],[tot_mutants]]</f>
        <v>0</v>
      </c>
    </row>
    <row r="953" spans="1:15" hidden="1" x14ac:dyDescent="0.25">
      <c r="A953" t="s">
        <v>165</v>
      </c>
      <c r="B953" t="s">
        <v>18</v>
      </c>
      <c r="C953" t="s">
        <v>16</v>
      </c>
      <c r="D953">
        <v>1744</v>
      </c>
      <c r="E953">
        <v>1665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15</v>
      </c>
      <c r="M953">
        <v>0</v>
      </c>
      <c r="N953" t="s">
        <v>17</v>
      </c>
      <c r="O953" s="1">
        <f>result[[#This Row],[n_killed_mutants_cumulativa]]/result[[#This Row],[tot_mutants]]</f>
        <v>0</v>
      </c>
    </row>
    <row r="954" spans="1:15" hidden="1" x14ac:dyDescent="0.25">
      <c r="A954" t="s">
        <v>165</v>
      </c>
      <c r="B954" t="s">
        <v>19</v>
      </c>
      <c r="C954" t="s">
        <v>16</v>
      </c>
      <c r="D954">
        <v>2127</v>
      </c>
      <c r="E954">
        <v>2093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15</v>
      </c>
      <c r="M954">
        <v>0</v>
      </c>
      <c r="N954" t="s">
        <v>17</v>
      </c>
      <c r="O954" s="1">
        <f>result[[#This Row],[n_killed_mutants_cumulativa]]/result[[#This Row],[tot_mutants]]</f>
        <v>0</v>
      </c>
    </row>
    <row r="955" spans="1:15" hidden="1" x14ac:dyDescent="0.25">
      <c r="A955" t="s">
        <v>165</v>
      </c>
      <c r="B955" t="s">
        <v>20</v>
      </c>
      <c r="C955" t="s">
        <v>16</v>
      </c>
      <c r="D955">
        <v>3379</v>
      </c>
      <c r="E955">
        <v>3353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15</v>
      </c>
      <c r="M955">
        <v>0</v>
      </c>
      <c r="N955" t="s">
        <v>17</v>
      </c>
      <c r="O955" s="1">
        <f>result[[#This Row],[n_killed_mutants_cumulativa]]/result[[#This Row],[tot_mutants]]</f>
        <v>0</v>
      </c>
    </row>
    <row r="956" spans="1:15" hidden="1" x14ac:dyDescent="0.25">
      <c r="A956" t="s">
        <v>165</v>
      </c>
      <c r="B956" t="s">
        <v>21</v>
      </c>
      <c r="C956" t="s">
        <v>16</v>
      </c>
      <c r="D956">
        <v>3355</v>
      </c>
      <c r="E956">
        <v>3331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15</v>
      </c>
      <c r="M956">
        <v>0</v>
      </c>
      <c r="N956" t="s">
        <v>17</v>
      </c>
      <c r="O956" s="1">
        <f>result[[#This Row],[n_killed_mutants_cumulativa]]/result[[#This Row],[tot_mutants]]</f>
        <v>0</v>
      </c>
    </row>
    <row r="957" spans="1:15" hidden="1" x14ac:dyDescent="0.25">
      <c r="A957" t="s">
        <v>165</v>
      </c>
      <c r="B957" t="s">
        <v>22</v>
      </c>
      <c r="C957" t="s">
        <v>16</v>
      </c>
      <c r="D957">
        <v>13409</v>
      </c>
      <c r="E957">
        <v>12099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2</v>
      </c>
      <c r="L957">
        <v>15</v>
      </c>
      <c r="M957">
        <v>0</v>
      </c>
      <c r="N957" t="s">
        <v>17</v>
      </c>
      <c r="O957" s="1">
        <f>result[[#This Row],[n_killed_mutants_cumulativa]]/result[[#This Row],[tot_mutants]]</f>
        <v>0</v>
      </c>
    </row>
    <row r="958" spans="1:15" hidden="1" x14ac:dyDescent="0.25">
      <c r="A958" t="s">
        <v>166</v>
      </c>
      <c r="B958" t="s">
        <v>15</v>
      </c>
      <c r="C958" t="s">
        <v>16</v>
      </c>
      <c r="D958">
        <v>2346</v>
      </c>
      <c r="E958">
        <v>191</v>
      </c>
      <c r="F958">
        <v>0</v>
      </c>
      <c r="G958">
        <v>0</v>
      </c>
      <c r="H958">
        <v>0</v>
      </c>
      <c r="I958">
        <v>0</v>
      </c>
      <c r="J958">
        <v>8</v>
      </c>
      <c r="K958">
        <v>0</v>
      </c>
      <c r="L958">
        <v>15</v>
      </c>
      <c r="M958">
        <v>0</v>
      </c>
      <c r="N958" t="s">
        <v>17</v>
      </c>
      <c r="O958" s="1">
        <f>result[[#This Row],[n_killed_mutants_cumulativa]]/result[[#This Row],[tot_mutants]]</f>
        <v>0</v>
      </c>
    </row>
    <row r="959" spans="1:15" hidden="1" x14ac:dyDescent="0.25">
      <c r="A959" t="s">
        <v>166</v>
      </c>
      <c r="B959" t="s">
        <v>18</v>
      </c>
      <c r="C959" t="s">
        <v>16</v>
      </c>
      <c r="D959">
        <v>894</v>
      </c>
      <c r="E959">
        <v>275</v>
      </c>
      <c r="F959">
        <v>0</v>
      </c>
      <c r="G959">
        <v>0</v>
      </c>
      <c r="H959">
        <v>0</v>
      </c>
      <c r="I959">
        <v>0</v>
      </c>
      <c r="J959">
        <v>5</v>
      </c>
      <c r="K959">
        <v>0</v>
      </c>
      <c r="L959">
        <v>15</v>
      </c>
      <c r="M959">
        <v>0</v>
      </c>
      <c r="N959" t="s">
        <v>17</v>
      </c>
      <c r="O959" s="1">
        <f>result[[#This Row],[n_killed_mutants_cumulativa]]/result[[#This Row],[tot_mutants]]</f>
        <v>0</v>
      </c>
    </row>
    <row r="960" spans="1:15" hidden="1" x14ac:dyDescent="0.25">
      <c r="A960" t="s">
        <v>166</v>
      </c>
      <c r="B960" t="s">
        <v>19</v>
      </c>
      <c r="C960" t="s">
        <v>16</v>
      </c>
      <c r="D960">
        <v>1462</v>
      </c>
      <c r="E960">
        <v>212</v>
      </c>
      <c r="F960">
        <v>0</v>
      </c>
      <c r="G960">
        <v>0</v>
      </c>
      <c r="H960">
        <v>0</v>
      </c>
      <c r="I960">
        <v>0</v>
      </c>
      <c r="J960">
        <v>9</v>
      </c>
      <c r="K960">
        <v>0</v>
      </c>
      <c r="L960">
        <v>15</v>
      </c>
      <c r="M960">
        <v>0</v>
      </c>
      <c r="N960" t="s">
        <v>17</v>
      </c>
      <c r="O960" s="1">
        <f>result[[#This Row],[n_killed_mutants_cumulativa]]/result[[#This Row],[tot_mutants]]</f>
        <v>0</v>
      </c>
    </row>
    <row r="961" spans="1:15" hidden="1" x14ac:dyDescent="0.25">
      <c r="A961" t="s">
        <v>166</v>
      </c>
      <c r="B961" t="s">
        <v>20</v>
      </c>
      <c r="C961" t="s">
        <v>16</v>
      </c>
      <c r="D961">
        <v>919</v>
      </c>
      <c r="E961">
        <v>182</v>
      </c>
      <c r="F961">
        <v>0</v>
      </c>
      <c r="G961">
        <v>0</v>
      </c>
      <c r="H961">
        <v>0</v>
      </c>
      <c r="I961">
        <v>0</v>
      </c>
      <c r="J961">
        <v>6</v>
      </c>
      <c r="K961">
        <v>0</v>
      </c>
      <c r="L961">
        <v>15</v>
      </c>
      <c r="M961">
        <v>0</v>
      </c>
      <c r="N961" t="s">
        <v>17</v>
      </c>
      <c r="O961" s="1">
        <f>result[[#This Row],[n_killed_mutants_cumulativa]]/result[[#This Row],[tot_mutants]]</f>
        <v>0</v>
      </c>
    </row>
    <row r="962" spans="1:15" hidden="1" x14ac:dyDescent="0.25">
      <c r="A962" t="s">
        <v>166</v>
      </c>
      <c r="B962" t="s">
        <v>21</v>
      </c>
      <c r="C962" t="s">
        <v>16</v>
      </c>
      <c r="D962">
        <v>1624</v>
      </c>
      <c r="E962">
        <v>363</v>
      </c>
      <c r="F962">
        <v>0</v>
      </c>
      <c r="G962">
        <v>0</v>
      </c>
      <c r="H962">
        <v>0</v>
      </c>
      <c r="I962">
        <v>0</v>
      </c>
      <c r="J962">
        <v>8</v>
      </c>
      <c r="K962">
        <v>0</v>
      </c>
      <c r="L962">
        <v>15</v>
      </c>
      <c r="M962">
        <v>0</v>
      </c>
      <c r="N962" t="s">
        <v>17</v>
      </c>
      <c r="O962" s="1">
        <f>result[[#This Row],[n_killed_mutants_cumulativa]]/result[[#This Row],[tot_mutants]]</f>
        <v>0</v>
      </c>
    </row>
    <row r="963" spans="1:15" hidden="1" x14ac:dyDescent="0.25">
      <c r="A963" t="s">
        <v>166</v>
      </c>
      <c r="B963" t="s">
        <v>22</v>
      </c>
      <c r="C963" t="s">
        <v>16</v>
      </c>
      <c r="D963">
        <v>7245</v>
      </c>
      <c r="E963">
        <v>1223</v>
      </c>
      <c r="F963">
        <v>0</v>
      </c>
      <c r="G963">
        <v>0</v>
      </c>
      <c r="H963">
        <v>0</v>
      </c>
      <c r="I963">
        <v>0</v>
      </c>
      <c r="J963">
        <v>36</v>
      </c>
      <c r="K963">
        <v>0</v>
      </c>
      <c r="L963">
        <v>15</v>
      </c>
      <c r="M963">
        <v>0</v>
      </c>
      <c r="N963" t="s">
        <v>17</v>
      </c>
      <c r="O963" s="1">
        <f>result[[#This Row],[n_killed_mutants_cumulativa]]/result[[#This Row],[tot_mutants]]</f>
        <v>0</v>
      </c>
    </row>
    <row r="964" spans="1:15" hidden="1" x14ac:dyDescent="0.25">
      <c r="A964" t="s">
        <v>167</v>
      </c>
      <c r="B964" t="s">
        <v>15</v>
      </c>
      <c r="C964" t="s">
        <v>16</v>
      </c>
      <c r="D964">
        <v>3319</v>
      </c>
      <c r="E964">
        <v>3123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54</v>
      </c>
      <c r="M964">
        <v>0</v>
      </c>
      <c r="N964" t="s">
        <v>17</v>
      </c>
      <c r="O964" s="1">
        <f>result[[#This Row],[n_killed_mutants_cumulativa]]/result[[#This Row],[tot_mutants]]</f>
        <v>0</v>
      </c>
    </row>
    <row r="965" spans="1:15" hidden="1" x14ac:dyDescent="0.25">
      <c r="A965" t="s">
        <v>167</v>
      </c>
      <c r="B965" t="s">
        <v>18</v>
      </c>
      <c r="C965" t="s">
        <v>16</v>
      </c>
      <c r="D965">
        <v>9913</v>
      </c>
      <c r="E965">
        <v>9839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54</v>
      </c>
      <c r="M965">
        <v>0</v>
      </c>
      <c r="N965" t="s">
        <v>17</v>
      </c>
      <c r="O965" s="1">
        <f>result[[#This Row],[n_killed_mutants_cumulativa]]/result[[#This Row],[tot_mutants]]</f>
        <v>0</v>
      </c>
    </row>
    <row r="966" spans="1:15" hidden="1" x14ac:dyDescent="0.25">
      <c r="A966" t="s">
        <v>167</v>
      </c>
      <c r="B966" t="s">
        <v>19</v>
      </c>
      <c r="C966" t="s">
        <v>16</v>
      </c>
      <c r="D966">
        <v>10976</v>
      </c>
      <c r="E966">
        <v>10895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54</v>
      </c>
      <c r="M966">
        <v>0</v>
      </c>
      <c r="N966" t="s">
        <v>17</v>
      </c>
      <c r="O966" s="1">
        <f>result[[#This Row],[n_killed_mutants_cumulativa]]/result[[#This Row],[tot_mutants]]</f>
        <v>0</v>
      </c>
    </row>
    <row r="967" spans="1:15" hidden="1" x14ac:dyDescent="0.25">
      <c r="A967" t="s">
        <v>167</v>
      </c>
      <c r="B967" t="s">
        <v>20</v>
      </c>
      <c r="C967" t="s">
        <v>16</v>
      </c>
      <c r="D967">
        <v>18747</v>
      </c>
      <c r="E967">
        <v>18684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54</v>
      </c>
      <c r="M967">
        <v>0</v>
      </c>
      <c r="N967" t="s">
        <v>17</v>
      </c>
      <c r="O967" s="1">
        <f>result[[#This Row],[n_killed_mutants_cumulativa]]/result[[#This Row],[tot_mutants]]</f>
        <v>0</v>
      </c>
    </row>
    <row r="968" spans="1:15" hidden="1" x14ac:dyDescent="0.25">
      <c r="A968" t="s">
        <v>167</v>
      </c>
      <c r="B968" t="s">
        <v>21</v>
      </c>
      <c r="C968" t="s">
        <v>16</v>
      </c>
      <c r="D968">
        <v>18319</v>
      </c>
      <c r="E968">
        <v>18267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54</v>
      </c>
      <c r="M968">
        <v>0</v>
      </c>
      <c r="N968" t="s">
        <v>17</v>
      </c>
      <c r="O968" s="1">
        <f>result[[#This Row],[n_killed_mutants_cumulativa]]/result[[#This Row],[tot_mutants]]</f>
        <v>0</v>
      </c>
    </row>
    <row r="969" spans="1:15" hidden="1" x14ac:dyDescent="0.25">
      <c r="A969" t="s">
        <v>167</v>
      </c>
      <c r="B969" t="s">
        <v>22</v>
      </c>
      <c r="C969" t="s">
        <v>16</v>
      </c>
      <c r="D969">
        <v>61274</v>
      </c>
      <c r="E969">
        <v>60808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54</v>
      </c>
      <c r="M969">
        <v>0</v>
      </c>
      <c r="N969" t="s">
        <v>17</v>
      </c>
      <c r="O969" s="1">
        <f>result[[#This Row],[n_killed_mutants_cumulativa]]/result[[#This Row],[tot_mutants]]</f>
        <v>0</v>
      </c>
    </row>
    <row r="970" spans="1:15" hidden="1" x14ac:dyDescent="0.25">
      <c r="A970" t="s">
        <v>168</v>
      </c>
      <c r="B970" t="s">
        <v>15</v>
      </c>
      <c r="C970" t="s">
        <v>16</v>
      </c>
      <c r="D970">
        <v>2684</v>
      </c>
      <c r="E970">
        <v>499</v>
      </c>
      <c r="F970">
        <v>0</v>
      </c>
      <c r="G970">
        <v>0</v>
      </c>
      <c r="H970">
        <v>0</v>
      </c>
      <c r="I970">
        <v>0</v>
      </c>
      <c r="J970">
        <v>10</v>
      </c>
      <c r="K970">
        <v>0</v>
      </c>
      <c r="L970">
        <v>31</v>
      </c>
      <c r="M970">
        <v>0</v>
      </c>
      <c r="N970" t="s">
        <v>17</v>
      </c>
      <c r="O970" s="1">
        <f>result[[#This Row],[n_killed_mutants_cumulativa]]/result[[#This Row],[tot_mutants]]</f>
        <v>0</v>
      </c>
    </row>
    <row r="971" spans="1:15" hidden="1" x14ac:dyDescent="0.25">
      <c r="A971" t="s">
        <v>168</v>
      </c>
      <c r="B971" t="s">
        <v>18</v>
      </c>
      <c r="C971" t="s">
        <v>16</v>
      </c>
      <c r="D971">
        <v>2359</v>
      </c>
      <c r="E971">
        <v>733</v>
      </c>
      <c r="F971">
        <v>0</v>
      </c>
      <c r="G971">
        <v>0</v>
      </c>
      <c r="H971">
        <v>0</v>
      </c>
      <c r="I971">
        <v>0</v>
      </c>
      <c r="J971">
        <v>19</v>
      </c>
      <c r="K971">
        <v>1</v>
      </c>
      <c r="L971">
        <v>31</v>
      </c>
      <c r="M971">
        <v>0</v>
      </c>
      <c r="N971" t="s">
        <v>17</v>
      </c>
      <c r="O971" s="1">
        <f>result[[#This Row],[n_killed_mutants_cumulativa]]/result[[#This Row],[tot_mutants]]</f>
        <v>0</v>
      </c>
    </row>
    <row r="972" spans="1:15" hidden="1" x14ac:dyDescent="0.25">
      <c r="A972" t="s">
        <v>168</v>
      </c>
      <c r="B972" t="s">
        <v>19</v>
      </c>
      <c r="C972" t="s">
        <v>16</v>
      </c>
      <c r="D972">
        <v>3313</v>
      </c>
      <c r="E972">
        <v>1148</v>
      </c>
      <c r="F972">
        <v>0</v>
      </c>
      <c r="G972">
        <v>0</v>
      </c>
      <c r="H972">
        <v>0</v>
      </c>
      <c r="I972">
        <v>0</v>
      </c>
      <c r="J972">
        <v>25</v>
      </c>
      <c r="K972">
        <v>5</v>
      </c>
      <c r="L972">
        <v>31</v>
      </c>
      <c r="M972">
        <v>0</v>
      </c>
      <c r="N972" t="s">
        <v>17</v>
      </c>
      <c r="O972" s="1">
        <f>result[[#This Row],[n_killed_mutants_cumulativa]]/result[[#This Row],[tot_mutants]]</f>
        <v>0</v>
      </c>
    </row>
    <row r="973" spans="1:15" hidden="1" x14ac:dyDescent="0.25">
      <c r="A973" t="s">
        <v>168</v>
      </c>
      <c r="B973" t="s">
        <v>20</v>
      </c>
      <c r="C973" t="s">
        <v>16</v>
      </c>
      <c r="D973">
        <v>3747</v>
      </c>
      <c r="E973">
        <v>1383</v>
      </c>
      <c r="F973">
        <v>0</v>
      </c>
      <c r="G973">
        <v>0</v>
      </c>
      <c r="H973">
        <v>0</v>
      </c>
      <c r="I973">
        <v>0</v>
      </c>
      <c r="J973">
        <v>29</v>
      </c>
      <c r="K973">
        <v>11</v>
      </c>
      <c r="L973">
        <v>31</v>
      </c>
      <c r="M973">
        <v>0</v>
      </c>
      <c r="N973" t="s">
        <v>17</v>
      </c>
      <c r="O973" s="1">
        <f>result[[#This Row],[n_killed_mutants_cumulativa]]/result[[#This Row],[tot_mutants]]</f>
        <v>0</v>
      </c>
    </row>
    <row r="974" spans="1:15" hidden="1" x14ac:dyDescent="0.25">
      <c r="A974" t="s">
        <v>168</v>
      </c>
      <c r="B974" t="s">
        <v>21</v>
      </c>
      <c r="C974" t="s">
        <v>16</v>
      </c>
      <c r="D974">
        <v>5460</v>
      </c>
      <c r="E974">
        <v>2227</v>
      </c>
      <c r="F974">
        <v>0</v>
      </c>
      <c r="G974">
        <v>0</v>
      </c>
      <c r="H974">
        <v>0</v>
      </c>
      <c r="I974">
        <v>0</v>
      </c>
      <c r="J974">
        <v>36</v>
      </c>
      <c r="K974">
        <v>14</v>
      </c>
      <c r="L974">
        <v>31</v>
      </c>
      <c r="M974">
        <v>0</v>
      </c>
      <c r="N974" t="s">
        <v>17</v>
      </c>
      <c r="O974" s="1">
        <f>result[[#This Row],[n_killed_mutants_cumulativa]]/result[[#This Row],[tot_mutants]]</f>
        <v>0</v>
      </c>
    </row>
    <row r="975" spans="1:15" hidden="1" x14ac:dyDescent="0.25">
      <c r="A975" t="s">
        <v>168</v>
      </c>
      <c r="B975" t="s">
        <v>22</v>
      </c>
      <c r="C975" t="s">
        <v>16</v>
      </c>
      <c r="D975">
        <v>17563</v>
      </c>
      <c r="E975">
        <v>5990</v>
      </c>
      <c r="F975">
        <v>0</v>
      </c>
      <c r="G975">
        <v>0</v>
      </c>
      <c r="H975">
        <v>0</v>
      </c>
      <c r="I975">
        <v>0</v>
      </c>
      <c r="J975">
        <v>119</v>
      </c>
      <c r="K975">
        <v>31</v>
      </c>
      <c r="L975">
        <v>31</v>
      </c>
      <c r="M975">
        <v>0</v>
      </c>
      <c r="N975" t="s">
        <v>17</v>
      </c>
      <c r="O975" s="1">
        <f>result[[#This Row],[n_killed_mutants_cumulativa]]/result[[#This Row],[tot_mutants]]</f>
        <v>0</v>
      </c>
    </row>
    <row r="976" spans="1:15" hidden="1" x14ac:dyDescent="0.25">
      <c r="A976" t="s">
        <v>169</v>
      </c>
      <c r="B976" t="s">
        <v>15</v>
      </c>
      <c r="C976" t="s">
        <v>16</v>
      </c>
      <c r="D976">
        <v>173</v>
      </c>
      <c r="E976">
        <v>73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0</v>
      </c>
      <c r="N976" t="s">
        <v>17</v>
      </c>
      <c r="O976" s="1">
        <f>result[[#This Row],[n_killed_mutants_cumulativa]]/result[[#This Row],[tot_mutants]]</f>
        <v>0</v>
      </c>
    </row>
    <row r="977" spans="1:15" hidden="1" x14ac:dyDescent="0.25">
      <c r="A977" t="s">
        <v>169</v>
      </c>
      <c r="B977" t="s">
        <v>18</v>
      </c>
      <c r="C977" t="s">
        <v>16</v>
      </c>
      <c r="D977">
        <v>63</v>
      </c>
      <c r="E977">
        <v>43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1</v>
      </c>
      <c r="M977">
        <v>0</v>
      </c>
      <c r="N977" t="s">
        <v>17</v>
      </c>
      <c r="O977" s="1">
        <f>result[[#This Row],[n_killed_mutants_cumulativa]]/result[[#This Row],[tot_mutants]]</f>
        <v>0</v>
      </c>
    </row>
    <row r="978" spans="1:15" hidden="1" x14ac:dyDescent="0.25">
      <c r="A978" t="s">
        <v>169</v>
      </c>
      <c r="B978" t="s">
        <v>19</v>
      </c>
      <c r="C978" t="s">
        <v>16</v>
      </c>
      <c r="D978">
        <v>75</v>
      </c>
      <c r="E978">
        <v>57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1</v>
      </c>
      <c r="M978">
        <v>0</v>
      </c>
      <c r="N978" t="s">
        <v>17</v>
      </c>
      <c r="O978" s="1">
        <f>result[[#This Row],[n_killed_mutants_cumulativa]]/result[[#This Row],[tot_mutants]]</f>
        <v>0</v>
      </c>
    </row>
    <row r="979" spans="1:15" hidden="1" x14ac:dyDescent="0.25">
      <c r="A979" t="s">
        <v>169</v>
      </c>
      <c r="B979" t="s">
        <v>20</v>
      </c>
      <c r="C979" t="s">
        <v>16</v>
      </c>
      <c r="D979">
        <v>80</v>
      </c>
      <c r="E979">
        <v>62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0</v>
      </c>
      <c r="N979" t="s">
        <v>17</v>
      </c>
      <c r="O979" s="1">
        <f>result[[#This Row],[n_killed_mutants_cumulativa]]/result[[#This Row],[tot_mutants]]</f>
        <v>0</v>
      </c>
    </row>
    <row r="980" spans="1:15" hidden="1" x14ac:dyDescent="0.25">
      <c r="A980" t="s">
        <v>169</v>
      </c>
      <c r="B980" t="s">
        <v>21</v>
      </c>
      <c r="C980" t="s">
        <v>16</v>
      </c>
      <c r="D980">
        <v>85</v>
      </c>
      <c r="E980">
        <v>66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1</v>
      </c>
      <c r="M980">
        <v>0</v>
      </c>
      <c r="N980" t="s">
        <v>17</v>
      </c>
      <c r="O980" s="1">
        <f>result[[#This Row],[n_killed_mutants_cumulativa]]/result[[#This Row],[tot_mutants]]</f>
        <v>0</v>
      </c>
    </row>
    <row r="981" spans="1:15" hidden="1" x14ac:dyDescent="0.25">
      <c r="A981" t="s">
        <v>169</v>
      </c>
      <c r="B981" t="s">
        <v>22</v>
      </c>
      <c r="C981" t="s">
        <v>16</v>
      </c>
      <c r="D981">
        <v>476</v>
      </c>
      <c r="E981">
        <v>301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0</v>
      </c>
      <c r="N981" t="s">
        <v>17</v>
      </c>
      <c r="O981" s="1">
        <f>result[[#This Row],[n_killed_mutants_cumulativa]]/result[[#This Row],[tot_mutants]]</f>
        <v>0</v>
      </c>
    </row>
    <row r="982" spans="1:15" hidden="1" x14ac:dyDescent="0.25">
      <c r="A982" t="s">
        <v>170</v>
      </c>
      <c r="B982" t="s">
        <v>15</v>
      </c>
      <c r="C982" t="s">
        <v>16</v>
      </c>
      <c r="D982">
        <v>3968</v>
      </c>
      <c r="E982">
        <v>79</v>
      </c>
      <c r="F982">
        <v>8</v>
      </c>
      <c r="G982">
        <v>80</v>
      </c>
      <c r="H982">
        <v>13</v>
      </c>
      <c r="I982">
        <v>312</v>
      </c>
      <c r="J982">
        <v>0</v>
      </c>
      <c r="K982">
        <v>0</v>
      </c>
      <c r="L982">
        <v>5</v>
      </c>
      <c r="M982">
        <v>0</v>
      </c>
      <c r="N982" t="s">
        <v>17</v>
      </c>
      <c r="O982" s="1">
        <f>result[[#This Row],[n_killed_mutants_cumulativa]]/result[[#This Row],[tot_mutants]]</f>
        <v>0</v>
      </c>
    </row>
    <row r="983" spans="1:15" hidden="1" x14ac:dyDescent="0.25">
      <c r="A983" t="s">
        <v>170</v>
      </c>
      <c r="B983" t="s">
        <v>18</v>
      </c>
      <c r="C983" t="s">
        <v>16</v>
      </c>
      <c r="D983">
        <v>3911</v>
      </c>
      <c r="E983">
        <v>29</v>
      </c>
      <c r="F983">
        <v>14</v>
      </c>
      <c r="G983">
        <v>280</v>
      </c>
      <c r="H983">
        <v>29</v>
      </c>
      <c r="I983">
        <v>1140</v>
      </c>
      <c r="J983">
        <v>0</v>
      </c>
      <c r="K983">
        <v>0</v>
      </c>
      <c r="L983">
        <v>5</v>
      </c>
      <c r="M983">
        <v>0</v>
      </c>
      <c r="N983" t="s">
        <v>17</v>
      </c>
      <c r="O983" s="1">
        <f>result[[#This Row],[n_killed_mutants_cumulativa]]/result[[#This Row],[tot_mutants]]</f>
        <v>0</v>
      </c>
    </row>
    <row r="984" spans="1:15" hidden="1" x14ac:dyDescent="0.25">
      <c r="A984" t="s">
        <v>170</v>
      </c>
      <c r="B984" t="s">
        <v>19</v>
      </c>
      <c r="C984" t="s">
        <v>16</v>
      </c>
      <c r="D984">
        <v>4486</v>
      </c>
      <c r="E984">
        <v>37</v>
      </c>
      <c r="F984">
        <v>17</v>
      </c>
      <c r="G984">
        <v>510</v>
      </c>
      <c r="H984">
        <v>27</v>
      </c>
      <c r="I984">
        <v>2041</v>
      </c>
      <c r="J984">
        <v>0</v>
      </c>
      <c r="K984">
        <v>0</v>
      </c>
      <c r="L984">
        <v>5</v>
      </c>
      <c r="M984">
        <v>0</v>
      </c>
      <c r="N984" t="s">
        <v>17</v>
      </c>
      <c r="O984" s="1">
        <f>result[[#This Row],[n_killed_mutants_cumulativa]]/result[[#This Row],[tot_mutants]]</f>
        <v>0</v>
      </c>
    </row>
    <row r="985" spans="1:15" hidden="1" x14ac:dyDescent="0.25">
      <c r="A985" t="s">
        <v>170</v>
      </c>
      <c r="B985" t="s">
        <v>20</v>
      </c>
      <c r="C985" t="s">
        <v>16</v>
      </c>
      <c r="D985">
        <v>7885</v>
      </c>
      <c r="E985">
        <v>32</v>
      </c>
      <c r="F985">
        <v>27</v>
      </c>
      <c r="G985">
        <v>1080</v>
      </c>
      <c r="H985">
        <v>47</v>
      </c>
      <c r="I985">
        <v>4409</v>
      </c>
      <c r="J985">
        <v>0</v>
      </c>
      <c r="K985">
        <v>0</v>
      </c>
      <c r="L985">
        <v>5</v>
      </c>
      <c r="M985">
        <v>0</v>
      </c>
      <c r="N985" t="s">
        <v>17</v>
      </c>
      <c r="O985" s="1">
        <f>result[[#This Row],[n_killed_mutants_cumulativa]]/result[[#This Row],[tot_mutants]]</f>
        <v>0</v>
      </c>
    </row>
    <row r="986" spans="1:15" hidden="1" x14ac:dyDescent="0.25">
      <c r="A986" t="s">
        <v>170</v>
      </c>
      <c r="B986" t="s">
        <v>21</v>
      </c>
      <c r="C986" t="s">
        <v>16</v>
      </c>
      <c r="D986">
        <v>10965</v>
      </c>
      <c r="E986">
        <v>37</v>
      </c>
      <c r="F986">
        <v>32</v>
      </c>
      <c r="G986">
        <v>1600</v>
      </c>
      <c r="H986">
        <v>61</v>
      </c>
      <c r="I986">
        <v>6451</v>
      </c>
      <c r="J986">
        <v>0</v>
      </c>
      <c r="K986">
        <v>0</v>
      </c>
      <c r="L986">
        <v>5</v>
      </c>
      <c r="M986">
        <v>0</v>
      </c>
      <c r="N986" t="s">
        <v>17</v>
      </c>
      <c r="O986" s="1">
        <f>result[[#This Row],[n_killed_mutants_cumulativa]]/result[[#This Row],[tot_mutants]]</f>
        <v>0</v>
      </c>
    </row>
    <row r="987" spans="1:15" hidden="1" x14ac:dyDescent="0.25">
      <c r="A987" t="s">
        <v>170</v>
      </c>
      <c r="B987" t="s">
        <v>24</v>
      </c>
      <c r="C987" t="s">
        <v>16</v>
      </c>
      <c r="D987">
        <v>15537</v>
      </c>
      <c r="E987">
        <v>47</v>
      </c>
      <c r="F987">
        <v>40</v>
      </c>
      <c r="G987">
        <v>2400</v>
      </c>
      <c r="H987">
        <v>83</v>
      </c>
      <c r="I987">
        <v>9534</v>
      </c>
      <c r="J987">
        <v>0</v>
      </c>
      <c r="K987">
        <v>0</v>
      </c>
      <c r="L987">
        <v>5</v>
      </c>
      <c r="M987">
        <v>0</v>
      </c>
      <c r="N987" t="s">
        <v>17</v>
      </c>
      <c r="O987" s="1">
        <f>result[[#This Row],[n_killed_mutants_cumulativa]]/result[[#This Row],[tot_mutants]]</f>
        <v>0</v>
      </c>
    </row>
    <row r="988" spans="1:15" hidden="1" x14ac:dyDescent="0.25">
      <c r="A988" t="s">
        <v>170</v>
      </c>
      <c r="B988" t="s">
        <v>25</v>
      </c>
      <c r="C988" t="s">
        <v>16</v>
      </c>
      <c r="D988">
        <v>19188</v>
      </c>
      <c r="E988">
        <v>54</v>
      </c>
      <c r="F988">
        <v>44</v>
      </c>
      <c r="G988">
        <v>3080</v>
      </c>
      <c r="H988">
        <v>81</v>
      </c>
      <c r="I988">
        <v>12536</v>
      </c>
      <c r="J988">
        <v>0</v>
      </c>
      <c r="K988">
        <v>0</v>
      </c>
      <c r="L988">
        <v>5</v>
      </c>
      <c r="M988">
        <v>0</v>
      </c>
      <c r="N988" t="s">
        <v>17</v>
      </c>
      <c r="O988" s="1">
        <f>result[[#This Row],[n_killed_mutants_cumulativa]]/result[[#This Row],[tot_mutants]]</f>
        <v>0</v>
      </c>
    </row>
    <row r="989" spans="1:15" hidden="1" x14ac:dyDescent="0.25">
      <c r="A989" t="s">
        <v>170</v>
      </c>
      <c r="B989" t="s">
        <v>26</v>
      </c>
      <c r="C989" t="s">
        <v>16</v>
      </c>
      <c r="D989">
        <v>25873</v>
      </c>
      <c r="E989">
        <v>65</v>
      </c>
      <c r="F989">
        <v>54</v>
      </c>
      <c r="G989">
        <v>4320</v>
      </c>
      <c r="H989">
        <v>103</v>
      </c>
      <c r="I989">
        <v>17040</v>
      </c>
      <c r="J989">
        <v>0</v>
      </c>
      <c r="K989">
        <v>0</v>
      </c>
      <c r="L989">
        <v>5</v>
      </c>
      <c r="M989">
        <v>0</v>
      </c>
      <c r="N989" t="s">
        <v>17</v>
      </c>
      <c r="O989" s="1">
        <f>result[[#This Row],[n_killed_mutants_cumulativa]]/result[[#This Row],[tot_mutants]]</f>
        <v>0</v>
      </c>
    </row>
    <row r="990" spans="1:15" hidden="1" x14ac:dyDescent="0.25">
      <c r="A990" t="s">
        <v>170</v>
      </c>
      <c r="B990" t="s">
        <v>27</v>
      </c>
      <c r="C990" t="s">
        <v>16</v>
      </c>
      <c r="D990">
        <v>26895</v>
      </c>
      <c r="E990">
        <v>73</v>
      </c>
      <c r="F990">
        <v>51</v>
      </c>
      <c r="G990">
        <v>4590</v>
      </c>
      <c r="H990">
        <v>91</v>
      </c>
      <c r="I990">
        <v>17807</v>
      </c>
      <c r="J990">
        <v>0</v>
      </c>
      <c r="K990">
        <v>0</v>
      </c>
      <c r="L990">
        <v>5</v>
      </c>
      <c r="M990">
        <v>0</v>
      </c>
      <c r="N990" t="s">
        <v>17</v>
      </c>
      <c r="O990" s="1">
        <f>result[[#This Row],[n_killed_mutants_cumulativa]]/result[[#This Row],[tot_mutants]]</f>
        <v>0</v>
      </c>
    </row>
    <row r="991" spans="1:15" hidden="1" x14ac:dyDescent="0.25">
      <c r="A991" t="s">
        <v>170</v>
      </c>
      <c r="B991" t="s">
        <v>30</v>
      </c>
      <c r="C991" t="s">
        <v>16</v>
      </c>
      <c r="D991">
        <v>36131</v>
      </c>
      <c r="E991">
        <v>111</v>
      </c>
      <c r="F991">
        <v>61</v>
      </c>
      <c r="G991">
        <v>6100</v>
      </c>
      <c r="H991">
        <v>131</v>
      </c>
      <c r="I991">
        <v>24584</v>
      </c>
      <c r="J991">
        <v>0</v>
      </c>
      <c r="K991">
        <v>0</v>
      </c>
      <c r="L991">
        <v>5</v>
      </c>
      <c r="M991">
        <v>0</v>
      </c>
      <c r="N991" t="s">
        <v>17</v>
      </c>
      <c r="O991" s="1">
        <f>result[[#This Row],[n_killed_mutants_cumulativa]]/result[[#This Row],[tot_mutants]]</f>
        <v>0</v>
      </c>
    </row>
    <row r="992" spans="1:15" hidden="1" x14ac:dyDescent="0.25">
      <c r="A992" t="s">
        <v>170</v>
      </c>
      <c r="B992" t="s">
        <v>31</v>
      </c>
      <c r="C992" t="s">
        <v>16</v>
      </c>
      <c r="D992">
        <v>42681</v>
      </c>
      <c r="E992">
        <v>100</v>
      </c>
      <c r="F992">
        <v>67</v>
      </c>
      <c r="G992">
        <v>7370</v>
      </c>
      <c r="H992">
        <v>122</v>
      </c>
      <c r="I992">
        <v>28366</v>
      </c>
      <c r="J992">
        <v>0</v>
      </c>
      <c r="K992">
        <v>0</v>
      </c>
      <c r="L992">
        <v>5</v>
      </c>
      <c r="M992">
        <v>0</v>
      </c>
      <c r="N992" t="s">
        <v>17</v>
      </c>
      <c r="O992" s="1">
        <f>result[[#This Row],[n_killed_mutants_cumulativa]]/result[[#This Row],[tot_mutants]]</f>
        <v>0</v>
      </c>
    </row>
    <row r="993" spans="1:16" hidden="1" x14ac:dyDescent="0.25">
      <c r="A993" t="s">
        <v>170</v>
      </c>
      <c r="B993" t="s">
        <v>36</v>
      </c>
      <c r="C993" t="s">
        <v>16</v>
      </c>
      <c r="D993">
        <v>47429</v>
      </c>
      <c r="E993">
        <v>114</v>
      </c>
      <c r="F993">
        <v>67</v>
      </c>
      <c r="G993">
        <v>8040</v>
      </c>
      <c r="H993">
        <v>119</v>
      </c>
      <c r="I993">
        <v>31668</v>
      </c>
      <c r="J993">
        <v>0</v>
      </c>
      <c r="K993">
        <v>0</v>
      </c>
      <c r="L993">
        <v>5</v>
      </c>
      <c r="M993">
        <v>0</v>
      </c>
      <c r="N993" t="s">
        <v>17</v>
      </c>
      <c r="O993" s="1">
        <f>result[[#This Row],[n_killed_mutants_cumulativa]]/result[[#This Row],[tot_mutants]]</f>
        <v>0</v>
      </c>
    </row>
    <row r="994" spans="1:16" hidden="1" x14ac:dyDescent="0.25">
      <c r="A994" t="s">
        <v>170</v>
      </c>
      <c r="B994" t="s">
        <v>40</v>
      </c>
      <c r="C994" t="s">
        <v>16</v>
      </c>
      <c r="D994">
        <v>66312</v>
      </c>
      <c r="E994">
        <v>134</v>
      </c>
      <c r="F994">
        <v>83</v>
      </c>
      <c r="G994">
        <v>10790</v>
      </c>
      <c r="H994">
        <v>160</v>
      </c>
      <c r="I994">
        <v>43948</v>
      </c>
      <c r="J994">
        <v>0</v>
      </c>
      <c r="K994">
        <v>0</v>
      </c>
      <c r="L994">
        <v>5</v>
      </c>
      <c r="M994">
        <v>0</v>
      </c>
      <c r="N994" t="s">
        <v>17</v>
      </c>
      <c r="O994" s="1">
        <f>result[[#This Row],[n_killed_mutants_cumulativa]]/result[[#This Row],[tot_mutants]]</f>
        <v>0</v>
      </c>
    </row>
    <row r="995" spans="1:16" hidden="1" x14ac:dyDescent="0.25">
      <c r="A995" t="s">
        <v>170</v>
      </c>
      <c r="B995" t="s">
        <v>47</v>
      </c>
      <c r="C995" t="s">
        <v>16</v>
      </c>
      <c r="D995">
        <v>81208</v>
      </c>
      <c r="E995">
        <v>158</v>
      </c>
      <c r="F995">
        <v>95</v>
      </c>
      <c r="G995">
        <v>13300</v>
      </c>
      <c r="H995">
        <v>210</v>
      </c>
      <c r="I995">
        <v>52615</v>
      </c>
      <c r="J995">
        <v>0</v>
      </c>
      <c r="K995">
        <v>0</v>
      </c>
      <c r="L995">
        <v>5</v>
      </c>
      <c r="M995">
        <v>0</v>
      </c>
      <c r="N995" t="s">
        <v>17</v>
      </c>
      <c r="O995" s="1">
        <f>result[[#This Row],[n_killed_mutants_cumulativa]]/result[[#This Row],[tot_mutants]]</f>
        <v>0</v>
      </c>
    </row>
    <row r="996" spans="1:16" hidden="1" x14ac:dyDescent="0.25">
      <c r="A996" t="s">
        <v>170</v>
      </c>
      <c r="B996" t="s">
        <v>48</v>
      </c>
      <c r="C996" t="s">
        <v>16</v>
      </c>
      <c r="D996">
        <v>94417</v>
      </c>
      <c r="E996">
        <v>176</v>
      </c>
      <c r="F996">
        <v>98</v>
      </c>
      <c r="G996">
        <v>14700</v>
      </c>
      <c r="H996">
        <v>204</v>
      </c>
      <c r="I996">
        <v>60151</v>
      </c>
      <c r="J996">
        <v>0</v>
      </c>
      <c r="K996">
        <v>0</v>
      </c>
      <c r="L996">
        <v>5</v>
      </c>
      <c r="M996">
        <v>0</v>
      </c>
      <c r="N996" t="s">
        <v>17</v>
      </c>
      <c r="O996" s="1">
        <f>result[[#This Row],[n_killed_mutants_cumulativa]]/result[[#This Row],[tot_mutants]]</f>
        <v>0</v>
      </c>
    </row>
    <row r="997" spans="1:16" hidden="1" x14ac:dyDescent="0.25">
      <c r="A997" t="s">
        <v>170</v>
      </c>
      <c r="B997" t="s">
        <v>49</v>
      </c>
      <c r="C997" t="s">
        <v>16</v>
      </c>
      <c r="D997">
        <v>113535</v>
      </c>
      <c r="E997">
        <v>198</v>
      </c>
      <c r="F997">
        <v>110</v>
      </c>
      <c r="G997">
        <v>17600</v>
      </c>
      <c r="H997">
        <v>199</v>
      </c>
      <c r="I997">
        <v>67033</v>
      </c>
      <c r="J997">
        <v>0</v>
      </c>
      <c r="K997">
        <v>0</v>
      </c>
      <c r="L997">
        <v>5</v>
      </c>
      <c r="M997">
        <v>0</v>
      </c>
      <c r="N997" t="s">
        <v>17</v>
      </c>
      <c r="O997" s="1">
        <f>result[[#This Row],[n_killed_mutants_cumulativa]]/result[[#This Row],[tot_mutants]]</f>
        <v>0</v>
      </c>
    </row>
    <row r="998" spans="1:16" hidden="1" x14ac:dyDescent="0.25">
      <c r="A998" t="s">
        <v>170</v>
      </c>
      <c r="B998" t="s">
        <v>22</v>
      </c>
      <c r="C998" t="s">
        <v>16</v>
      </c>
      <c r="D998">
        <v>600421</v>
      </c>
      <c r="E998">
        <v>1444</v>
      </c>
      <c r="F998">
        <v>868</v>
      </c>
      <c r="G998">
        <v>95840</v>
      </c>
      <c r="H998">
        <v>1680</v>
      </c>
      <c r="I998">
        <v>379635</v>
      </c>
      <c r="J998">
        <v>0</v>
      </c>
      <c r="K998">
        <v>0</v>
      </c>
      <c r="L998">
        <v>5</v>
      </c>
      <c r="M998">
        <v>0</v>
      </c>
      <c r="N998" t="s">
        <v>17</v>
      </c>
      <c r="O998" s="1">
        <f>result[[#This Row],[n_killed_mutants_cumulativa]]/result[[#This Row],[tot_mutants]]</f>
        <v>0</v>
      </c>
      <c r="P998" s="9" t="s">
        <v>346</v>
      </c>
    </row>
    <row r="999" spans="1:16" hidden="1" x14ac:dyDescent="0.25">
      <c r="A999" t="s">
        <v>171</v>
      </c>
      <c r="B999" t="s">
        <v>15</v>
      </c>
      <c r="C999" t="s">
        <v>16</v>
      </c>
      <c r="D999">
        <v>174</v>
      </c>
      <c r="E999">
        <v>53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6</v>
      </c>
      <c r="M999">
        <v>0</v>
      </c>
      <c r="N999" t="s">
        <v>17</v>
      </c>
      <c r="O999" s="1">
        <f>result[[#This Row],[n_killed_mutants_cumulativa]]/result[[#This Row],[tot_mutants]]</f>
        <v>0</v>
      </c>
    </row>
    <row r="1000" spans="1:16" hidden="1" x14ac:dyDescent="0.25">
      <c r="A1000" t="s">
        <v>171</v>
      </c>
      <c r="B1000" t="s">
        <v>18</v>
      </c>
      <c r="C1000" t="s">
        <v>16</v>
      </c>
      <c r="D1000">
        <v>59</v>
      </c>
      <c r="E1000">
        <v>27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6</v>
      </c>
      <c r="M1000">
        <v>0</v>
      </c>
      <c r="N1000" t="s">
        <v>17</v>
      </c>
      <c r="O1000" s="1">
        <f>result[[#This Row],[n_killed_mutants_cumulativa]]/result[[#This Row],[tot_mutants]]</f>
        <v>0</v>
      </c>
    </row>
    <row r="1001" spans="1:16" hidden="1" x14ac:dyDescent="0.25">
      <c r="A1001" t="s">
        <v>171</v>
      </c>
      <c r="B1001" t="s">
        <v>19</v>
      </c>
      <c r="C1001" t="s">
        <v>16</v>
      </c>
      <c r="D1001">
        <v>58</v>
      </c>
      <c r="E1001">
        <v>34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6</v>
      </c>
      <c r="M1001">
        <v>0</v>
      </c>
      <c r="N1001" t="s">
        <v>17</v>
      </c>
      <c r="O1001" s="1">
        <f>result[[#This Row],[n_killed_mutants_cumulativa]]/result[[#This Row],[tot_mutants]]</f>
        <v>0</v>
      </c>
    </row>
    <row r="1002" spans="1:16" hidden="1" x14ac:dyDescent="0.25">
      <c r="A1002" t="s">
        <v>171</v>
      </c>
      <c r="B1002" t="s">
        <v>20</v>
      </c>
      <c r="C1002" t="s">
        <v>16</v>
      </c>
      <c r="D1002">
        <v>72</v>
      </c>
      <c r="E1002">
        <v>41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6</v>
      </c>
      <c r="M1002">
        <v>0</v>
      </c>
      <c r="N1002" t="s">
        <v>17</v>
      </c>
      <c r="O1002" s="1">
        <f>result[[#This Row],[n_killed_mutants_cumulativa]]/result[[#This Row],[tot_mutants]]</f>
        <v>0</v>
      </c>
    </row>
    <row r="1003" spans="1:16" hidden="1" x14ac:dyDescent="0.25">
      <c r="A1003" t="s">
        <v>171</v>
      </c>
      <c r="B1003" t="s">
        <v>21</v>
      </c>
      <c r="C1003" t="s">
        <v>16</v>
      </c>
      <c r="D1003">
        <v>67</v>
      </c>
      <c r="E1003">
        <v>45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6</v>
      </c>
      <c r="M1003">
        <v>0</v>
      </c>
      <c r="N1003" t="s">
        <v>17</v>
      </c>
      <c r="O1003" s="1">
        <f>result[[#This Row],[n_killed_mutants_cumulativa]]/result[[#This Row],[tot_mutants]]</f>
        <v>0</v>
      </c>
    </row>
    <row r="1004" spans="1:16" hidden="1" x14ac:dyDescent="0.25">
      <c r="A1004" t="s">
        <v>171</v>
      </c>
      <c r="B1004" t="s">
        <v>22</v>
      </c>
      <c r="C1004" t="s">
        <v>16</v>
      </c>
      <c r="D1004">
        <v>430</v>
      </c>
      <c r="E1004">
        <v>200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6</v>
      </c>
      <c r="M1004">
        <v>0</v>
      </c>
      <c r="N1004" t="s">
        <v>17</v>
      </c>
      <c r="O1004" s="1">
        <f>result[[#This Row],[n_killed_mutants_cumulativa]]/result[[#This Row],[tot_mutants]]</f>
        <v>0</v>
      </c>
    </row>
    <row r="1005" spans="1:16" hidden="1" x14ac:dyDescent="0.25">
      <c r="A1005" t="s">
        <v>172</v>
      </c>
      <c r="B1005" t="s">
        <v>15</v>
      </c>
      <c r="C1005" t="s">
        <v>16</v>
      </c>
      <c r="D1005">
        <v>1757</v>
      </c>
      <c r="E1005">
        <v>125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10</v>
      </c>
      <c r="L1005">
        <v>4</v>
      </c>
      <c r="M1005">
        <v>0</v>
      </c>
      <c r="N1005" t="s">
        <v>17</v>
      </c>
      <c r="O1005" s="1">
        <f>result[[#This Row],[n_killed_mutants_cumulativa]]/result[[#This Row],[tot_mutants]]</f>
        <v>0</v>
      </c>
    </row>
    <row r="1006" spans="1:16" hidden="1" x14ac:dyDescent="0.25">
      <c r="A1006" t="s">
        <v>172</v>
      </c>
      <c r="B1006" t="s">
        <v>18</v>
      </c>
      <c r="C1006" t="s">
        <v>16</v>
      </c>
      <c r="D1006">
        <v>1640</v>
      </c>
      <c r="E1006">
        <v>220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20</v>
      </c>
      <c r="L1006">
        <v>4</v>
      </c>
      <c r="M1006">
        <v>0</v>
      </c>
      <c r="N1006" t="s">
        <v>17</v>
      </c>
      <c r="O1006" s="1">
        <f>result[[#This Row],[n_killed_mutants_cumulativa]]/result[[#This Row],[tot_mutants]]</f>
        <v>0</v>
      </c>
    </row>
    <row r="1007" spans="1:16" hidden="1" x14ac:dyDescent="0.25">
      <c r="A1007" t="s">
        <v>172</v>
      </c>
      <c r="B1007" t="s">
        <v>19</v>
      </c>
      <c r="C1007" t="s">
        <v>16</v>
      </c>
      <c r="D1007">
        <v>1888</v>
      </c>
      <c r="E1007">
        <v>253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30</v>
      </c>
      <c r="L1007">
        <v>4</v>
      </c>
      <c r="M1007">
        <v>0</v>
      </c>
      <c r="N1007" t="s">
        <v>17</v>
      </c>
      <c r="O1007" s="1">
        <f>result[[#This Row],[n_killed_mutants_cumulativa]]/result[[#This Row],[tot_mutants]]</f>
        <v>0</v>
      </c>
    </row>
    <row r="1008" spans="1:16" hidden="1" x14ac:dyDescent="0.25">
      <c r="A1008" t="s">
        <v>172</v>
      </c>
      <c r="B1008" t="s">
        <v>20</v>
      </c>
      <c r="C1008" t="s">
        <v>16</v>
      </c>
      <c r="D1008">
        <v>2381</v>
      </c>
      <c r="E1008">
        <v>230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40</v>
      </c>
      <c r="L1008">
        <v>4</v>
      </c>
      <c r="M1008">
        <v>0</v>
      </c>
      <c r="N1008" t="s">
        <v>17</v>
      </c>
      <c r="O1008" s="1">
        <f>result[[#This Row],[n_killed_mutants_cumulativa]]/result[[#This Row],[tot_mutants]]</f>
        <v>0</v>
      </c>
    </row>
    <row r="1009" spans="1:15" hidden="1" x14ac:dyDescent="0.25">
      <c r="A1009" t="s">
        <v>172</v>
      </c>
      <c r="B1009" t="s">
        <v>21</v>
      </c>
      <c r="C1009" t="s">
        <v>16</v>
      </c>
      <c r="D1009">
        <v>3261</v>
      </c>
      <c r="E1009">
        <v>434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50</v>
      </c>
      <c r="L1009">
        <v>4</v>
      </c>
      <c r="M1009">
        <v>0</v>
      </c>
      <c r="N1009" t="s">
        <v>17</v>
      </c>
      <c r="O1009" s="1">
        <f>result[[#This Row],[n_killed_mutants_cumulativa]]/result[[#This Row],[tot_mutants]]</f>
        <v>0</v>
      </c>
    </row>
    <row r="1010" spans="1:15" hidden="1" x14ac:dyDescent="0.25">
      <c r="A1010" t="s">
        <v>172</v>
      </c>
      <c r="B1010" t="s">
        <v>22</v>
      </c>
      <c r="C1010" t="s">
        <v>16</v>
      </c>
      <c r="D1010">
        <v>10927</v>
      </c>
      <c r="E1010">
        <v>1262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150</v>
      </c>
      <c r="L1010">
        <v>4</v>
      </c>
      <c r="M1010">
        <v>0</v>
      </c>
      <c r="N1010" t="s">
        <v>17</v>
      </c>
      <c r="O1010" s="1">
        <f>result[[#This Row],[n_killed_mutants_cumulativa]]/result[[#This Row],[tot_mutants]]</f>
        <v>0</v>
      </c>
    </row>
    <row r="1011" spans="1:15" hidden="1" x14ac:dyDescent="0.25">
      <c r="A1011" t="s">
        <v>173</v>
      </c>
      <c r="B1011" t="s">
        <v>15</v>
      </c>
      <c r="C1011" t="s">
        <v>16</v>
      </c>
      <c r="D1011">
        <v>3744</v>
      </c>
      <c r="E1011">
        <v>128</v>
      </c>
      <c r="F1011">
        <v>10</v>
      </c>
      <c r="G1011">
        <v>100</v>
      </c>
      <c r="H1011">
        <v>100</v>
      </c>
      <c r="I1011">
        <v>110</v>
      </c>
      <c r="J1011">
        <v>0</v>
      </c>
      <c r="K1011">
        <v>0</v>
      </c>
      <c r="L1011">
        <v>5</v>
      </c>
      <c r="M1011">
        <v>0</v>
      </c>
      <c r="N1011" t="s">
        <v>17</v>
      </c>
      <c r="O1011" s="1">
        <f>result[[#This Row],[n_killed_mutants_cumulativa]]/result[[#This Row],[tot_mutants]]</f>
        <v>0</v>
      </c>
    </row>
    <row r="1012" spans="1:15" hidden="1" x14ac:dyDescent="0.25">
      <c r="A1012" t="s">
        <v>173</v>
      </c>
      <c r="B1012" t="s">
        <v>18</v>
      </c>
      <c r="C1012" t="s">
        <v>16</v>
      </c>
      <c r="D1012">
        <v>3507</v>
      </c>
      <c r="E1012">
        <v>47</v>
      </c>
      <c r="F1012">
        <v>20</v>
      </c>
      <c r="G1012">
        <v>400</v>
      </c>
      <c r="H1012">
        <v>400</v>
      </c>
      <c r="I1012">
        <v>420</v>
      </c>
      <c r="J1012">
        <v>0</v>
      </c>
      <c r="K1012">
        <v>0</v>
      </c>
      <c r="L1012">
        <v>5</v>
      </c>
      <c r="M1012">
        <v>0</v>
      </c>
      <c r="N1012" t="s">
        <v>17</v>
      </c>
      <c r="O1012" s="1">
        <f>result[[#This Row],[n_killed_mutants_cumulativa]]/result[[#This Row],[tot_mutants]]</f>
        <v>0</v>
      </c>
    </row>
    <row r="1013" spans="1:15" hidden="1" x14ac:dyDescent="0.25">
      <c r="A1013" t="s">
        <v>173</v>
      </c>
      <c r="B1013" t="s">
        <v>19</v>
      </c>
      <c r="C1013" t="s">
        <v>16</v>
      </c>
      <c r="D1013">
        <v>5425</v>
      </c>
      <c r="E1013">
        <v>78</v>
      </c>
      <c r="F1013">
        <v>30</v>
      </c>
      <c r="G1013">
        <v>900</v>
      </c>
      <c r="H1013">
        <v>900</v>
      </c>
      <c r="I1013">
        <v>930</v>
      </c>
      <c r="J1013">
        <v>0</v>
      </c>
      <c r="K1013">
        <v>0</v>
      </c>
      <c r="L1013">
        <v>5</v>
      </c>
      <c r="M1013">
        <v>0</v>
      </c>
      <c r="N1013" t="s">
        <v>17</v>
      </c>
      <c r="O1013" s="1">
        <f>result[[#This Row],[n_killed_mutants_cumulativa]]/result[[#This Row],[tot_mutants]]</f>
        <v>0</v>
      </c>
    </row>
    <row r="1014" spans="1:15" hidden="1" x14ac:dyDescent="0.25">
      <c r="A1014" t="s">
        <v>173</v>
      </c>
      <c r="B1014" t="s">
        <v>20</v>
      </c>
      <c r="C1014" t="s">
        <v>16</v>
      </c>
      <c r="D1014">
        <v>7303</v>
      </c>
      <c r="E1014">
        <v>93</v>
      </c>
      <c r="F1014">
        <v>40</v>
      </c>
      <c r="G1014">
        <v>1600</v>
      </c>
      <c r="H1014">
        <v>1600</v>
      </c>
      <c r="I1014">
        <v>1640</v>
      </c>
      <c r="J1014">
        <v>0</v>
      </c>
      <c r="K1014">
        <v>0</v>
      </c>
      <c r="L1014">
        <v>5</v>
      </c>
      <c r="M1014">
        <v>0</v>
      </c>
      <c r="N1014" t="s">
        <v>17</v>
      </c>
      <c r="O1014" s="1">
        <f>result[[#This Row],[n_killed_mutants_cumulativa]]/result[[#This Row],[tot_mutants]]</f>
        <v>0</v>
      </c>
    </row>
    <row r="1015" spans="1:15" hidden="1" x14ac:dyDescent="0.25">
      <c r="A1015" t="s">
        <v>173</v>
      </c>
      <c r="B1015" t="s">
        <v>21</v>
      </c>
      <c r="C1015" t="s">
        <v>16</v>
      </c>
      <c r="D1015">
        <v>10043</v>
      </c>
      <c r="E1015">
        <v>175</v>
      </c>
      <c r="F1015">
        <v>50</v>
      </c>
      <c r="G1015">
        <v>2500</v>
      </c>
      <c r="H1015">
        <v>2500</v>
      </c>
      <c r="I1015">
        <v>2550</v>
      </c>
      <c r="J1015">
        <v>0</v>
      </c>
      <c r="K1015">
        <v>0</v>
      </c>
      <c r="L1015">
        <v>5</v>
      </c>
      <c r="M1015">
        <v>0</v>
      </c>
      <c r="N1015" t="s">
        <v>17</v>
      </c>
      <c r="O1015" s="1">
        <f>result[[#This Row],[n_killed_mutants_cumulativa]]/result[[#This Row],[tot_mutants]]</f>
        <v>0</v>
      </c>
    </row>
    <row r="1016" spans="1:15" hidden="1" x14ac:dyDescent="0.25">
      <c r="A1016" t="s">
        <v>173</v>
      </c>
      <c r="B1016" t="s">
        <v>24</v>
      </c>
      <c r="C1016" t="s">
        <v>16</v>
      </c>
      <c r="D1016">
        <v>13425</v>
      </c>
      <c r="E1016">
        <v>174</v>
      </c>
      <c r="F1016">
        <v>60</v>
      </c>
      <c r="G1016">
        <v>3600</v>
      </c>
      <c r="H1016">
        <v>3600</v>
      </c>
      <c r="I1016">
        <v>3660</v>
      </c>
      <c r="J1016">
        <v>0</v>
      </c>
      <c r="K1016">
        <v>0</v>
      </c>
      <c r="L1016">
        <v>5</v>
      </c>
      <c r="M1016">
        <v>0</v>
      </c>
      <c r="N1016" t="s">
        <v>17</v>
      </c>
      <c r="O1016" s="1">
        <f>result[[#This Row],[n_killed_mutants_cumulativa]]/result[[#This Row],[tot_mutants]]</f>
        <v>0</v>
      </c>
    </row>
    <row r="1017" spans="1:15" hidden="1" x14ac:dyDescent="0.25">
      <c r="A1017" t="s">
        <v>173</v>
      </c>
      <c r="B1017" t="s">
        <v>25</v>
      </c>
      <c r="C1017" t="s">
        <v>16</v>
      </c>
      <c r="D1017">
        <v>17764</v>
      </c>
      <c r="E1017">
        <v>235</v>
      </c>
      <c r="F1017">
        <v>70</v>
      </c>
      <c r="G1017">
        <v>4900</v>
      </c>
      <c r="H1017">
        <v>4900</v>
      </c>
      <c r="I1017">
        <v>4970</v>
      </c>
      <c r="J1017">
        <v>0</v>
      </c>
      <c r="K1017">
        <v>0</v>
      </c>
      <c r="L1017">
        <v>5</v>
      </c>
      <c r="M1017">
        <v>0</v>
      </c>
      <c r="N1017" t="s">
        <v>17</v>
      </c>
      <c r="O1017" s="1">
        <f>result[[#This Row],[n_killed_mutants_cumulativa]]/result[[#This Row],[tot_mutants]]</f>
        <v>0</v>
      </c>
    </row>
    <row r="1018" spans="1:15" hidden="1" x14ac:dyDescent="0.25">
      <c r="A1018" t="s">
        <v>173</v>
      </c>
      <c r="B1018" t="s">
        <v>26</v>
      </c>
      <c r="C1018" t="s">
        <v>16</v>
      </c>
      <c r="D1018">
        <v>22630</v>
      </c>
      <c r="E1018">
        <v>308</v>
      </c>
      <c r="F1018">
        <v>80</v>
      </c>
      <c r="G1018">
        <v>6400</v>
      </c>
      <c r="H1018">
        <v>6400</v>
      </c>
      <c r="I1018">
        <v>6480</v>
      </c>
      <c r="J1018">
        <v>0</v>
      </c>
      <c r="K1018">
        <v>0</v>
      </c>
      <c r="L1018">
        <v>5</v>
      </c>
      <c r="M1018">
        <v>0</v>
      </c>
      <c r="N1018" t="s">
        <v>17</v>
      </c>
      <c r="O1018" s="1">
        <f>result[[#This Row],[n_killed_mutants_cumulativa]]/result[[#This Row],[tot_mutants]]</f>
        <v>0</v>
      </c>
    </row>
    <row r="1019" spans="1:15" hidden="1" x14ac:dyDescent="0.25">
      <c r="A1019" t="s">
        <v>173</v>
      </c>
      <c r="B1019" t="s">
        <v>27</v>
      </c>
      <c r="C1019" t="s">
        <v>16</v>
      </c>
      <c r="D1019">
        <v>28196</v>
      </c>
      <c r="E1019">
        <v>384</v>
      </c>
      <c r="F1019">
        <v>90</v>
      </c>
      <c r="G1019">
        <v>8100</v>
      </c>
      <c r="H1019">
        <v>8100</v>
      </c>
      <c r="I1019">
        <v>8190</v>
      </c>
      <c r="J1019">
        <v>0</v>
      </c>
      <c r="K1019">
        <v>0</v>
      </c>
      <c r="L1019">
        <v>5</v>
      </c>
      <c r="M1019">
        <v>0</v>
      </c>
      <c r="N1019" t="s">
        <v>17</v>
      </c>
      <c r="O1019" s="1">
        <f>result[[#This Row],[n_killed_mutants_cumulativa]]/result[[#This Row],[tot_mutants]]</f>
        <v>0</v>
      </c>
    </row>
    <row r="1020" spans="1:15" hidden="1" x14ac:dyDescent="0.25">
      <c r="A1020" t="s">
        <v>173</v>
      </c>
      <c r="B1020" t="s">
        <v>30</v>
      </c>
      <c r="C1020" t="s">
        <v>16</v>
      </c>
      <c r="D1020">
        <v>34817</v>
      </c>
      <c r="E1020">
        <v>470</v>
      </c>
      <c r="F1020">
        <v>100</v>
      </c>
      <c r="G1020">
        <v>10000</v>
      </c>
      <c r="H1020">
        <v>10000</v>
      </c>
      <c r="I1020">
        <v>10100</v>
      </c>
      <c r="J1020">
        <v>0</v>
      </c>
      <c r="K1020">
        <v>0</v>
      </c>
      <c r="L1020">
        <v>5</v>
      </c>
      <c r="M1020">
        <v>0</v>
      </c>
      <c r="N1020" t="s">
        <v>17</v>
      </c>
      <c r="O1020" s="1">
        <f>result[[#This Row],[n_killed_mutants_cumulativa]]/result[[#This Row],[tot_mutants]]</f>
        <v>0</v>
      </c>
    </row>
    <row r="1021" spans="1:15" hidden="1" x14ac:dyDescent="0.25">
      <c r="A1021" t="s">
        <v>173</v>
      </c>
      <c r="B1021" t="s">
        <v>31</v>
      </c>
      <c r="C1021" t="s">
        <v>16</v>
      </c>
      <c r="D1021">
        <v>42600</v>
      </c>
      <c r="E1021">
        <v>587</v>
      </c>
      <c r="F1021">
        <v>110</v>
      </c>
      <c r="G1021">
        <v>12100</v>
      </c>
      <c r="H1021">
        <v>12100</v>
      </c>
      <c r="I1021">
        <v>12210</v>
      </c>
      <c r="J1021">
        <v>0</v>
      </c>
      <c r="K1021">
        <v>0</v>
      </c>
      <c r="L1021">
        <v>5</v>
      </c>
      <c r="M1021">
        <v>0</v>
      </c>
      <c r="N1021" t="s">
        <v>17</v>
      </c>
      <c r="O1021" s="1">
        <f>result[[#This Row],[n_killed_mutants_cumulativa]]/result[[#This Row],[tot_mutants]]</f>
        <v>0</v>
      </c>
    </row>
    <row r="1022" spans="1:15" hidden="1" x14ac:dyDescent="0.25">
      <c r="A1022" t="s">
        <v>173</v>
      </c>
      <c r="B1022" t="s">
        <v>36</v>
      </c>
      <c r="C1022" t="s">
        <v>16</v>
      </c>
      <c r="D1022">
        <v>51294</v>
      </c>
      <c r="E1022">
        <v>681</v>
      </c>
      <c r="F1022">
        <v>120</v>
      </c>
      <c r="G1022">
        <v>14400</v>
      </c>
      <c r="H1022">
        <v>14400</v>
      </c>
      <c r="I1022">
        <v>14520</v>
      </c>
      <c r="J1022">
        <v>0</v>
      </c>
      <c r="K1022">
        <v>0</v>
      </c>
      <c r="L1022">
        <v>5</v>
      </c>
      <c r="M1022">
        <v>0</v>
      </c>
      <c r="N1022" t="s">
        <v>17</v>
      </c>
      <c r="O1022" s="1">
        <f>result[[#This Row],[n_killed_mutants_cumulativa]]/result[[#This Row],[tot_mutants]]</f>
        <v>0</v>
      </c>
    </row>
    <row r="1023" spans="1:15" hidden="1" x14ac:dyDescent="0.25">
      <c r="A1023" t="s">
        <v>173</v>
      </c>
      <c r="B1023" t="s">
        <v>40</v>
      </c>
      <c r="C1023" t="s">
        <v>16</v>
      </c>
      <c r="D1023">
        <v>62323</v>
      </c>
      <c r="E1023">
        <v>783</v>
      </c>
      <c r="F1023">
        <v>130</v>
      </c>
      <c r="G1023">
        <v>16900</v>
      </c>
      <c r="H1023">
        <v>16900</v>
      </c>
      <c r="I1023">
        <v>17030</v>
      </c>
      <c r="J1023">
        <v>0</v>
      </c>
      <c r="K1023">
        <v>0</v>
      </c>
      <c r="L1023">
        <v>5</v>
      </c>
      <c r="M1023">
        <v>0</v>
      </c>
      <c r="N1023" t="s">
        <v>17</v>
      </c>
      <c r="O1023" s="1">
        <f>result[[#This Row],[n_killed_mutants_cumulativa]]/result[[#This Row],[tot_mutants]]</f>
        <v>0</v>
      </c>
    </row>
    <row r="1024" spans="1:15" hidden="1" x14ac:dyDescent="0.25">
      <c r="A1024" t="s">
        <v>173</v>
      </c>
      <c r="B1024" t="s">
        <v>47</v>
      </c>
      <c r="C1024" t="s">
        <v>16</v>
      </c>
      <c r="D1024">
        <v>73565</v>
      </c>
      <c r="E1024">
        <v>914</v>
      </c>
      <c r="F1024">
        <v>140</v>
      </c>
      <c r="G1024">
        <v>19600</v>
      </c>
      <c r="H1024">
        <v>19600</v>
      </c>
      <c r="I1024">
        <v>19740</v>
      </c>
      <c r="J1024">
        <v>0</v>
      </c>
      <c r="K1024">
        <v>0</v>
      </c>
      <c r="L1024">
        <v>5</v>
      </c>
      <c r="M1024">
        <v>0</v>
      </c>
      <c r="N1024" t="s">
        <v>17</v>
      </c>
      <c r="O1024" s="1">
        <f>result[[#This Row],[n_killed_mutants_cumulativa]]/result[[#This Row],[tot_mutants]]</f>
        <v>0</v>
      </c>
    </row>
    <row r="1025" spans="1:16" hidden="1" x14ac:dyDescent="0.25">
      <c r="A1025" t="s">
        <v>173</v>
      </c>
      <c r="B1025" t="s">
        <v>48</v>
      </c>
      <c r="C1025" t="s">
        <v>16</v>
      </c>
      <c r="D1025">
        <v>85620</v>
      </c>
      <c r="E1025">
        <v>1043</v>
      </c>
      <c r="F1025">
        <v>150</v>
      </c>
      <c r="G1025">
        <v>22500</v>
      </c>
      <c r="H1025">
        <v>22500</v>
      </c>
      <c r="I1025">
        <v>22650</v>
      </c>
      <c r="J1025">
        <v>0</v>
      </c>
      <c r="K1025">
        <v>0</v>
      </c>
      <c r="L1025">
        <v>5</v>
      </c>
      <c r="M1025">
        <v>0</v>
      </c>
      <c r="N1025" t="s">
        <v>17</v>
      </c>
      <c r="O1025" s="1">
        <f>result[[#This Row],[n_killed_mutants_cumulativa]]/result[[#This Row],[tot_mutants]]</f>
        <v>0</v>
      </c>
    </row>
    <row r="1026" spans="1:16" hidden="1" x14ac:dyDescent="0.25">
      <c r="A1026" t="s">
        <v>173</v>
      </c>
      <c r="B1026" t="s">
        <v>49</v>
      </c>
      <c r="C1026" t="s">
        <v>16</v>
      </c>
      <c r="D1026">
        <v>99680</v>
      </c>
      <c r="E1026">
        <v>1183</v>
      </c>
      <c r="F1026">
        <v>160</v>
      </c>
      <c r="G1026">
        <v>25600</v>
      </c>
      <c r="H1026">
        <v>25600</v>
      </c>
      <c r="I1026">
        <v>25760</v>
      </c>
      <c r="J1026">
        <v>0</v>
      </c>
      <c r="K1026">
        <v>0</v>
      </c>
      <c r="L1026">
        <v>5</v>
      </c>
      <c r="M1026">
        <v>0</v>
      </c>
      <c r="N1026" t="s">
        <v>17</v>
      </c>
      <c r="O1026" s="1">
        <f>result[[#This Row],[n_killed_mutants_cumulativa]]/result[[#This Row],[tot_mutants]]</f>
        <v>0</v>
      </c>
    </row>
    <row r="1027" spans="1:16" hidden="1" x14ac:dyDescent="0.25">
      <c r="A1027" t="s">
        <v>173</v>
      </c>
      <c r="B1027" t="s">
        <v>50</v>
      </c>
      <c r="C1027" t="s">
        <v>16</v>
      </c>
      <c r="D1027">
        <v>114544</v>
      </c>
      <c r="E1027">
        <v>1354</v>
      </c>
      <c r="F1027">
        <v>170</v>
      </c>
      <c r="G1027">
        <v>28900</v>
      </c>
      <c r="H1027">
        <v>28900</v>
      </c>
      <c r="I1027">
        <v>29070</v>
      </c>
      <c r="J1027">
        <v>0</v>
      </c>
      <c r="K1027">
        <v>0</v>
      </c>
      <c r="L1027">
        <v>5</v>
      </c>
      <c r="M1027">
        <v>0</v>
      </c>
      <c r="N1027" t="s">
        <v>17</v>
      </c>
      <c r="O1027" s="1">
        <f>result[[#This Row],[n_killed_mutants_cumulativa]]/result[[#This Row],[tot_mutants]]</f>
        <v>0</v>
      </c>
    </row>
    <row r="1028" spans="1:16" hidden="1" x14ac:dyDescent="0.25">
      <c r="A1028" t="s">
        <v>173</v>
      </c>
      <c r="B1028" t="s">
        <v>22</v>
      </c>
      <c r="C1028" t="s">
        <v>16</v>
      </c>
      <c r="D1028">
        <v>676480</v>
      </c>
      <c r="E1028">
        <v>8637</v>
      </c>
      <c r="F1028">
        <v>1530</v>
      </c>
      <c r="G1028">
        <v>178500</v>
      </c>
      <c r="H1028">
        <v>178500</v>
      </c>
      <c r="I1028">
        <v>180030</v>
      </c>
      <c r="J1028">
        <v>0</v>
      </c>
      <c r="K1028">
        <v>0</v>
      </c>
      <c r="L1028">
        <v>5</v>
      </c>
      <c r="M1028">
        <v>0</v>
      </c>
      <c r="N1028" t="s">
        <v>17</v>
      </c>
      <c r="O1028" s="1">
        <f>result[[#This Row],[n_killed_mutants_cumulativa]]/result[[#This Row],[tot_mutants]]</f>
        <v>0</v>
      </c>
      <c r="P1028" s="9" t="s">
        <v>355</v>
      </c>
    </row>
    <row r="1029" spans="1:16" hidden="1" x14ac:dyDescent="0.25">
      <c r="A1029" t="s">
        <v>174</v>
      </c>
      <c r="B1029" t="s">
        <v>15</v>
      </c>
      <c r="C1029" t="s">
        <v>16</v>
      </c>
      <c r="D1029">
        <v>4254</v>
      </c>
      <c r="E1029">
        <v>121</v>
      </c>
      <c r="F1029">
        <v>0</v>
      </c>
      <c r="G1029">
        <v>0</v>
      </c>
      <c r="H1029">
        <v>0</v>
      </c>
      <c r="I1029">
        <v>0</v>
      </c>
      <c r="J1029">
        <v>4</v>
      </c>
      <c r="K1029">
        <v>0</v>
      </c>
      <c r="L1029">
        <v>13</v>
      </c>
      <c r="M1029">
        <v>1</v>
      </c>
      <c r="N1029" t="s">
        <v>175</v>
      </c>
      <c r="O1029" s="1">
        <f>result[[#This Row],[n_killed_mutants_cumulativa]]/result[[#This Row],[tot_mutants]]</f>
        <v>7.6923076923076927E-2</v>
      </c>
    </row>
    <row r="1030" spans="1:16" hidden="1" x14ac:dyDescent="0.25">
      <c r="A1030" t="s">
        <v>174</v>
      </c>
      <c r="B1030" t="s">
        <v>18</v>
      </c>
      <c r="C1030" t="s">
        <v>16</v>
      </c>
      <c r="D1030">
        <v>2974</v>
      </c>
      <c r="E1030">
        <v>133</v>
      </c>
      <c r="F1030">
        <v>0</v>
      </c>
      <c r="G1030">
        <v>0</v>
      </c>
      <c r="H1030">
        <v>0</v>
      </c>
      <c r="I1030">
        <v>0</v>
      </c>
      <c r="J1030">
        <v>12</v>
      </c>
      <c r="K1030">
        <v>0</v>
      </c>
      <c r="L1030">
        <v>13</v>
      </c>
      <c r="M1030">
        <v>1</v>
      </c>
      <c r="N1030" t="s">
        <v>175</v>
      </c>
      <c r="O1030" s="1">
        <f>result[[#This Row],[n_killed_mutants_cumulativa]]/result[[#This Row],[tot_mutants]]</f>
        <v>7.6923076923076927E-2</v>
      </c>
    </row>
    <row r="1031" spans="1:16" hidden="1" x14ac:dyDescent="0.25">
      <c r="A1031" t="s">
        <v>174</v>
      </c>
      <c r="B1031" t="s">
        <v>19</v>
      </c>
      <c r="C1031" t="s">
        <v>16</v>
      </c>
      <c r="D1031">
        <v>3847</v>
      </c>
      <c r="E1031">
        <v>57</v>
      </c>
      <c r="F1031">
        <v>0</v>
      </c>
      <c r="G1031">
        <v>0</v>
      </c>
      <c r="H1031">
        <v>0</v>
      </c>
      <c r="I1031">
        <v>0</v>
      </c>
      <c r="J1031">
        <v>17</v>
      </c>
      <c r="K1031">
        <v>0</v>
      </c>
      <c r="L1031">
        <v>13</v>
      </c>
      <c r="M1031">
        <v>1</v>
      </c>
      <c r="N1031" t="s">
        <v>175</v>
      </c>
      <c r="O1031" s="1">
        <f>result[[#This Row],[n_killed_mutants_cumulativa]]/result[[#This Row],[tot_mutants]]</f>
        <v>7.6923076923076927E-2</v>
      </c>
    </row>
    <row r="1032" spans="1:16" hidden="1" x14ac:dyDescent="0.25">
      <c r="A1032" t="s">
        <v>174</v>
      </c>
      <c r="B1032" t="s">
        <v>20</v>
      </c>
      <c r="C1032" t="s">
        <v>16</v>
      </c>
      <c r="D1032">
        <v>5416</v>
      </c>
      <c r="E1032">
        <v>69</v>
      </c>
      <c r="F1032">
        <v>0</v>
      </c>
      <c r="G1032">
        <v>0</v>
      </c>
      <c r="H1032">
        <v>0</v>
      </c>
      <c r="I1032">
        <v>0</v>
      </c>
      <c r="J1032">
        <v>19</v>
      </c>
      <c r="K1032">
        <v>0</v>
      </c>
      <c r="L1032">
        <v>13</v>
      </c>
      <c r="M1032">
        <v>1</v>
      </c>
      <c r="N1032" t="s">
        <v>175</v>
      </c>
      <c r="O1032" s="1">
        <f>result[[#This Row],[n_killed_mutants_cumulativa]]/result[[#This Row],[tot_mutants]]</f>
        <v>7.6923076923076927E-2</v>
      </c>
    </row>
    <row r="1033" spans="1:16" hidden="1" x14ac:dyDescent="0.25">
      <c r="A1033" t="s">
        <v>174</v>
      </c>
      <c r="B1033" t="s">
        <v>21</v>
      </c>
      <c r="C1033" t="s">
        <v>16</v>
      </c>
      <c r="D1033">
        <v>5890</v>
      </c>
      <c r="E1033">
        <v>82</v>
      </c>
      <c r="F1033">
        <v>0</v>
      </c>
      <c r="G1033">
        <v>0</v>
      </c>
      <c r="H1033">
        <v>0</v>
      </c>
      <c r="I1033">
        <v>0</v>
      </c>
      <c r="J1033">
        <v>27</v>
      </c>
      <c r="K1033">
        <v>0</v>
      </c>
      <c r="L1033">
        <v>13</v>
      </c>
      <c r="M1033">
        <v>1</v>
      </c>
      <c r="N1033" t="s">
        <v>175</v>
      </c>
      <c r="O1033" s="1">
        <f>result[[#This Row],[n_killed_mutants_cumulativa]]/result[[#This Row],[tot_mutants]]</f>
        <v>7.6923076923076927E-2</v>
      </c>
    </row>
    <row r="1034" spans="1:16" hidden="1" x14ac:dyDescent="0.25">
      <c r="A1034" t="s">
        <v>174</v>
      </c>
      <c r="B1034" t="s">
        <v>24</v>
      </c>
      <c r="C1034" t="s">
        <v>16</v>
      </c>
      <c r="D1034">
        <v>6911</v>
      </c>
      <c r="E1034">
        <v>89</v>
      </c>
      <c r="F1034">
        <v>0</v>
      </c>
      <c r="G1034">
        <v>0</v>
      </c>
      <c r="H1034">
        <v>0</v>
      </c>
      <c r="I1034">
        <v>0</v>
      </c>
      <c r="J1034">
        <v>31</v>
      </c>
      <c r="K1034">
        <v>0</v>
      </c>
      <c r="L1034">
        <v>13</v>
      </c>
      <c r="M1034">
        <v>1</v>
      </c>
      <c r="N1034" t="s">
        <v>175</v>
      </c>
      <c r="O1034" s="1">
        <f>result[[#This Row],[n_killed_mutants_cumulativa]]/result[[#This Row],[tot_mutants]]</f>
        <v>7.6923076923076927E-2</v>
      </c>
    </row>
    <row r="1035" spans="1:16" hidden="1" x14ac:dyDescent="0.25">
      <c r="A1035" t="s">
        <v>174</v>
      </c>
      <c r="B1035" t="s">
        <v>25</v>
      </c>
      <c r="C1035" t="s">
        <v>16</v>
      </c>
      <c r="D1035">
        <v>8397</v>
      </c>
      <c r="E1035">
        <v>78</v>
      </c>
      <c r="F1035">
        <v>0</v>
      </c>
      <c r="G1035">
        <v>0</v>
      </c>
      <c r="H1035">
        <v>0</v>
      </c>
      <c r="I1035">
        <v>0</v>
      </c>
      <c r="J1035">
        <v>34</v>
      </c>
      <c r="K1035">
        <v>0</v>
      </c>
      <c r="L1035">
        <v>13</v>
      </c>
      <c r="M1035">
        <v>1</v>
      </c>
      <c r="N1035" t="s">
        <v>175</v>
      </c>
      <c r="O1035" s="1">
        <f>result[[#This Row],[n_killed_mutants_cumulativa]]/result[[#This Row],[tot_mutants]]</f>
        <v>7.6923076923076927E-2</v>
      </c>
    </row>
    <row r="1036" spans="1:16" hidden="1" x14ac:dyDescent="0.25">
      <c r="A1036" t="s">
        <v>174</v>
      </c>
      <c r="B1036" t="s">
        <v>26</v>
      </c>
      <c r="C1036" t="s">
        <v>16</v>
      </c>
      <c r="D1036">
        <v>9399</v>
      </c>
      <c r="E1036">
        <v>90</v>
      </c>
      <c r="F1036">
        <v>0</v>
      </c>
      <c r="G1036">
        <v>0</v>
      </c>
      <c r="H1036">
        <v>0</v>
      </c>
      <c r="I1036">
        <v>0</v>
      </c>
      <c r="J1036">
        <v>39</v>
      </c>
      <c r="K1036">
        <v>0</v>
      </c>
      <c r="L1036">
        <v>13</v>
      </c>
      <c r="M1036">
        <v>1</v>
      </c>
      <c r="N1036" t="s">
        <v>175</v>
      </c>
      <c r="O1036" s="1">
        <f>result[[#This Row],[n_killed_mutants_cumulativa]]/result[[#This Row],[tot_mutants]]</f>
        <v>7.6923076923076927E-2</v>
      </c>
    </row>
    <row r="1037" spans="1:16" hidden="1" x14ac:dyDescent="0.25">
      <c r="A1037" t="s">
        <v>174</v>
      </c>
      <c r="B1037" t="s">
        <v>27</v>
      </c>
      <c r="C1037" t="s">
        <v>16</v>
      </c>
      <c r="D1037">
        <v>10471</v>
      </c>
      <c r="E1037">
        <v>110</v>
      </c>
      <c r="F1037">
        <v>0</v>
      </c>
      <c r="G1037">
        <v>0</v>
      </c>
      <c r="H1037">
        <v>0</v>
      </c>
      <c r="I1037">
        <v>0</v>
      </c>
      <c r="J1037">
        <v>46</v>
      </c>
      <c r="K1037">
        <v>0</v>
      </c>
      <c r="L1037">
        <v>13</v>
      </c>
      <c r="M1037">
        <v>1</v>
      </c>
      <c r="N1037" t="s">
        <v>175</v>
      </c>
      <c r="O1037" s="1">
        <f>result[[#This Row],[n_killed_mutants_cumulativa]]/result[[#This Row],[tot_mutants]]</f>
        <v>7.6923076923076927E-2</v>
      </c>
    </row>
    <row r="1038" spans="1:16" hidden="1" x14ac:dyDescent="0.25">
      <c r="A1038" t="s">
        <v>174</v>
      </c>
      <c r="B1038" t="s">
        <v>30</v>
      </c>
      <c r="C1038" t="s">
        <v>16</v>
      </c>
      <c r="D1038">
        <v>9904</v>
      </c>
      <c r="E1038">
        <v>146</v>
      </c>
      <c r="F1038">
        <v>0</v>
      </c>
      <c r="G1038">
        <v>0</v>
      </c>
      <c r="H1038">
        <v>0</v>
      </c>
      <c r="I1038">
        <v>0</v>
      </c>
      <c r="J1038">
        <v>57</v>
      </c>
      <c r="K1038">
        <v>0</v>
      </c>
      <c r="L1038">
        <v>13</v>
      </c>
      <c r="M1038">
        <v>1</v>
      </c>
      <c r="N1038" t="s">
        <v>175</v>
      </c>
      <c r="O1038" s="1">
        <f>result[[#This Row],[n_killed_mutants_cumulativa]]/result[[#This Row],[tot_mutants]]</f>
        <v>7.6923076923076927E-2</v>
      </c>
    </row>
    <row r="1039" spans="1:16" hidden="1" x14ac:dyDescent="0.25">
      <c r="A1039" t="s">
        <v>174</v>
      </c>
      <c r="B1039" t="s">
        <v>31</v>
      </c>
      <c r="C1039" t="s">
        <v>16</v>
      </c>
      <c r="D1039">
        <v>12361</v>
      </c>
      <c r="E1039">
        <v>105</v>
      </c>
      <c r="F1039">
        <v>0</v>
      </c>
      <c r="G1039">
        <v>0</v>
      </c>
      <c r="H1039">
        <v>0</v>
      </c>
      <c r="I1039">
        <v>0</v>
      </c>
      <c r="J1039">
        <v>54</v>
      </c>
      <c r="K1039">
        <v>0</v>
      </c>
      <c r="L1039">
        <v>13</v>
      </c>
      <c r="M1039">
        <v>1</v>
      </c>
      <c r="N1039" t="s">
        <v>175</v>
      </c>
      <c r="O1039" s="1">
        <f>result[[#This Row],[n_killed_mutants_cumulativa]]/result[[#This Row],[tot_mutants]]</f>
        <v>7.6923076923076927E-2</v>
      </c>
    </row>
    <row r="1040" spans="1:16" hidden="1" x14ac:dyDescent="0.25">
      <c r="A1040" t="s">
        <v>174</v>
      </c>
      <c r="B1040" t="s">
        <v>36</v>
      </c>
      <c r="C1040" t="s">
        <v>16</v>
      </c>
      <c r="D1040">
        <v>13101</v>
      </c>
      <c r="E1040">
        <v>138</v>
      </c>
      <c r="F1040">
        <v>0</v>
      </c>
      <c r="G1040">
        <v>0</v>
      </c>
      <c r="H1040">
        <v>0</v>
      </c>
      <c r="I1040">
        <v>0</v>
      </c>
      <c r="J1040">
        <v>61</v>
      </c>
      <c r="K1040">
        <v>0</v>
      </c>
      <c r="L1040">
        <v>13</v>
      </c>
      <c r="M1040">
        <v>1</v>
      </c>
      <c r="N1040" t="s">
        <v>175</v>
      </c>
      <c r="O1040" s="1">
        <f>result[[#This Row],[n_killed_mutants_cumulativa]]/result[[#This Row],[tot_mutants]]</f>
        <v>7.6923076923076927E-2</v>
      </c>
    </row>
    <row r="1041" spans="1:16" hidden="1" x14ac:dyDescent="0.25">
      <c r="A1041" t="s">
        <v>174</v>
      </c>
      <c r="B1041" t="s">
        <v>40</v>
      </c>
      <c r="C1041" t="s">
        <v>16</v>
      </c>
      <c r="D1041">
        <v>14675</v>
      </c>
      <c r="E1041">
        <v>113</v>
      </c>
      <c r="F1041">
        <v>0</v>
      </c>
      <c r="G1041">
        <v>0</v>
      </c>
      <c r="H1041">
        <v>0</v>
      </c>
      <c r="I1041">
        <v>0</v>
      </c>
      <c r="J1041">
        <v>62</v>
      </c>
      <c r="K1041">
        <v>0</v>
      </c>
      <c r="L1041">
        <v>13</v>
      </c>
      <c r="M1041">
        <v>1</v>
      </c>
      <c r="N1041" t="s">
        <v>175</v>
      </c>
      <c r="O1041" s="1">
        <f>result[[#This Row],[n_killed_mutants_cumulativa]]/result[[#This Row],[tot_mutants]]</f>
        <v>7.6923076923076927E-2</v>
      </c>
    </row>
    <row r="1042" spans="1:16" hidden="1" x14ac:dyDescent="0.25">
      <c r="A1042" t="s">
        <v>174</v>
      </c>
      <c r="B1042" t="s">
        <v>47</v>
      </c>
      <c r="C1042" t="s">
        <v>16</v>
      </c>
      <c r="D1042">
        <v>14953</v>
      </c>
      <c r="E1042">
        <v>147</v>
      </c>
      <c r="F1042">
        <v>0</v>
      </c>
      <c r="G1042">
        <v>0</v>
      </c>
      <c r="H1042">
        <v>0</v>
      </c>
      <c r="I1042">
        <v>0</v>
      </c>
      <c r="J1042">
        <v>72</v>
      </c>
      <c r="K1042">
        <v>0</v>
      </c>
      <c r="L1042">
        <v>13</v>
      </c>
      <c r="M1042">
        <v>1</v>
      </c>
      <c r="N1042" t="s">
        <v>175</v>
      </c>
      <c r="O1042" s="1">
        <f>result[[#This Row],[n_killed_mutants_cumulativa]]/result[[#This Row],[tot_mutants]]</f>
        <v>7.6923076923076927E-2</v>
      </c>
    </row>
    <row r="1043" spans="1:16" hidden="1" x14ac:dyDescent="0.25">
      <c r="A1043" t="s">
        <v>174</v>
      </c>
      <c r="B1043" t="s">
        <v>48</v>
      </c>
      <c r="C1043" t="s">
        <v>16</v>
      </c>
      <c r="D1043">
        <v>16951</v>
      </c>
      <c r="E1043">
        <v>139</v>
      </c>
      <c r="F1043">
        <v>0</v>
      </c>
      <c r="G1043">
        <v>0</v>
      </c>
      <c r="H1043">
        <v>0</v>
      </c>
      <c r="I1043">
        <v>0</v>
      </c>
      <c r="J1043">
        <v>71</v>
      </c>
      <c r="K1043">
        <v>0</v>
      </c>
      <c r="L1043">
        <v>13</v>
      </c>
      <c r="M1043">
        <v>1</v>
      </c>
      <c r="N1043" t="s">
        <v>175</v>
      </c>
      <c r="O1043" s="1">
        <f>result[[#This Row],[n_killed_mutants_cumulativa]]/result[[#This Row],[tot_mutants]]</f>
        <v>7.6923076923076927E-2</v>
      </c>
    </row>
    <row r="1044" spans="1:16" hidden="1" x14ac:dyDescent="0.25">
      <c r="A1044" t="s">
        <v>174</v>
      </c>
      <c r="B1044" t="s">
        <v>49</v>
      </c>
      <c r="C1044" t="s">
        <v>16</v>
      </c>
      <c r="D1044">
        <v>18010</v>
      </c>
      <c r="E1044">
        <v>167</v>
      </c>
      <c r="F1044">
        <v>0</v>
      </c>
      <c r="G1044">
        <v>0</v>
      </c>
      <c r="H1044">
        <v>0</v>
      </c>
      <c r="I1044">
        <v>0</v>
      </c>
      <c r="J1044">
        <v>76</v>
      </c>
      <c r="K1044">
        <v>0</v>
      </c>
      <c r="L1044">
        <v>13</v>
      </c>
      <c r="M1044">
        <v>1</v>
      </c>
      <c r="N1044" t="s">
        <v>175</v>
      </c>
      <c r="O1044" s="1">
        <f>result[[#This Row],[n_killed_mutants_cumulativa]]/result[[#This Row],[tot_mutants]]</f>
        <v>7.6923076923076927E-2</v>
      </c>
    </row>
    <row r="1045" spans="1:16" hidden="1" x14ac:dyDescent="0.25">
      <c r="A1045" t="s">
        <v>174</v>
      </c>
      <c r="B1045" t="s">
        <v>50</v>
      </c>
      <c r="C1045" t="s">
        <v>16</v>
      </c>
      <c r="D1045">
        <v>18161</v>
      </c>
      <c r="E1045">
        <v>189</v>
      </c>
      <c r="F1045">
        <v>0</v>
      </c>
      <c r="G1045">
        <v>0</v>
      </c>
      <c r="H1045">
        <v>0</v>
      </c>
      <c r="I1045">
        <v>0</v>
      </c>
      <c r="J1045">
        <v>85</v>
      </c>
      <c r="K1045">
        <v>0</v>
      </c>
      <c r="L1045">
        <v>13</v>
      </c>
      <c r="M1045">
        <v>1</v>
      </c>
      <c r="N1045" t="s">
        <v>175</v>
      </c>
      <c r="O1045" s="1">
        <f>result[[#This Row],[n_killed_mutants_cumulativa]]/result[[#This Row],[tot_mutants]]</f>
        <v>7.6923076923076927E-2</v>
      </c>
    </row>
    <row r="1046" spans="1:16" hidden="1" x14ac:dyDescent="0.25">
      <c r="A1046" t="s">
        <v>174</v>
      </c>
      <c r="B1046" t="s">
        <v>51</v>
      </c>
      <c r="C1046" t="s">
        <v>16</v>
      </c>
      <c r="D1046">
        <v>19805</v>
      </c>
      <c r="E1046">
        <v>181</v>
      </c>
      <c r="F1046">
        <v>0</v>
      </c>
      <c r="G1046">
        <v>0</v>
      </c>
      <c r="H1046">
        <v>0</v>
      </c>
      <c r="I1046">
        <v>0</v>
      </c>
      <c r="J1046">
        <v>86</v>
      </c>
      <c r="K1046">
        <v>0</v>
      </c>
      <c r="L1046">
        <v>13</v>
      </c>
      <c r="M1046">
        <v>1</v>
      </c>
      <c r="N1046" t="s">
        <v>175</v>
      </c>
      <c r="O1046" s="1">
        <f>result[[#This Row],[n_killed_mutants_cumulativa]]/result[[#This Row],[tot_mutants]]</f>
        <v>7.6923076923076927E-2</v>
      </c>
    </row>
    <row r="1047" spans="1:16" hidden="1" x14ac:dyDescent="0.25">
      <c r="A1047" t="s">
        <v>174</v>
      </c>
      <c r="B1047" t="s">
        <v>52</v>
      </c>
      <c r="C1047" t="s">
        <v>16</v>
      </c>
      <c r="D1047">
        <v>20443</v>
      </c>
      <c r="E1047">
        <v>199</v>
      </c>
      <c r="F1047">
        <v>0</v>
      </c>
      <c r="G1047">
        <v>0</v>
      </c>
      <c r="H1047">
        <v>0</v>
      </c>
      <c r="I1047">
        <v>0</v>
      </c>
      <c r="J1047">
        <v>93</v>
      </c>
      <c r="K1047">
        <v>0</v>
      </c>
      <c r="L1047">
        <v>13</v>
      </c>
      <c r="M1047">
        <v>1</v>
      </c>
      <c r="N1047" t="s">
        <v>175</v>
      </c>
      <c r="O1047" s="1">
        <f>result[[#This Row],[n_killed_mutants_cumulativa]]/result[[#This Row],[tot_mutants]]</f>
        <v>7.6923076923076927E-2</v>
      </c>
    </row>
    <row r="1048" spans="1:16" hidden="1" x14ac:dyDescent="0.25">
      <c r="A1048" t="s">
        <v>174</v>
      </c>
      <c r="B1048" t="s">
        <v>53</v>
      </c>
      <c r="C1048" t="s">
        <v>16</v>
      </c>
      <c r="D1048">
        <v>20002</v>
      </c>
      <c r="E1048">
        <v>183</v>
      </c>
      <c r="F1048">
        <v>0</v>
      </c>
      <c r="G1048">
        <v>0</v>
      </c>
      <c r="H1048">
        <v>0</v>
      </c>
      <c r="I1048">
        <v>0</v>
      </c>
      <c r="J1048">
        <v>106</v>
      </c>
      <c r="K1048">
        <v>0</v>
      </c>
      <c r="L1048">
        <v>13</v>
      </c>
      <c r="M1048">
        <v>1</v>
      </c>
      <c r="N1048" t="s">
        <v>175</v>
      </c>
      <c r="O1048" s="1">
        <f>result[[#This Row],[n_killed_mutants_cumulativa]]/result[[#This Row],[tot_mutants]]</f>
        <v>7.6923076923076927E-2</v>
      </c>
    </row>
    <row r="1049" spans="1:16" hidden="1" x14ac:dyDescent="0.25">
      <c r="A1049" t="s">
        <v>174</v>
      </c>
      <c r="B1049" t="s">
        <v>22</v>
      </c>
      <c r="C1049" t="s">
        <v>16</v>
      </c>
      <c r="D1049">
        <v>235925</v>
      </c>
      <c r="E1049">
        <v>2536</v>
      </c>
      <c r="F1049">
        <v>0</v>
      </c>
      <c r="G1049">
        <v>0</v>
      </c>
      <c r="H1049">
        <v>0</v>
      </c>
      <c r="I1049">
        <v>0</v>
      </c>
      <c r="J1049">
        <v>1052</v>
      </c>
      <c r="K1049">
        <v>0</v>
      </c>
      <c r="L1049">
        <v>13</v>
      </c>
      <c r="M1049">
        <v>1</v>
      </c>
      <c r="N1049" t="s">
        <v>175</v>
      </c>
      <c r="O1049" s="1">
        <f>result[[#This Row],[n_killed_mutants_cumulativa]]/result[[#This Row],[tot_mutants]]</f>
        <v>7.6923076923076927E-2</v>
      </c>
      <c r="P1049" s="11"/>
    </row>
    <row r="1050" spans="1:16" hidden="1" x14ac:dyDescent="0.25">
      <c r="A1050" t="s">
        <v>176</v>
      </c>
      <c r="B1050" t="s">
        <v>15</v>
      </c>
      <c r="C1050" t="s">
        <v>16</v>
      </c>
      <c r="D1050">
        <v>3624</v>
      </c>
      <c r="E1050">
        <v>234</v>
      </c>
      <c r="F1050">
        <v>10</v>
      </c>
      <c r="G1050">
        <v>100</v>
      </c>
      <c r="H1050">
        <v>200</v>
      </c>
      <c r="I1050">
        <v>220</v>
      </c>
      <c r="J1050">
        <v>0</v>
      </c>
      <c r="K1050">
        <v>0</v>
      </c>
      <c r="L1050">
        <v>3</v>
      </c>
      <c r="M1050">
        <v>0</v>
      </c>
      <c r="N1050" t="s">
        <v>17</v>
      </c>
      <c r="O1050" s="1">
        <f>result[[#This Row],[n_killed_mutants_cumulativa]]/result[[#This Row],[tot_mutants]]</f>
        <v>0</v>
      </c>
    </row>
    <row r="1051" spans="1:16" hidden="1" x14ac:dyDescent="0.25">
      <c r="A1051" t="s">
        <v>176</v>
      </c>
      <c r="B1051" t="s">
        <v>18</v>
      </c>
      <c r="C1051" t="s">
        <v>16</v>
      </c>
      <c r="D1051">
        <v>3384</v>
      </c>
      <c r="E1051">
        <v>129</v>
      </c>
      <c r="F1051">
        <v>20</v>
      </c>
      <c r="G1051">
        <v>400</v>
      </c>
      <c r="H1051">
        <v>738</v>
      </c>
      <c r="I1051">
        <v>840</v>
      </c>
      <c r="J1051">
        <v>0</v>
      </c>
      <c r="K1051">
        <v>0</v>
      </c>
      <c r="L1051">
        <v>3</v>
      </c>
      <c r="M1051">
        <v>0</v>
      </c>
      <c r="N1051" t="s">
        <v>17</v>
      </c>
      <c r="O1051" s="1">
        <f>result[[#This Row],[n_killed_mutants_cumulativa]]/result[[#This Row],[tot_mutants]]</f>
        <v>0</v>
      </c>
    </row>
    <row r="1052" spans="1:16" hidden="1" x14ac:dyDescent="0.25">
      <c r="A1052" t="s">
        <v>176</v>
      </c>
      <c r="B1052" t="s">
        <v>19</v>
      </c>
      <c r="C1052" t="s">
        <v>16</v>
      </c>
      <c r="D1052">
        <v>5107</v>
      </c>
      <c r="E1052">
        <v>125</v>
      </c>
      <c r="F1052">
        <v>30</v>
      </c>
      <c r="G1052">
        <v>900</v>
      </c>
      <c r="H1052">
        <v>1404</v>
      </c>
      <c r="I1052">
        <v>1860</v>
      </c>
      <c r="J1052">
        <v>0</v>
      </c>
      <c r="K1052">
        <v>0</v>
      </c>
      <c r="L1052">
        <v>3</v>
      </c>
      <c r="M1052">
        <v>0</v>
      </c>
      <c r="N1052" t="s">
        <v>17</v>
      </c>
      <c r="O1052" s="1">
        <f>result[[#This Row],[n_killed_mutants_cumulativa]]/result[[#This Row],[tot_mutants]]</f>
        <v>0</v>
      </c>
    </row>
    <row r="1053" spans="1:16" hidden="1" x14ac:dyDescent="0.25">
      <c r="A1053" t="s">
        <v>176</v>
      </c>
      <c r="B1053" t="s">
        <v>20</v>
      </c>
      <c r="C1053" t="s">
        <v>16</v>
      </c>
      <c r="D1053">
        <v>7044</v>
      </c>
      <c r="E1053">
        <v>195</v>
      </c>
      <c r="F1053">
        <v>40</v>
      </c>
      <c r="G1053">
        <v>1600</v>
      </c>
      <c r="H1053">
        <v>2370</v>
      </c>
      <c r="I1053">
        <v>3280</v>
      </c>
      <c r="J1053">
        <v>0</v>
      </c>
      <c r="K1053">
        <v>0</v>
      </c>
      <c r="L1053">
        <v>3</v>
      </c>
      <c r="M1053">
        <v>0</v>
      </c>
      <c r="N1053" t="s">
        <v>17</v>
      </c>
      <c r="O1053" s="1">
        <f>result[[#This Row],[n_killed_mutants_cumulativa]]/result[[#This Row],[tot_mutants]]</f>
        <v>0</v>
      </c>
    </row>
    <row r="1054" spans="1:16" hidden="1" x14ac:dyDescent="0.25">
      <c r="A1054" t="s">
        <v>176</v>
      </c>
      <c r="B1054" t="s">
        <v>21</v>
      </c>
      <c r="C1054" t="s">
        <v>16</v>
      </c>
      <c r="D1054">
        <v>9754</v>
      </c>
      <c r="E1054">
        <v>296</v>
      </c>
      <c r="F1054">
        <v>50</v>
      </c>
      <c r="G1054">
        <v>2500</v>
      </c>
      <c r="H1054">
        <v>3314</v>
      </c>
      <c r="I1054">
        <v>5100</v>
      </c>
      <c r="J1054">
        <v>0</v>
      </c>
      <c r="K1054">
        <v>0</v>
      </c>
      <c r="L1054">
        <v>3</v>
      </c>
      <c r="M1054">
        <v>0</v>
      </c>
      <c r="N1054" t="s">
        <v>17</v>
      </c>
      <c r="O1054" s="1">
        <f>result[[#This Row],[n_killed_mutants_cumulativa]]/result[[#This Row],[tot_mutants]]</f>
        <v>0</v>
      </c>
    </row>
    <row r="1055" spans="1:16" hidden="1" x14ac:dyDescent="0.25">
      <c r="A1055" t="s">
        <v>176</v>
      </c>
      <c r="B1055" t="s">
        <v>24</v>
      </c>
      <c r="C1055" t="s">
        <v>16</v>
      </c>
      <c r="D1055">
        <v>12541</v>
      </c>
      <c r="E1055">
        <v>299</v>
      </c>
      <c r="F1055">
        <v>60</v>
      </c>
      <c r="G1055">
        <v>3600</v>
      </c>
      <c r="H1055">
        <v>4232</v>
      </c>
      <c r="I1055">
        <v>7320</v>
      </c>
      <c r="J1055">
        <v>0</v>
      </c>
      <c r="K1055">
        <v>0</v>
      </c>
      <c r="L1055">
        <v>3</v>
      </c>
      <c r="M1055">
        <v>0</v>
      </c>
      <c r="N1055" t="s">
        <v>17</v>
      </c>
      <c r="O1055" s="1">
        <f>result[[#This Row],[n_killed_mutants_cumulativa]]/result[[#This Row],[tot_mutants]]</f>
        <v>0</v>
      </c>
    </row>
    <row r="1056" spans="1:16" hidden="1" x14ac:dyDescent="0.25">
      <c r="A1056" t="s">
        <v>176</v>
      </c>
      <c r="B1056" t="s">
        <v>25</v>
      </c>
      <c r="C1056" t="s">
        <v>16</v>
      </c>
      <c r="D1056">
        <v>16640</v>
      </c>
      <c r="E1056">
        <v>433</v>
      </c>
      <c r="F1056">
        <v>70</v>
      </c>
      <c r="G1056">
        <v>4900</v>
      </c>
      <c r="H1056">
        <v>5666</v>
      </c>
      <c r="I1056">
        <v>9940</v>
      </c>
      <c r="J1056">
        <v>0</v>
      </c>
      <c r="K1056">
        <v>0</v>
      </c>
      <c r="L1056">
        <v>3</v>
      </c>
      <c r="M1056">
        <v>0</v>
      </c>
      <c r="N1056" t="s">
        <v>17</v>
      </c>
      <c r="O1056" s="1">
        <f>result[[#This Row],[n_killed_mutants_cumulativa]]/result[[#This Row],[tot_mutants]]</f>
        <v>0</v>
      </c>
    </row>
    <row r="1057" spans="1:16" hidden="1" x14ac:dyDescent="0.25">
      <c r="A1057" t="s">
        <v>176</v>
      </c>
      <c r="B1057" t="s">
        <v>26</v>
      </c>
      <c r="C1057" t="s">
        <v>16</v>
      </c>
      <c r="D1057">
        <v>20367</v>
      </c>
      <c r="E1057">
        <v>427</v>
      </c>
      <c r="F1057">
        <v>80</v>
      </c>
      <c r="G1057">
        <v>6400</v>
      </c>
      <c r="H1057">
        <v>5898</v>
      </c>
      <c r="I1057">
        <v>12960</v>
      </c>
      <c r="J1057">
        <v>0</v>
      </c>
      <c r="K1057">
        <v>0</v>
      </c>
      <c r="L1057">
        <v>3</v>
      </c>
      <c r="M1057">
        <v>0</v>
      </c>
      <c r="N1057" t="s">
        <v>17</v>
      </c>
      <c r="O1057" s="1">
        <f>result[[#This Row],[n_killed_mutants_cumulativa]]/result[[#This Row],[tot_mutants]]</f>
        <v>0</v>
      </c>
    </row>
    <row r="1058" spans="1:16" hidden="1" x14ac:dyDescent="0.25">
      <c r="A1058" t="s">
        <v>176</v>
      </c>
      <c r="B1058" t="s">
        <v>27</v>
      </c>
      <c r="C1058" t="s">
        <v>16</v>
      </c>
      <c r="D1058">
        <v>25327</v>
      </c>
      <c r="E1058">
        <v>497</v>
      </c>
      <c r="F1058">
        <v>90</v>
      </c>
      <c r="G1058">
        <v>8100</v>
      </c>
      <c r="H1058">
        <v>6754</v>
      </c>
      <c r="I1058">
        <v>16380</v>
      </c>
      <c r="J1058">
        <v>0</v>
      </c>
      <c r="K1058">
        <v>0</v>
      </c>
      <c r="L1058">
        <v>3</v>
      </c>
      <c r="M1058">
        <v>0</v>
      </c>
      <c r="N1058" t="s">
        <v>17</v>
      </c>
      <c r="O1058" s="1">
        <f>result[[#This Row],[n_killed_mutants_cumulativa]]/result[[#This Row],[tot_mutants]]</f>
        <v>0</v>
      </c>
    </row>
    <row r="1059" spans="1:16" hidden="1" x14ac:dyDescent="0.25">
      <c r="A1059" t="s">
        <v>176</v>
      </c>
      <c r="B1059" t="s">
        <v>30</v>
      </c>
      <c r="C1059" t="s">
        <v>16</v>
      </c>
      <c r="D1059">
        <v>30987</v>
      </c>
      <c r="E1059">
        <v>594</v>
      </c>
      <c r="F1059">
        <v>100</v>
      </c>
      <c r="G1059">
        <v>10000</v>
      </c>
      <c r="H1059">
        <v>7832</v>
      </c>
      <c r="I1059">
        <v>20200</v>
      </c>
      <c r="J1059">
        <v>0</v>
      </c>
      <c r="K1059">
        <v>0</v>
      </c>
      <c r="L1059">
        <v>3</v>
      </c>
      <c r="M1059">
        <v>0</v>
      </c>
      <c r="N1059" t="s">
        <v>17</v>
      </c>
      <c r="O1059" s="1">
        <f>result[[#This Row],[n_killed_mutants_cumulativa]]/result[[#This Row],[tot_mutants]]</f>
        <v>0</v>
      </c>
    </row>
    <row r="1060" spans="1:16" hidden="1" x14ac:dyDescent="0.25">
      <c r="A1060" t="s">
        <v>176</v>
      </c>
      <c r="B1060" t="s">
        <v>31</v>
      </c>
      <c r="C1060" t="s">
        <v>16</v>
      </c>
      <c r="D1060">
        <v>36798</v>
      </c>
      <c r="E1060">
        <v>624</v>
      </c>
      <c r="F1060">
        <v>110</v>
      </c>
      <c r="G1060">
        <v>12100</v>
      </c>
      <c r="H1060">
        <v>7980</v>
      </c>
      <c r="I1060">
        <v>24420</v>
      </c>
      <c r="J1060">
        <v>0</v>
      </c>
      <c r="K1060">
        <v>0</v>
      </c>
      <c r="L1060">
        <v>3</v>
      </c>
      <c r="M1060">
        <v>0</v>
      </c>
      <c r="N1060" t="s">
        <v>17</v>
      </c>
      <c r="O1060" s="1">
        <f>result[[#This Row],[n_killed_mutants_cumulativa]]/result[[#This Row],[tot_mutants]]</f>
        <v>0</v>
      </c>
    </row>
    <row r="1061" spans="1:16" hidden="1" x14ac:dyDescent="0.25">
      <c r="A1061" t="s">
        <v>176</v>
      </c>
      <c r="B1061" t="s">
        <v>36</v>
      </c>
      <c r="C1061" t="s">
        <v>16</v>
      </c>
      <c r="D1061">
        <v>44325</v>
      </c>
      <c r="E1061">
        <v>737</v>
      </c>
      <c r="F1061">
        <v>120</v>
      </c>
      <c r="G1061">
        <v>14400</v>
      </c>
      <c r="H1061">
        <v>9444</v>
      </c>
      <c r="I1061">
        <v>29040</v>
      </c>
      <c r="J1061">
        <v>0</v>
      </c>
      <c r="K1061">
        <v>0</v>
      </c>
      <c r="L1061">
        <v>3</v>
      </c>
      <c r="M1061">
        <v>0</v>
      </c>
      <c r="N1061" t="s">
        <v>17</v>
      </c>
      <c r="O1061" s="1">
        <f>result[[#This Row],[n_killed_mutants_cumulativa]]/result[[#This Row],[tot_mutants]]</f>
        <v>0</v>
      </c>
    </row>
    <row r="1062" spans="1:16" hidden="1" x14ac:dyDescent="0.25">
      <c r="A1062" t="s">
        <v>176</v>
      </c>
      <c r="B1062" t="s">
        <v>40</v>
      </c>
      <c r="C1062" t="s">
        <v>16</v>
      </c>
      <c r="D1062">
        <v>51930</v>
      </c>
      <c r="E1062">
        <v>782</v>
      </c>
      <c r="F1062">
        <v>130</v>
      </c>
      <c r="G1062">
        <v>16900</v>
      </c>
      <c r="H1062">
        <v>9906</v>
      </c>
      <c r="I1062">
        <v>34060</v>
      </c>
      <c r="J1062">
        <v>0</v>
      </c>
      <c r="K1062">
        <v>0</v>
      </c>
      <c r="L1062">
        <v>3</v>
      </c>
      <c r="M1062">
        <v>0</v>
      </c>
      <c r="N1062" t="s">
        <v>17</v>
      </c>
      <c r="O1062" s="1">
        <f>result[[#This Row],[n_killed_mutants_cumulativa]]/result[[#This Row],[tot_mutants]]</f>
        <v>0</v>
      </c>
    </row>
    <row r="1063" spans="1:16" hidden="1" x14ac:dyDescent="0.25">
      <c r="A1063" t="s">
        <v>176</v>
      </c>
      <c r="B1063" t="s">
        <v>47</v>
      </c>
      <c r="C1063" t="s">
        <v>16</v>
      </c>
      <c r="D1063">
        <v>60161</v>
      </c>
      <c r="E1063">
        <v>855</v>
      </c>
      <c r="F1063">
        <v>140</v>
      </c>
      <c r="G1063">
        <v>19600</v>
      </c>
      <c r="H1063">
        <v>10664</v>
      </c>
      <c r="I1063">
        <v>39480</v>
      </c>
      <c r="J1063">
        <v>0</v>
      </c>
      <c r="K1063">
        <v>0</v>
      </c>
      <c r="L1063">
        <v>3</v>
      </c>
      <c r="M1063">
        <v>0</v>
      </c>
      <c r="N1063" t="s">
        <v>17</v>
      </c>
      <c r="O1063" s="1">
        <f>result[[#This Row],[n_killed_mutants_cumulativa]]/result[[#This Row],[tot_mutants]]</f>
        <v>0</v>
      </c>
    </row>
    <row r="1064" spans="1:16" hidden="1" x14ac:dyDescent="0.25">
      <c r="A1064" t="s">
        <v>176</v>
      </c>
      <c r="B1064" t="s">
        <v>48</v>
      </c>
      <c r="C1064" t="s">
        <v>16</v>
      </c>
      <c r="D1064">
        <v>69658</v>
      </c>
      <c r="E1064">
        <v>926</v>
      </c>
      <c r="F1064">
        <v>150</v>
      </c>
      <c r="G1064">
        <v>22500</v>
      </c>
      <c r="H1064">
        <v>11288</v>
      </c>
      <c r="I1064">
        <v>45300</v>
      </c>
      <c r="J1064">
        <v>0</v>
      </c>
      <c r="K1064">
        <v>0</v>
      </c>
      <c r="L1064">
        <v>3</v>
      </c>
      <c r="M1064">
        <v>0</v>
      </c>
      <c r="N1064" t="s">
        <v>17</v>
      </c>
      <c r="O1064" s="1">
        <f>result[[#This Row],[n_killed_mutants_cumulativa]]/result[[#This Row],[tot_mutants]]</f>
        <v>0</v>
      </c>
    </row>
    <row r="1065" spans="1:16" hidden="1" x14ac:dyDescent="0.25">
      <c r="A1065" t="s">
        <v>176</v>
      </c>
      <c r="B1065" t="s">
        <v>49</v>
      </c>
      <c r="C1065" t="s">
        <v>16</v>
      </c>
      <c r="D1065">
        <v>81130</v>
      </c>
      <c r="E1065">
        <v>1024</v>
      </c>
      <c r="F1065">
        <v>160</v>
      </c>
      <c r="G1065">
        <v>25600</v>
      </c>
      <c r="H1065">
        <v>12434</v>
      </c>
      <c r="I1065">
        <v>51520</v>
      </c>
      <c r="J1065">
        <v>0</v>
      </c>
      <c r="K1065">
        <v>0</v>
      </c>
      <c r="L1065">
        <v>3</v>
      </c>
      <c r="M1065">
        <v>0</v>
      </c>
      <c r="N1065" t="s">
        <v>17</v>
      </c>
      <c r="O1065" s="1">
        <f>result[[#This Row],[n_killed_mutants_cumulativa]]/result[[#This Row],[tot_mutants]]</f>
        <v>0</v>
      </c>
    </row>
    <row r="1066" spans="1:16" hidden="1" x14ac:dyDescent="0.25">
      <c r="A1066" t="s">
        <v>176</v>
      </c>
      <c r="B1066" t="s">
        <v>50</v>
      </c>
      <c r="C1066" t="s">
        <v>16</v>
      </c>
      <c r="D1066">
        <v>94464</v>
      </c>
      <c r="E1066">
        <v>1189</v>
      </c>
      <c r="F1066">
        <v>170</v>
      </c>
      <c r="G1066">
        <v>28900</v>
      </c>
      <c r="H1066">
        <v>14508</v>
      </c>
      <c r="I1066">
        <v>58140</v>
      </c>
      <c r="J1066">
        <v>0</v>
      </c>
      <c r="K1066">
        <v>0</v>
      </c>
      <c r="L1066">
        <v>3</v>
      </c>
      <c r="M1066">
        <v>0</v>
      </c>
      <c r="N1066" t="s">
        <v>17</v>
      </c>
      <c r="O1066" s="1">
        <f>result[[#This Row],[n_killed_mutants_cumulativa]]/result[[#This Row],[tot_mutants]]</f>
        <v>0</v>
      </c>
    </row>
    <row r="1067" spans="1:16" hidden="1" x14ac:dyDescent="0.25">
      <c r="A1067" t="s">
        <v>176</v>
      </c>
      <c r="B1067" t="s">
        <v>51</v>
      </c>
      <c r="C1067" t="s">
        <v>16</v>
      </c>
      <c r="D1067">
        <v>106506</v>
      </c>
      <c r="E1067">
        <v>1145</v>
      </c>
      <c r="F1067">
        <v>180</v>
      </c>
      <c r="G1067">
        <v>32400</v>
      </c>
      <c r="H1067">
        <v>13160</v>
      </c>
      <c r="I1067">
        <v>65160</v>
      </c>
      <c r="J1067">
        <v>0</v>
      </c>
      <c r="K1067">
        <v>0</v>
      </c>
      <c r="L1067">
        <v>3</v>
      </c>
      <c r="M1067">
        <v>0</v>
      </c>
      <c r="N1067" t="s">
        <v>17</v>
      </c>
      <c r="O1067" s="1">
        <f>result[[#This Row],[n_killed_mutants_cumulativa]]/result[[#This Row],[tot_mutants]]</f>
        <v>0</v>
      </c>
    </row>
    <row r="1068" spans="1:16" hidden="1" x14ac:dyDescent="0.25">
      <c r="A1068" t="s">
        <v>176</v>
      </c>
      <c r="B1068" t="s">
        <v>22</v>
      </c>
      <c r="C1068" t="s">
        <v>16</v>
      </c>
      <c r="D1068">
        <v>679747</v>
      </c>
      <c r="E1068">
        <v>10511</v>
      </c>
      <c r="F1068">
        <v>1710</v>
      </c>
      <c r="G1068">
        <v>210900</v>
      </c>
      <c r="H1068">
        <v>127792</v>
      </c>
      <c r="I1068">
        <v>425220</v>
      </c>
      <c r="J1068">
        <v>0</v>
      </c>
      <c r="K1068">
        <v>0</v>
      </c>
      <c r="L1068">
        <v>3</v>
      </c>
      <c r="M1068">
        <v>0</v>
      </c>
      <c r="N1068" t="s">
        <v>17</v>
      </c>
      <c r="O1068" s="1">
        <f>result[[#This Row],[n_killed_mutants_cumulativa]]/result[[#This Row],[tot_mutants]]</f>
        <v>0</v>
      </c>
      <c r="P1068" s="9" t="s">
        <v>346</v>
      </c>
    </row>
    <row r="1069" spans="1:16" hidden="1" x14ac:dyDescent="0.25">
      <c r="A1069" t="s">
        <v>177</v>
      </c>
      <c r="B1069" t="s">
        <v>15</v>
      </c>
      <c r="C1069" t="s">
        <v>16</v>
      </c>
      <c r="D1069">
        <v>4643</v>
      </c>
      <c r="E1069">
        <v>119</v>
      </c>
      <c r="F1069">
        <v>10</v>
      </c>
      <c r="G1069">
        <v>100</v>
      </c>
      <c r="H1069">
        <v>17</v>
      </c>
      <c r="I1069">
        <v>556</v>
      </c>
      <c r="J1069">
        <v>0</v>
      </c>
      <c r="K1069">
        <v>0</v>
      </c>
      <c r="L1069">
        <v>5</v>
      </c>
      <c r="M1069">
        <v>0</v>
      </c>
      <c r="N1069" t="s">
        <v>17</v>
      </c>
      <c r="O1069" s="1">
        <f>result[[#This Row],[n_killed_mutants_cumulativa]]/result[[#This Row],[tot_mutants]]</f>
        <v>0</v>
      </c>
    </row>
    <row r="1070" spans="1:16" hidden="1" x14ac:dyDescent="0.25">
      <c r="A1070" t="s">
        <v>177</v>
      </c>
      <c r="B1070" t="s">
        <v>18</v>
      </c>
      <c r="C1070" t="s">
        <v>16</v>
      </c>
      <c r="D1070">
        <v>5619</v>
      </c>
      <c r="E1070">
        <v>81</v>
      </c>
      <c r="F1070">
        <v>20</v>
      </c>
      <c r="G1070">
        <v>400</v>
      </c>
      <c r="H1070">
        <v>38</v>
      </c>
      <c r="I1070">
        <v>2109</v>
      </c>
      <c r="J1070">
        <v>0</v>
      </c>
      <c r="K1070">
        <v>0</v>
      </c>
      <c r="L1070">
        <v>5</v>
      </c>
      <c r="M1070">
        <v>0</v>
      </c>
      <c r="N1070" t="s">
        <v>17</v>
      </c>
      <c r="O1070" s="1">
        <f>result[[#This Row],[n_killed_mutants_cumulativa]]/result[[#This Row],[tot_mutants]]</f>
        <v>0</v>
      </c>
    </row>
    <row r="1071" spans="1:16" hidden="1" x14ac:dyDescent="0.25">
      <c r="A1071" t="s">
        <v>177</v>
      </c>
      <c r="B1071" t="s">
        <v>19</v>
      </c>
      <c r="C1071" t="s">
        <v>16</v>
      </c>
      <c r="D1071">
        <v>9001</v>
      </c>
      <c r="E1071">
        <v>141</v>
      </c>
      <c r="F1071">
        <v>30</v>
      </c>
      <c r="G1071">
        <v>900</v>
      </c>
      <c r="H1071">
        <v>71</v>
      </c>
      <c r="I1071">
        <v>4893</v>
      </c>
      <c r="J1071">
        <v>0</v>
      </c>
      <c r="K1071">
        <v>0</v>
      </c>
      <c r="L1071">
        <v>5</v>
      </c>
      <c r="M1071">
        <v>0</v>
      </c>
      <c r="N1071" t="s">
        <v>17</v>
      </c>
      <c r="O1071" s="1">
        <f>result[[#This Row],[n_killed_mutants_cumulativa]]/result[[#This Row],[tot_mutants]]</f>
        <v>0</v>
      </c>
    </row>
    <row r="1072" spans="1:16" hidden="1" x14ac:dyDescent="0.25">
      <c r="A1072" t="s">
        <v>177</v>
      </c>
      <c r="B1072" t="s">
        <v>20</v>
      </c>
      <c r="C1072" t="s">
        <v>16</v>
      </c>
      <c r="D1072">
        <v>13584</v>
      </c>
      <c r="E1072">
        <v>303</v>
      </c>
      <c r="F1072">
        <v>40</v>
      </c>
      <c r="G1072">
        <v>1600</v>
      </c>
      <c r="H1072">
        <v>85</v>
      </c>
      <c r="I1072">
        <v>8694</v>
      </c>
      <c r="J1072">
        <v>0</v>
      </c>
      <c r="K1072">
        <v>0</v>
      </c>
      <c r="L1072">
        <v>5</v>
      </c>
      <c r="M1072">
        <v>0</v>
      </c>
      <c r="N1072" t="s">
        <v>17</v>
      </c>
      <c r="O1072" s="1">
        <f>result[[#This Row],[n_killed_mutants_cumulativa]]/result[[#This Row],[tot_mutants]]</f>
        <v>0</v>
      </c>
    </row>
    <row r="1073" spans="1:16" hidden="1" x14ac:dyDescent="0.25">
      <c r="A1073" t="s">
        <v>177</v>
      </c>
      <c r="B1073" t="s">
        <v>21</v>
      </c>
      <c r="C1073" t="s">
        <v>16</v>
      </c>
      <c r="D1073">
        <v>18974</v>
      </c>
      <c r="E1073">
        <v>425</v>
      </c>
      <c r="F1073">
        <v>50</v>
      </c>
      <c r="G1073">
        <v>2500</v>
      </c>
      <c r="H1073">
        <v>91</v>
      </c>
      <c r="I1073">
        <v>12377</v>
      </c>
      <c r="J1073">
        <v>0</v>
      </c>
      <c r="K1073">
        <v>0</v>
      </c>
      <c r="L1073">
        <v>5</v>
      </c>
      <c r="M1073">
        <v>0</v>
      </c>
      <c r="N1073" t="s">
        <v>17</v>
      </c>
      <c r="O1073" s="1">
        <f>result[[#This Row],[n_killed_mutants_cumulativa]]/result[[#This Row],[tot_mutants]]</f>
        <v>0</v>
      </c>
    </row>
    <row r="1074" spans="1:16" hidden="1" x14ac:dyDescent="0.25">
      <c r="A1074" t="s">
        <v>177</v>
      </c>
      <c r="B1074" t="s">
        <v>24</v>
      </c>
      <c r="C1074" t="s">
        <v>16</v>
      </c>
      <c r="D1074">
        <v>26543</v>
      </c>
      <c r="E1074">
        <v>704</v>
      </c>
      <c r="F1074">
        <v>60</v>
      </c>
      <c r="G1074">
        <v>3600</v>
      </c>
      <c r="H1074">
        <v>139</v>
      </c>
      <c r="I1074">
        <v>19025</v>
      </c>
      <c r="J1074">
        <v>0</v>
      </c>
      <c r="K1074">
        <v>0</v>
      </c>
      <c r="L1074">
        <v>5</v>
      </c>
      <c r="M1074">
        <v>0</v>
      </c>
      <c r="N1074" t="s">
        <v>17</v>
      </c>
      <c r="O1074" s="1">
        <f>result[[#This Row],[n_killed_mutants_cumulativa]]/result[[#This Row],[tot_mutants]]</f>
        <v>0</v>
      </c>
    </row>
    <row r="1075" spans="1:16" hidden="1" x14ac:dyDescent="0.25">
      <c r="A1075" t="s">
        <v>177</v>
      </c>
      <c r="B1075" t="s">
        <v>25</v>
      </c>
      <c r="C1075" t="s">
        <v>16</v>
      </c>
      <c r="D1075">
        <v>34837</v>
      </c>
      <c r="E1075">
        <v>1170</v>
      </c>
      <c r="F1075">
        <v>70</v>
      </c>
      <c r="G1075">
        <v>4900</v>
      </c>
      <c r="H1075">
        <v>143</v>
      </c>
      <c r="I1075">
        <v>25371</v>
      </c>
      <c r="J1075">
        <v>0</v>
      </c>
      <c r="K1075">
        <v>0</v>
      </c>
      <c r="L1075">
        <v>5</v>
      </c>
      <c r="M1075">
        <v>0</v>
      </c>
      <c r="N1075" t="s">
        <v>17</v>
      </c>
      <c r="O1075" s="1">
        <f>result[[#This Row],[n_killed_mutants_cumulativa]]/result[[#This Row],[tot_mutants]]</f>
        <v>0</v>
      </c>
    </row>
    <row r="1076" spans="1:16" hidden="1" x14ac:dyDescent="0.25">
      <c r="A1076" t="s">
        <v>177</v>
      </c>
      <c r="B1076" t="s">
        <v>26</v>
      </c>
      <c r="C1076" t="s">
        <v>16</v>
      </c>
      <c r="D1076">
        <v>44826</v>
      </c>
      <c r="E1076">
        <v>1639</v>
      </c>
      <c r="F1076">
        <v>80</v>
      </c>
      <c r="G1076">
        <v>6400</v>
      </c>
      <c r="H1076">
        <v>150</v>
      </c>
      <c r="I1076">
        <v>32919</v>
      </c>
      <c r="J1076">
        <v>0</v>
      </c>
      <c r="K1076">
        <v>0</v>
      </c>
      <c r="L1076">
        <v>5</v>
      </c>
      <c r="M1076">
        <v>0</v>
      </c>
      <c r="N1076" t="s">
        <v>17</v>
      </c>
      <c r="O1076" s="1">
        <f>result[[#This Row],[n_killed_mutants_cumulativa]]/result[[#This Row],[tot_mutants]]</f>
        <v>0</v>
      </c>
    </row>
    <row r="1077" spans="1:16" hidden="1" x14ac:dyDescent="0.25">
      <c r="A1077" t="s">
        <v>177</v>
      </c>
      <c r="B1077" t="s">
        <v>27</v>
      </c>
      <c r="C1077" t="s">
        <v>16</v>
      </c>
      <c r="D1077">
        <v>57016</v>
      </c>
      <c r="E1077">
        <v>2303</v>
      </c>
      <c r="F1077">
        <v>90</v>
      </c>
      <c r="G1077">
        <v>8100</v>
      </c>
      <c r="H1077">
        <v>168</v>
      </c>
      <c r="I1077">
        <v>41804</v>
      </c>
      <c r="J1077">
        <v>0</v>
      </c>
      <c r="K1077">
        <v>0</v>
      </c>
      <c r="L1077">
        <v>5</v>
      </c>
      <c r="M1077">
        <v>0</v>
      </c>
      <c r="N1077" t="s">
        <v>17</v>
      </c>
      <c r="O1077" s="1">
        <f>result[[#This Row],[n_killed_mutants_cumulativa]]/result[[#This Row],[tot_mutants]]</f>
        <v>0</v>
      </c>
    </row>
    <row r="1078" spans="1:16" hidden="1" x14ac:dyDescent="0.25">
      <c r="A1078" t="s">
        <v>177</v>
      </c>
      <c r="B1078" t="s">
        <v>30</v>
      </c>
      <c r="C1078" t="s">
        <v>16</v>
      </c>
      <c r="D1078">
        <v>71565</v>
      </c>
      <c r="E1078">
        <v>3083</v>
      </c>
      <c r="F1078">
        <v>100</v>
      </c>
      <c r="G1078">
        <v>10000</v>
      </c>
      <c r="H1078">
        <v>228</v>
      </c>
      <c r="I1078">
        <v>52213</v>
      </c>
      <c r="J1078">
        <v>0</v>
      </c>
      <c r="K1078">
        <v>0</v>
      </c>
      <c r="L1078">
        <v>5</v>
      </c>
      <c r="M1078">
        <v>0</v>
      </c>
      <c r="N1078" t="s">
        <v>17</v>
      </c>
      <c r="O1078" s="1">
        <f>result[[#This Row],[n_killed_mutants_cumulativa]]/result[[#This Row],[tot_mutants]]</f>
        <v>0</v>
      </c>
    </row>
    <row r="1079" spans="1:16" hidden="1" x14ac:dyDescent="0.25">
      <c r="A1079" t="s">
        <v>177</v>
      </c>
      <c r="B1079" t="s">
        <v>31</v>
      </c>
      <c r="C1079" t="s">
        <v>16</v>
      </c>
      <c r="D1079">
        <v>88653</v>
      </c>
      <c r="E1079">
        <v>4093</v>
      </c>
      <c r="F1079">
        <v>110</v>
      </c>
      <c r="G1079">
        <v>12100</v>
      </c>
      <c r="H1079">
        <v>244</v>
      </c>
      <c r="I1079">
        <v>63273</v>
      </c>
      <c r="J1079">
        <v>0</v>
      </c>
      <c r="K1079">
        <v>0</v>
      </c>
      <c r="L1079">
        <v>5</v>
      </c>
      <c r="M1079">
        <v>0</v>
      </c>
      <c r="N1079" t="s">
        <v>17</v>
      </c>
      <c r="O1079" s="1">
        <f>result[[#This Row],[n_killed_mutants_cumulativa]]/result[[#This Row],[tot_mutants]]</f>
        <v>0</v>
      </c>
    </row>
    <row r="1080" spans="1:16" hidden="1" x14ac:dyDescent="0.25">
      <c r="A1080" t="s">
        <v>177</v>
      </c>
      <c r="B1080" t="s">
        <v>36</v>
      </c>
      <c r="C1080" t="s">
        <v>16</v>
      </c>
      <c r="D1080">
        <v>110433</v>
      </c>
      <c r="E1080">
        <v>5382</v>
      </c>
      <c r="F1080">
        <v>120</v>
      </c>
      <c r="G1080">
        <v>14400</v>
      </c>
      <c r="H1080">
        <v>252</v>
      </c>
      <c r="I1080">
        <v>74070</v>
      </c>
      <c r="J1080">
        <v>0</v>
      </c>
      <c r="K1080">
        <v>0</v>
      </c>
      <c r="L1080">
        <v>5</v>
      </c>
      <c r="M1080">
        <v>0</v>
      </c>
      <c r="N1080" t="s">
        <v>17</v>
      </c>
      <c r="O1080" s="1">
        <f>result[[#This Row],[n_killed_mutants_cumulativa]]/result[[#This Row],[tot_mutants]]</f>
        <v>0</v>
      </c>
    </row>
    <row r="1081" spans="1:16" hidden="1" x14ac:dyDescent="0.25">
      <c r="A1081" t="s">
        <v>177</v>
      </c>
      <c r="B1081" t="s">
        <v>40</v>
      </c>
      <c r="C1081" t="s">
        <v>16</v>
      </c>
      <c r="D1081">
        <v>137703</v>
      </c>
      <c r="E1081">
        <v>6875</v>
      </c>
      <c r="F1081">
        <v>130</v>
      </c>
      <c r="G1081">
        <v>16900</v>
      </c>
      <c r="H1081">
        <v>266</v>
      </c>
      <c r="I1081">
        <v>89222</v>
      </c>
      <c r="J1081">
        <v>0</v>
      </c>
      <c r="K1081">
        <v>0</v>
      </c>
      <c r="L1081">
        <v>5</v>
      </c>
      <c r="M1081">
        <v>0</v>
      </c>
      <c r="N1081" t="s">
        <v>17</v>
      </c>
      <c r="O1081" s="1">
        <f>result[[#This Row],[n_killed_mutants_cumulativa]]/result[[#This Row],[tot_mutants]]</f>
        <v>0</v>
      </c>
    </row>
    <row r="1082" spans="1:16" hidden="1" x14ac:dyDescent="0.25">
      <c r="A1082" t="s">
        <v>177</v>
      </c>
      <c r="B1082" t="s">
        <v>22</v>
      </c>
      <c r="C1082" t="s">
        <v>16</v>
      </c>
      <c r="D1082">
        <v>623397</v>
      </c>
      <c r="E1082">
        <v>26318</v>
      </c>
      <c r="F1082">
        <v>910</v>
      </c>
      <c r="G1082">
        <v>81900</v>
      </c>
      <c r="H1082">
        <v>1892</v>
      </c>
      <c r="I1082">
        <v>426526</v>
      </c>
      <c r="J1082">
        <v>0</v>
      </c>
      <c r="K1082">
        <v>0</v>
      </c>
      <c r="L1082">
        <v>5</v>
      </c>
      <c r="M1082">
        <v>0</v>
      </c>
      <c r="N1082" t="s">
        <v>17</v>
      </c>
      <c r="O1082" s="1">
        <f>result[[#This Row],[n_killed_mutants_cumulativa]]/result[[#This Row],[tot_mutants]]</f>
        <v>0</v>
      </c>
      <c r="P1082" s="9" t="s">
        <v>346</v>
      </c>
    </row>
    <row r="1083" spans="1:16" hidden="1" x14ac:dyDescent="0.25">
      <c r="A1083" t="s">
        <v>178</v>
      </c>
      <c r="B1083" t="s">
        <v>15</v>
      </c>
      <c r="C1083" t="s">
        <v>16</v>
      </c>
      <c r="D1083">
        <v>2851</v>
      </c>
      <c r="E1083">
        <v>127</v>
      </c>
      <c r="F1083">
        <v>10</v>
      </c>
      <c r="G1083">
        <v>100</v>
      </c>
      <c r="H1083">
        <v>64</v>
      </c>
      <c r="I1083">
        <v>110</v>
      </c>
      <c r="J1083">
        <v>0</v>
      </c>
      <c r="K1083">
        <v>0</v>
      </c>
      <c r="L1083">
        <v>3</v>
      </c>
      <c r="M1083">
        <v>1</v>
      </c>
      <c r="N1083" t="s">
        <v>55</v>
      </c>
      <c r="O1083" s="1">
        <f>result[[#This Row],[n_killed_mutants_cumulativa]]/result[[#This Row],[tot_mutants]]</f>
        <v>0.33333333333333331</v>
      </c>
    </row>
    <row r="1084" spans="1:16" hidden="1" x14ac:dyDescent="0.25">
      <c r="A1084" t="s">
        <v>178</v>
      </c>
      <c r="B1084" t="s">
        <v>18</v>
      </c>
      <c r="C1084" t="s">
        <v>16</v>
      </c>
      <c r="D1084">
        <v>2301</v>
      </c>
      <c r="E1084">
        <v>64</v>
      </c>
      <c r="F1084">
        <v>20</v>
      </c>
      <c r="G1084">
        <v>400</v>
      </c>
      <c r="H1084">
        <v>241</v>
      </c>
      <c r="I1084">
        <v>420</v>
      </c>
      <c r="J1084">
        <v>0</v>
      </c>
      <c r="K1084">
        <v>0</v>
      </c>
      <c r="L1084">
        <v>3</v>
      </c>
      <c r="M1084">
        <v>1</v>
      </c>
      <c r="N1084" t="s">
        <v>55</v>
      </c>
      <c r="O1084" s="1">
        <f>result[[#This Row],[n_killed_mutants_cumulativa]]/result[[#This Row],[tot_mutants]]</f>
        <v>0.33333333333333331</v>
      </c>
    </row>
    <row r="1085" spans="1:16" hidden="1" x14ac:dyDescent="0.25">
      <c r="A1085" t="s">
        <v>178</v>
      </c>
      <c r="B1085" t="s">
        <v>19</v>
      </c>
      <c r="C1085" t="s">
        <v>16</v>
      </c>
      <c r="D1085">
        <v>2742</v>
      </c>
      <c r="E1085">
        <v>55</v>
      </c>
      <c r="F1085">
        <v>30</v>
      </c>
      <c r="G1085">
        <v>900</v>
      </c>
      <c r="H1085">
        <v>525</v>
      </c>
      <c r="I1085">
        <v>930</v>
      </c>
      <c r="J1085">
        <v>0</v>
      </c>
      <c r="K1085">
        <v>0</v>
      </c>
      <c r="L1085">
        <v>3</v>
      </c>
      <c r="M1085">
        <v>1</v>
      </c>
      <c r="N1085" t="s">
        <v>55</v>
      </c>
      <c r="O1085" s="1">
        <f>result[[#This Row],[n_killed_mutants_cumulativa]]/result[[#This Row],[tot_mutants]]</f>
        <v>0.33333333333333331</v>
      </c>
    </row>
    <row r="1086" spans="1:16" hidden="1" x14ac:dyDescent="0.25">
      <c r="A1086" t="s">
        <v>178</v>
      </c>
      <c r="B1086" t="s">
        <v>20</v>
      </c>
      <c r="C1086" t="s">
        <v>16</v>
      </c>
      <c r="D1086">
        <v>4101</v>
      </c>
      <c r="E1086">
        <v>72</v>
      </c>
      <c r="F1086">
        <v>40</v>
      </c>
      <c r="G1086">
        <v>1600</v>
      </c>
      <c r="H1086">
        <v>861</v>
      </c>
      <c r="I1086">
        <v>1640</v>
      </c>
      <c r="J1086">
        <v>0</v>
      </c>
      <c r="K1086">
        <v>0</v>
      </c>
      <c r="L1086">
        <v>3</v>
      </c>
      <c r="M1086">
        <v>1</v>
      </c>
      <c r="N1086" t="s">
        <v>55</v>
      </c>
      <c r="O1086" s="1">
        <f>result[[#This Row],[n_killed_mutants_cumulativa]]/result[[#This Row],[tot_mutants]]</f>
        <v>0.33333333333333331</v>
      </c>
    </row>
    <row r="1087" spans="1:16" hidden="1" x14ac:dyDescent="0.25">
      <c r="A1087" t="s">
        <v>178</v>
      </c>
      <c r="B1087" t="s">
        <v>21</v>
      </c>
      <c r="C1087" t="s">
        <v>16</v>
      </c>
      <c r="D1087">
        <v>5099</v>
      </c>
      <c r="E1087">
        <v>85</v>
      </c>
      <c r="F1087">
        <v>50</v>
      </c>
      <c r="G1087">
        <v>2500</v>
      </c>
      <c r="H1087">
        <v>1317</v>
      </c>
      <c r="I1087">
        <v>2550</v>
      </c>
      <c r="J1087">
        <v>0</v>
      </c>
      <c r="K1087">
        <v>0</v>
      </c>
      <c r="L1087">
        <v>3</v>
      </c>
      <c r="M1087">
        <v>1</v>
      </c>
      <c r="N1087" t="s">
        <v>55</v>
      </c>
      <c r="O1087" s="1">
        <f>result[[#This Row],[n_killed_mutants_cumulativa]]/result[[#This Row],[tot_mutants]]</f>
        <v>0.33333333333333331</v>
      </c>
    </row>
    <row r="1088" spans="1:16" hidden="1" x14ac:dyDescent="0.25">
      <c r="A1088" t="s">
        <v>178</v>
      </c>
      <c r="B1088" t="s">
        <v>24</v>
      </c>
      <c r="C1088" t="s">
        <v>16</v>
      </c>
      <c r="D1088">
        <v>6673</v>
      </c>
      <c r="E1088">
        <v>127</v>
      </c>
      <c r="F1088">
        <v>60</v>
      </c>
      <c r="G1088">
        <v>3600</v>
      </c>
      <c r="H1088">
        <v>1918</v>
      </c>
      <c r="I1088">
        <v>3660</v>
      </c>
      <c r="J1088">
        <v>0</v>
      </c>
      <c r="K1088">
        <v>0</v>
      </c>
      <c r="L1088">
        <v>3</v>
      </c>
      <c r="M1088">
        <v>1</v>
      </c>
      <c r="N1088" t="s">
        <v>55</v>
      </c>
      <c r="O1088" s="1">
        <f>result[[#This Row],[n_killed_mutants_cumulativa]]/result[[#This Row],[tot_mutants]]</f>
        <v>0.33333333333333331</v>
      </c>
    </row>
    <row r="1089" spans="1:16" hidden="1" x14ac:dyDescent="0.25">
      <c r="A1089" t="s">
        <v>178</v>
      </c>
      <c r="B1089" t="s">
        <v>25</v>
      </c>
      <c r="C1089" t="s">
        <v>16</v>
      </c>
      <c r="D1089">
        <v>8793</v>
      </c>
      <c r="E1089">
        <v>118</v>
      </c>
      <c r="F1089">
        <v>70</v>
      </c>
      <c r="G1089">
        <v>4900</v>
      </c>
      <c r="H1089">
        <v>2500</v>
      </c>
      <c r="I1089">
        <v>4970</v>
      </c>
      <c r="J1089">
        <v>0</v>
      </c>
      <c r="K1089">
        <v>0</v>
      </c>
      <c r="L1089">
        <v>3</v>
      </c>
      <c r="M1089">
        <v>1</v>
      </c>
      <c r="N1089" t="s">
        <v>55</v>
      </c>
      <c r="O1089" s="1">
        <f>result[[#This Row],[n_killed_mutants_cumulativa]]/result[[#This Row],[tot_mutants]]</f>
        <v>0.33333333333333331</v>
      </c>
    </row>
    <row r="1090" spans="1:16" hidden="1" x14ac:dyDescent="0.25">
      <c r="A1090" t="s">
        <v>178</v>
      </c>
      <c r="B1090" t="s">
        <v>26</v>
      </c>
      <c r="C1090" t="s">
        <v>16</v>
      </c>
      <c r="D1090">
        <v>10960</v>
      </c>
      <c r="E1090">
        <v>153</v>
      </c>
      <c r="F1090">
        <v>80</v>
      </c>
      <c r="G1090">
        <v>6400</v>
      </c>
      <c r="H1090">
        <v>3284</v>
      </c>
      <c r="I1090">
        <v>6480</v>
      </c>
      <c r="J1090">
        <v>0</v>
      </c>
      <c r="K1090">
        <v>0</v>
      </c>
      <c r="L1090">
        <v>3</v>
      </c>
      <c r="M1090">
        <v>1</v>
      </c>
      <c r="N1090" t="s">
        <v>55</v>
      </c>
      <c r="O1090" s="1">
        <f>result[[#This Row],[n_killed_mutants_cumulativa]]/result[[#This Row],[tot_mutants]]</f>
        <v>0.33333333333333331</v>
      </c>
    </row>
    <row r="1091" spans="1:16" hidden="1" x14ac:dyDescent="0.25">
      <c r="A1091" t="s">
        <v>178</v>
      </c>
      <c r="B1091" t="s">
        <v>27</v>
      </c>
      <c r="C1091" t="s">
        <v>16</v>
      </c>
      <c r="D1091">
        <v>13530</v>
      </c>
      <c r="E1091">
        <v>191</v>
      </c>
      <c r="F1091">
        <v>90</v>
      </c>
      <c r="G1091">
        <v>8100</v>
      </c>
      <c r="H1091">
        <v>4191</v>
      </c>
      <c r="I1091">
        <v>8190</v>
      </c>
      <c r="J1091">
        <v>0</v>
      </c>
      <c r="K1091">
        <v>0</v>
      </c>
      <c r="L1091">
        <v>3</v>
      </c>
      <c r="M1091">
        <v>1</v>
      </c>
      <c r="N1091" t="s">
        <v>55</v>
      </c>
      <c r="O1091" s="1">
        <f>result[[#This Row],[n_killed_mutants_cumulativa]]/result[[#This Row],[tot_mutants]]</f>
        <v>0.33333333333333331</v>
      </c>
    </row>
    <row r="1092" spans="1:16" hidden="1" x14ac:dyDescent="0.25">
      <c r="A1092" t="s">
        <v>178</v>
      </c>
      <c r="B1092" t="s">
        <v>30</v>
      </c>
      <c r="C1092" t="s">
        <v>16</v>
      </c>
      <c r="D1092">
        <v>16622</v>
      </c>
      <c r="E1092">
        <v>238</v>
      </c>
      <c r="F1092">
        <v>100</v>
      </c>
      <c r="G1092">
        <v>10000</v>
      </c>
      <c r="H1092">
        <v>5184</v>
      </c>
      <c r="I1092">
        <v>10100</v>
      </c>
      <c r="J1092">
        <v>0</v>
      </c>
      <c r="K1092">
        <v>0</v>
      </c>
      <c r="L1092">
        <v>3</v>
      </c>
      <c r="M1092">
        <v>1</v>
      </c>
      <c r="N1092" t="s">
        <v>55</v>
      </c>
      <c r="O1092" s="1">
        <f>result[[#This Row],[n_killed_mutants_cumulativa]]/result[[#This Row],[tot_mutants]]</f>
        <v>0.33333333333333331</v>
      </c>
    </row>
    <row r="1093" spans="1:16" hidden="1" x14ac:dyDescent="0.25">
      <c r="A1093" t="s">
        <v>178</v>
      </c>
      <c r="B1093" t="s">
        <v>31</v>
      </c>
      <c r="C1093" t="s">
        <v>16</v>
      </c>
      <c r="D1093">
        <v>20067</v>
      </c>
      <c r="E1093">
        <v>288</v>
      </c>
      <c r="F1093">
        <v>110</v>
      </c>
      <c r="G1093">
        <v>12100</v>
      </c>
      <c r="H1093">
        <v>6327</v>
      </c>
      <c r="I1093">
        <v>12210</v>
      </c>
      <c r="J1093">
        <v>0</v>
      </c>
      <c r="K1093">
        <v>0</v>
      </c>
      <c r="L1093">
        <v>3</v>
      </c>
      <c r="M1093">
        <v>1</v>
      </c>
      <c r="N1093" t="s">
        <v>55</v>
      </c>
      <c r="O1093" s="1">
        <f>result[[#This Row],[n_killed_mutants_cumulativa]]/result[[#This Row],[tot_mutants]]</f>
        <v>0.33333333333333331</v>
      </c>
    </row>
    <row r="1094" spans="1:16" hidden="1" x14ac:dyDescent="0.25">
      <c r="A1094" t="s">
        <v>178</v>
      </c>
      <c r="B1094" t="s">
        <v>36</v>
      </c>
      <c r="C1094" t="s">
        <v>16</v>
      </c>
      <c r="D1094">
        <v>24090</v>
      </c>
      <c r="E1094">
        <v>345</v>
      </c>
      <c r="F1094">
        <v>120</v>
      </c>
      <c r="G1094">
        <v>14400</v>
      </c>
      <c r="H1094">
        <v>7303</v>
      </c>
      <c r="I1094">
        <v>14520</v>
      </c>
      <c r="J1094">
        <v>0</v>
      </c>
      <c r="K1094">
        <v>0</v>
      </c>
      <c r="L1094">
        <v>3</v>
      </c>
      <c r="M1094">
        <v>1</v>
      </c>
      <c r="N1094" t="s">
        <v>55</v>
      </c>
      <c r="O1094" s="1">
        <f>result[[#This Row],[n_killed_mutants_cumulativa]]/result[[#This Row],[tot_mutants]]</f>
        <v>0.33333333333333331</v>
      </c>
    </row>
    <row r="1095" spans="1:16" hidden="1" x14ac:dyDescent="0.25">
      <c r="A1095" t="s">
        <v>178</v>
      </c>
      <c r="B1095" t="s">
        <v>40</v>
      </c>
      <c r="C1095" t="s">
        <v>16</v>
      </c>
      <c r="D1095">
        <v>28713</v>
      </c>
      <c r="E1095">
        <v>393</v>
      </c>
      <c r="F1095">
        <v>130</v>
      </c>
      <c r="G1095">
        <v>16900</v>
      </c>
      <c r="H1095">
        <v>8482</v>
      </c>
      <c r="I1095">
        <v>17030</v>
      </c>
      <c r="J1095">
        <v>0</v>
      </c>
      <c r="K1095">
        <v>0</v>
      </c>
      <c r="L1095">
        <v>3</v>
      </c>
      <c r="M1095">
        <v>1</v>
      </c>
      <c r="N1095" t="s">
        <v>55</v>
      </c>
      <c r="O1095" s="1">
        <f>result[[#This Row],[n_killed_mutants_cumulativa]]/result[[#This Row],[tot_mutants]]</f>
        <v>0.33333333333333331</v>
      </c>
    </row>
    <row r="1096" spans="1:16" hidden="1" x14ac:dyDescent="0.25">
      <c r="A1096" t="s">
        <v>178</v>
      </c>
      <c r="B1096" t="s">
        <v>47</v>
      </c>
      <c r="C1096" t="s">
        <v>16</v>
      </c>
      <c r="D1096">
        <v>33740</v>
      </c>
      <c r="E1096">
        <v>457</v>
      </c>
      <c r="F1096">
        <v>140</v>
      </c>
      <c r="G1096">
        <v>19600</v>
      </c>
      <c r="H1096">
        <v>9976</v>
      </c>
      <c r="I1096">
        <v>19740</v>
      </c>
      <c r="J1096">
        <v>0</v>
      </c>
      <c r="K1096">
        <v>0</v>
      </c>
      <c r="L1096">
        <v>3</v>
      </c>
      <c r="M1096">
        <v>1</v>
      </c>
      <c r="N1096" t="s">
        <v>55</v>
      </c>
      <c r="O1096" s="1">
        <f>result[[#This Row],[n_killed_mutants_cumulativa]]/result[[#This Row],[tot_mutants]]</f>
        <v>0.33333333333333331</v>
      </c>
    </row>
    <row r="1097" spans="1:16" hidden="1" x14ac:dyDescent="0.25">
      <c r="A1097" t="s">
        <v>178</v>
      </c>
      <c r="B1097" t="s">
        <v>48</v>
      </c>
      <c r="C1097" t="s">
        <v>16</v>
      </c>
      <c r="D1097">
        <v>39700</v>
      </c>
      <c r="E1097">
        <v>534</v>
      </c>
      <c r="F1097">
        <v>150</v>
      </c>
      <c r="G1097">
        <v>22500</v>
      </c>
      <c r="H1097">
        <v>11486</v>
      </c>
      <c r="I1097">
        <v>22650</v>
      </c>
      <c r="J1097">
        <v>0</v>
      </c>
      <c r="K1097">
        <v>0</v>
      </c>
      <c r="L1097">
        <v>3</v>
      </c>
      <c r="M1097">
        <v>1</v>
      </c>
      <c r="N1097" t="s">
        <v>55</v>
      </c>
      <c r="O1097" s="1">
        <f>result[[#This Row],[n_killed_mutants_cumulativa]]/result[[#This Row],[tot_mutants]]</f>
        <v>0.33333333333333331</v>
      </c>
    </row>
    <row r="1098" spans="1:16" hidden="1" x14ac:dyDescent="0.25">
      <c r="A1098" t="s">
        <v>178</v>
      </c>
      <c r="B1098" t="s">
        <v>49</v>
      </c>
      <c r="C1098" t="s">
        <v>16</v>
      </c>
      <c r="D1098">
        <v>46078</v>
      </c>
      <c r="E1098">
        <v>584</v>
      </c>
      <c r="F1098">
        <v>160</v>
      </c>
      <c r="G1098">
        <v>25600</v>
      </c>
      <c r="H1098">
        <v>12853</v>
      </c>
      <c r="I1098">
        <v>25760</v>
      </c>
      <c r="J1098">
        <v>0</v>
      </c>
      <c r="K1098">
        <v>0</v>
      </c>
      <c r="L1098">
        <v>3</v>
      </c>
      <c r="M1098">
        <v>1</v>
      </c>
      <c r="N1098" t="s">
        <v>55</v>
      </c>
      <c r="O1098" s="1">
        <f>result[[#This Row],[n_killed_mutants_cumulativa]]/result[[#This Row],[tot_mutants]]</f>
        <v>0.33333333333333331</v>
      </c>
    </row>
    <row r="1099" spans="1:16" hidden="1" x14ac:dyDescent="0.25">
      <c r="A1099" t="s">
        <v>178</v>
      </c>
      <c r="B1099" t="s">
        <v>50</v>
      </c>
      <c r="C1099" t="s">
        <v>16</v>
      </c>
      <c r="D1099">
        <v>52904</v>
      </c>
      <c r="E1099">
        <v>668</v>
      </c>
      <c r="F1099">
        <v>170</v>
      </c>
      <c r="G1099">
        <v>28900</v>
      </c>
      <c r="H1099">
        <v>14628</v>
      </c>
      <c r="I1099">
        <v>29070</v>
      </c>
      <c r="J1099">
        <v>0</v>
      </c>
      <c r="K1099">
        <v>0</v>
      </c>
      <c r="L1099">
        <v>3</v>
      </c>
      <c r="M1099">
        <v>1</v>
      </c>
      <c r="N1099" t="s">
        <v>55</v>
      </c>
      <c r="O1099" s="1">
        <f>result[[#This Row],[n_killed_mutants_cumulativa]]/result[[#This Row],[tot_mutants]]</f>
        <v>0.33333333333333331</v>
      </c>
    </row>
    <row r="1100" spans="1:16" hidden="1" x14ac:dyDescent="0.25">
      <c r="A1100" t="s">
        <v>178</v>
      </c>
      <c r="B1100" t="s">
        <v>51</v>
      </c>
      <c r="C1100" t="s">
        <v>16</v>
      </c>
      <c r="D1100">
        <v>60743</v>
      </c>
      <c r="E1100">
        <v>743</v>
      </c>
      <c r="F1100">
        <v>180</v>
      </c>
      <c r="G1100">
        <v>32400</v>
      </c>
      <c r="H1100">
        <v>16307</v>
      </c>
      <c r="I1100">
        <v>32580</v>
      </c>
      <c r="J1100">
        <v>0</v>
      </c>
      <c r="K1100">
        <v>0</v>
      </c>
      <c r="L1100">
        <v>3</v>
      </c>
      <c r="M1100">
        <v>1</v>
      </c>
      <c r="N1100" t="s">
        <v>55</v>
      </c>
      <c r="O1100" s="1">
        <f>result[[#This Row],[n_killed_mutants_cumulativa]]/result[[#This Row],[tot_mutants]]</f>
        <v>0.33333333333333331</v>
      </c>
    </row>
    <row r="1101" spans="1:16" hidden="1" x14ac:dyDescent="0.25">
      <c r="A1101" t="s">
        <v>178</v>
      </c>
      <c r="B1101" t="s">
        <v>52</v>
      </c>
      <c r="C1101" t="s">
        <v>16</v>
      </c>
      <c r="D1101">
        <v>68333</v>
      </c>
      <c r="E1101">
        <v>837</v>
      </c>
      <c r="F1101">
        <v>190</v>
      </c>
      <c r="G1101">
        <v>36100</v>
      </c>
      <c r="H1101">
        <v>18207</v>
      </c>
      <c r="I1101">
        <v>36290</v>
      </c>
      <c r="J1101">
        <v>0</v>
      </c>
      <c r="K1101">
        <v>0</v>
      </c>
      <c r="L1101">
        <v>3</v>
      </c>
      <c r="M1101">
        <v>1</v>
      </c>
      <c r="N1101" t="s">
        <v>55</v>
      </c>
      <c r="O1101" s="1">
        <f>result[[#This Row],[n_killed_mutants_cumulativa]]/result[[#This Row],[tot_mutants]]</f>
        <v>0.33333333333333331</v>
      </c>
    </row>
    <row r="1102" spans="1:16" hidden="1" x14ac:dyDescent="0.25">
      <c r="A1102" t="s">
        <v>178</v>
      </c>
      <c r="B1102" t="s">
        <v>53</v>
      </c>
      <c r="C1102" t="s">
        <v>16</v>
      </c>
      <c r="D1102">
        <v>77223</v>
      </c>
      <c r="E1102">
        <v>925</v>
      </c>
      <c r="F1102">
        <v>200</v>
      </c>
      <c r="G1102">
        <v>40000</v>
      </c>
      <c r="H1102">
        <v>20275</v>
      </c>
      <c r="I1102">
        <v>40200</v>
      </c>
      <c r="J1102">
        <v>0</v>
      </c>
      <c r="K1102">
        <v>0</v>
      </c>
      <c r="L1102">
        <v>3</v>
      </c>
      <c r="M1102">
        <v>1</v>
      </c>
      <c r="N1102" t="s">
        <v>55</v>
      </c>
      <c r="O1102" s="1">
        <f>result[[#This Row],[n_killed_mutants_cumulativa]]/result[[#This Row],[tot_mutants]]</f>
        <v>0.33333333333333331</v>
      </c>
    </row>
    <row r="1103" spans="1:16" x14ac:dyDescent="0.25">
      <c r="A1103" t="s">
        <v>178</v>
      </c>
      <c r="B1103" t="s">
        <v>22</v>
      </c>
      <c r="C1103" t="s">
        <v>16</v>
      </c>
      <c r="D1103">
        <v>525263</v>
      </c>
      <c r="E1103">
        <v>7004</v>
      </c>
      <c r="F1103">
        <v>2100</v>
      </c>
      <c r="G1103">
        <v>287000</v>
      </c>
      <c r="H1103">
        <v>145929</v>
      </c>
      <c r="I1103">
        <v>289100</v>
      </c>
      <c r="J1103">
        <v>0</v>
      </c>
      <c r="K1103">
        <v>0</v>
      </c>
      <c r="L1103">
        <v>3</v>
      </c>
      <c r="M1103">
        <v>1</v>
      </c>
      <c r="N1103" t="s">
        <v>55</v>
      </c>
      <c r="O1103" s="1">
        <f>result[[#This Row],[n_killed_mutants_cumulativa]]/result[[#This Row],[tot_mutants]]</f>
        <v>0.33333333333333331</v>
      </c>
      <c r="P1103" s="9" t="s">
        <v>359</v>
      </c>
    </row>
    <row r="1104" spans="1:16" hidden="1" x14ac:dyDescent="0.25">
      <c r="A1104" t="s">
        <v>179</v>
      </c>
      <c r="B1104" t="s">
        <v>15</v>
      </c>
      <c r="C1104" t="s">
        <v>16</v>
      </c>
      <c r="D1104">
        <v>2140</v>
      </c>
      <c r="E1104">
        <v>2018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9</v>
      </c>
      <c r="M1104">
        <v>0</v>
      </c>
      <c r="N1104" t="s">
        <v>17</v>
      </c>
      <c r="O1104" s="1">
        <f>result[[#This Row],[n_killed_mutants_cumulativa]]/result[[#This Row],[tot_mutants]]</f>
        <v>0</v>
      </c>
    </row>
    <row r="1105" spans="1:15" hidden="1" x14ac:dyDescent="0.25">
      <c r="A1105" t="s">
        <v>179</v>
      </c>
      <c r="B1105" t="s">
        <v>18</v>
      </c>
      <c r="C1105" t="s">
        <v>16</v>
      </c>
      <c r="D1105">
        <v>1835</v>
      </c>
      <c r="E1105">
        <v>1784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9</v>
      </c>
      <c r="M1105">
        <v>0</v>
      </c>
      <c r="N1105" t="s">
        <v>17</v>
      </c>
      <c r="O1105" s="1">
        <f>result[[#This Row],[n_killed_mutants_cumulativa]]/result[[#This Row],[tot_mutants]]</f>
        <v>0</v>
      </c>
    </row>
    <row r="1106" spans="1:15" hidden="1" x14ac:dyDescent="0.25">
      <c r="A1106" t="s">
        <v>179</v>
      </c>
      <c r="B1106" t="s">
        <v>19</v>
      </c>
      <c r="C1106" t="s">
        <v>16</v>
      </c>
      <c r="D1106">
        <v>3459</v>
      </c>
      <c r="E1106">
        <v>3426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9</v>
      </c>
      <c r="M1106">
        <v>0</v>
      </c>
      <c r="N1106" t="s">
        <v>17</v>
      </c>
      <c r="O1106" s="1">
        <f>result[[#This Row],[n_killed_mutants_cumulativa]]/result[[#This Row],[tot_mutants]]</f>
        <v>0</v>
      </c>
    </row>
    <row r="1107" spans="1:15" hidden="1" x14ac:dyDescent="0.25">
      <c r="A1107" t="s">
        <v>179</v>
      </c>
      <c r="B1107" t="s">
        <v>20</v>
      </c>
      <c r="C1107" t="s">
        <v>16</v>
      </c>
      <c r="D1107">
        <v>6927</v>
      </c>
      <c r="E1107">
        <v>6895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9</v>
      </c>
      <c r="M1107">
        <v>0</v>
      </c>
      <c r="N1107" t="s">
        <v>17</v>
      </c>
      <c r="O1107" s="1">
        <f>result[[#This Row],[n_killed_mutants_cumulativa]]/result[[#This Row],[tot_mutants]]</f>
        <v>0</v>
      </c>
    </row>
    <row r="1108" spans="1:15" hidden="1" x14ac:dyDescent="0.25">
      <c r="A1108" t="s">
        <v>179</v>
      </c>
      <c r="B1108" t="s">
        <v>21</v>
      </c>
      <c r="C1108" t="s">
        <v>16</v>
      </c>
      <c r="D1108">
        <v>5786</v>
      </c>
      <c r="E1108">
        <v>5756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9</v>
      </c>
      <c r="M1108">
        <v>0</v>
      </c>
      <c r="N1108" t="s">
        <v>17</v>
      </c>
      <c r="O1108" s="1">
        <f>result[[#This Row],[n_killed_mutants_cumulativa]]/result[[#This Row],[tot_mutants]]</f>
        <v>0</v>
      </c>
    </row>
    <row r="1109" spans="1:15" hidden="1" x14ac:dyDescent="0.25">
      <c r="A1109" t="s">
        <v>179</v>
      </c>
      <c r="B1109" t="s">
        <v>22</v>
      </c>
      <c r="C1109" t="s">
        <v>16</v>
      </c>
      <c r="D1109">
        <v>20147</v>
      </c>
      <c r="E1109">
        <v>19879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9</v>
      </c>
      <c r="M1109">
        <v>0</v>
      </c>
      <c r="N1109" t="s">
        <v>17</v>
      </c>
      <c r="O1109" s="1">
        <f>result[[#This Row],[n_killed_mutants_cumulativa]]/result[[#This Row],[tot_mutants]]</f>
        <v>0</v>
      </c>
    </row>
    <row r="1110" spans="1:15" hidden="1" x14ac:dyDescent="0.25">
      <c r="A1110" t="s">
        <v>180</v>
      </c>
      <c r="B1110" t="s">
        <v>15</v>
      </c>
      <c r="C1110" t="s">
        <v>16</v>
      </c>
      <c r="D1110">
        <v>3545</v>
      </c>
      <c r="E1110">
        <v>158</v>
      </c>
      <c r="F1110">
        <v>10</v>
      </c>
      <c r="G1110">
        <v>100</v>
      </c>
      <c r="H1110">
        <v>100</v>
      </c>
      <c r="I1110">
        <v>290</v>
      </c>
      <c r="J1110">
        <v>0</v>
      </c>
      <c r="K1110">
        <v>0</v>
      </c>
      <c r="L1110">
        <v>3</v>
      </c>
      <c r="M1110">
        <v>0</v>
      </c>
      <c r="N1110" t="s">
        <v>17</v>
      </c>
      <c r="O1110" s="1">
        <f>result[[#This Row],[n_killed_mutants_cumulativa]]/result[[#This Row],[tot_mutants]]</f>
        <v>0</v>
      </c>
    </row>
    <row r="1111" spans="1:15" hidden="1" x14ac:dyDescent="0.25">
      <c r="A1111" t="s">
        <v>180</v>
      </c>
      <c r="B1111" t="s">
        <v>18</v>
      </c>
      <c r="C1111" t="s">
        <v>16</v>
      </c>
      <c r="D1111">
        <v>3130</v>
      </c>
      <c r="E1111">
        <v>105</v>
      </c>
      <c r="F1111">
        <v>20</v>
      </c>
      <c r="G1111">
        <v>400</v>
      </c>
      <c r="H1111">
        <v>400</v>
      </c>
      <c r="I1111">
        <v>1095</v>
      </c>
      <c r="J1111">
        <v>0</v>
      </c>
      <c r="K1111">
        <v>0</v>
      </c>
      <c r="L1111">
        <v>3</v>
      </c>
      <c r="M1111">
        <v>0</v>
      </c>
      <c r="N1111" t="s">
        <v>17</v>
      </c>
      <c r="O1111" s="1">
        <f>result[[#This Row],[n_killed_mutants_cumulativa]]/result[[#This Row],[tot_mutants]]</f>
        <v>0</v>
      </c>
    </row>
    <row r="1112" spans="1:15" hidden="1" x14ac:dyDescent="0.25">
      <c r="A1112" t="s">
        <v>180</v>
      </c>
      <c r="B1112" t="s">
        <v>19</v>
      </c>
      <c r="C1112" t="s">
        <v>16</v>
      </c>
      <c r="D1112">
        <v>5058</v>
      </c>
      <c r="E1112">
        <v>137</v>
      </c>
      <c r="F1112">
        <v>30</v>
      </c>
      <c r="G1112">
        <v>900</v>
      </c>
      <c r="H1112">
        <v>900</v>
      </c>
      <c r="I1112">
        <v>2447</v>
      </c>
      <c r="J1112">
        <v>0</v>
      </c>
      <c r="K1112">
        <v>0</v>
      </c>
      <c r="L1112">
        <v>3</v>
      </c>
      <c r="M1112">
        <v>0</v>
      </c>
      <c r="N1112" t="s">
        <v>17</v>
      </c>
      <c r="O1112" s="1">
        <f>result[[#This Row],[n_killed_mutants_cumulativa]]/result[[#This Row],[tot_mutants]]</f>
        <v>0</v>
      </c>
    </row>
    <row r="1113" spans="1:15" hidden="1" x14ac:dyDescent="0.25">
      <c r="A1113" t="s">
        <v>180</v>
      </c>
      <c r="B1113" t="s">
        <v>20</v>
      </c>
      <c r="C1113" t="s">
        <v>16</v>
      </c>
      <c r="D1113">
        <v>6768</v>
      </c>
      <c r="E1113">
        <v>172</v>
      </c>
      <c r="F1113">
        <v>40</v>
      </c>
      <c r="G1113">
        <v>1600</v>
      </c>
      <c r="H1113">
        <v>1600</v>
      </c>
      <c r="I1113">
        <v>4376</v>
      </c>
      <c r="J1113">
        <v>0</v>
      </c>
      <c r="K1113">
        <v>0</v>
      </c>
      <c r="L1113">
        <v>3</v>
      </c>
      <c r="M1113">
        <v>0</v>
      </c>
      <c r="N1113" t="s">
        <v>17</v>
      </c>
      <c r="O1113" s="1">
        <f>result[[#This Row],[n_killed_mutants_cumulativa]]/result[[#This Row],[tot_mutants]]</f>
        <v>0</v>
      </c>
    </row>
    <row r="1114" spans="1:15" hidden="1" x14ac:dyDescent="0.25">
      <c r="A1114" t="s">
        <v>180</v>
      </c>
      <c r="B1114" t="s">
        <v>21</v>
      </c>
      <c r="C1114" t="s">
        <v>16</v>
      </c>
      <c r="D1114">
        <v>9552</v>
      </c>
      <c r="E1114">
        <v>222</v>
      </c>
      <c r="F1114">
        <v>50</v>
      </c>
      <c r="G1114">
        <v>2500</v>
      </c>
      <c r="H1114">
        <v>2500</v>
      </c>
      <c r="I1114">
        <v>6718</v>
      </c>
      <c r="J1114">
        <v>0</v>
      </c>
      <c r="K1114">
        <v>0</v>
      </c>
      <c r="L1114">
        <v>3</v>
      </c>
      <c r="M1114">
        <v>0</v>
      </c>
      <c r="N1114" t="s">
        <v>17</v>
      </c>
      <c r="O1114" s="1">
        <f>result[[#This Row],[n_killed_mutants_cumulativa]]/result[[#This Row],[tot_mutants]]</f>
        <v>0</v>
      </c>
    </row>
    <row r="1115" spans="1:15" hidden="1" x14ac:dyDescent="0.25">
      <c r="A1115" t="s">
        <v>180</v>
      </c>
      <c r="B1115" t="s">
        <v>24</v>
      </c>
      <c r="C1115" t="s">
        <v>16</v>
      </c>
      <c r="D1115">
        <v>12944</v>
      </c>
      <c r="E1115">
        <v>297</v>
      </c>
      <c r="F1115">
        <v>60</v>
      </c>
      <c r="G1115">
        <v>3600</v>
      </c>
      <c r="H1115">
        <v>3600</v>
      </c>
      <c r="I1115">
        <v>9692</v>
      </c>
      <c r="J1115">
        <v>0</v>
      </c>
      <c r="K1115">
        <v>0</v>
      </c>
      <c r="L1115">
        <v>3</v>
      </c>
      <c r="M1115">
        <v>0</v>
      </c>
      <c r="N1115" t="s">
        <v>17</v>
      </c>
      <c r="O1115" s="1">
        <f>result[[#This Row],[n_killed_mutants_cumulativa]]/result[[#This Row],[tot_mutants]]</f>
        <v>0</v>
      </c>
    </row>
    <row r="1116" spans="1:15" hidden="1" x14ac:dyDescent="0.25">
      <c r="A1116" t="s">
        <v>180</v>
      </c>
      <c r="B1116" t="s">
        <v>25</v>
      </c>
      <c r="C1116" t="s">
        <v>16</v>
      </c>
      <c r="D1116">
        <v>17267</v>
      </c>
      <c r="E1116">
        <v>407</v>
      </c>
      <c r="F1116">
        <v>70</v>
      </c>
      <c r="G1116">
        <v>4900</v>
      </c>
      <c r="H1116">
        <v>4900</v>
      </c>
      <c r="I1116">
        <v>13284</v>
      </c>
      <c r="J1116">
        <v>0</v>
      </c>
      <c r="K1116">
        <v>0</v>
      </c>
      <c r="L1116">
        <v>3</v>
      </c>
      <c r="M1116">
        <v>0</v>
      </c>
      <c r="N1116" t="s">
        <v>17</v>
      </c>
      <c r="O1116" s="1">
        <f>result[[#This Row],[n_killed_mutants_cumulativa]]/result[[#This Row],[tot_mutants]]</f>
        <v>0</v>
      </c>
    </row>
    <row r="1117" spans="1:15" hidden="1" x14ac:dyDescent="0.25">
      <c r="A1117" t="s">
        <v>180</v>
      </c>
      <c r="B1117" t="s">
        <v>26</v>
      </c>
      <c r="C1117" t="s">
        <v>16</v>
      </c>
      <c r="D1117">
        <v>22228</v>
      </c>
      <c r="E1117">
        <v>523</v>
      </c>
      <c r="F1117">
        <v>80</v>
      </c>
      <c r="G1117">
        <v>6400</v>
      </c>
      <c r="H1117">
        <v>6400</v>
      </c>
      <c r="I1117">
        <v>17198</v>
      </c>
      <c r="J1117">
        <v>0</v>
      </c>
      <c r="K1117">
        <v>0</v>
      </c>
      <c r="L1117">
        <v>3</v>
      </c>
      <c r="M1117">
        <v>0</v>
      </c>
      <c r="N1117" t="s">
        <v>17</v>
      </c>
      <c r="O1117" s="1">
        <f>result[[#This Row],[n_killed_mutants_cumulativa]]/result[[#This Row],[tot_mutants]]</f>
        <v>0</v>
      </c>
    </row>
    <row r="1118" spans="1:15" hidden="1" x14ac:dyDescent="0.25">
      <c r="A1118" t="s">
        <v>180</v>
      </c>
      <c r="B1118" t="s">
        <v>27</v>
      </c>
      <c r="C1118" t="s">
        <v>16</v>
      </c>
      <c r="D1118">
        <v>28160</v>
      </c>
      <c r="E1118">
        <v>656</v>
      </c>
      <c r="F1118">
        <v>90</v>
      </c>
      <c r="G1118">
        <v>8100</v>
      </c>
      <c r="H1118">
        <v>8100</v>
      </c>
      <c r="I1118">
        <v>21780</v>
      </c>
      <c r="J1118">
        <v>0</v>
      </c>
      <c r="K1118">
        <v>0</v>
      </c>
      <c r="L1118">
        <v>3</v>
      </c>
      <c r="M1118">
        <v>0</v>
      </c>
      <c r="N1118" t="s">
        <v>17</v>
      </c>
      <c r="O1118" s="1">
        <f>result[[#This Row],[n_killed_mutants_cumulativa]]/result[[#This Row],[tot_mutants]]</f>
        <v>0</v>
      </c>
    </row>
    <row r="1119" spans="1:15" hidden="1" x14ac:dyDescent="0.25">
      <c r="A1119" t="s">
        <v>180</v>
      </c>
      <c r="B1119" t="s">
        <v>30</v>
      </c>
      <c r="C1119" t="s">
        <v>16</v>
      </c>
      <c r="D1119">
        <v>35203</v>
      </c>
      <c r="E1119">
        <v>811</v>
      </c>
      <c r="F1119">
        <v>100</v>
      </c>
      <c r="G1119">
        <v>10000</v>
      </c>
      <c r="H1119">
        <v>10000</v>
      </c>
      <c r="I1119">
        <v>26791</v>
      </c>
      <c r="J1119">
        <v>0</v>
      </c>
      <c r="K1119">
        <v>0</v>
      </c>
      <c r="L1119">
        <v>3</v>
      </c>
      <c r="M1119">
        <v>0</v>
      </c>
      <c r="N1119" t="s">
        <v>17</v>
      </c>
      <c r="O1119" s="1">
        <f>result[[#This Row],[n_killed_mutants_cumulativa]]/result[[#This Row],[tot_mutants]]</f>
        <v>0</v>
      </c>
    </row>
    <row r="1120" spans="1:15" hidden="1" x14ac:dyDescent="0.25">
      <c r="A1120" t="s">
        <v>180</v>
      </c>
      <c r="B1120" t="s">
        <v>31</v>
      </c>
      <c r="C1120" t="s">
        <v>16</v>
      </c>
      <c r="D1120">
        <v>43065</v>
      </c>
      <c r="E1120">
        <v>985</v>
      </c>
      <c r="F1120">
        <v>110</v>
      </c>
      <c r="G1120">
        <v>12100</v>
      </c>
      <c r="H1120">
        <v>12100</v>
      </c>
      <c r="I1120">
        <v>32508</v>
      </c>
      <c r="J1120">
        <v>0</v>
      </c>
      <c r="K1120">
        <v>0</v>
      </c>
      <c r="L1120">
        <v>3</v>
      </c>
      <c r="M1120">
        <v>0</v>
      </c>
      <c r="N1120" t="s">
        <v>17</v>
      </c>
      <c r="O1120" s="1">
        <f>result[[#This Row],[n_killed_mutants_cumulativa]]/result[[#This Row],[tot_mutants]]</f>
        <v>0</v>
      </c>
    </row>
    <row r="1121" spans="1:16" hidden="1" x14ac:dyDescent="0.25">
      <c r="A1121" t="s">
        <v>180</v>
      </c>
      <c r="B1121" t="s">
        <v>36</v>
      </c>
      <c r="C1121" t="s">
        <v>16</v>
      </c>
      <c r="D1121">
        <v>51678</v>
      </c>
      <c r="E1121">
        <v>1169</v>
      </c>
      <c r="F1121">
        <v>120</v>
      </c>
      <c r="G1121">
        <v>14400</v>
      </c>
      <c r="H1121">
        <v>14400</v>
      </c>
      <c r="I1121">
        <v>38657</v>
      </c>
      <c r="J1121">
        <v>0</v>
      </c>
      <c r="K1121">
        <v>0</v>
      </c>
      <c r="L1121">
        <v>3</v>
      </c>
      <c r="M1121">
        <v>0</v>
      </c>
      <c r="N1121" t="s">
        <v>17</v>
      </c>
      <c r="O1121" s="1">
        <f>result[[#This Row],[n_killed_mutants_cumulativa]]/result[[#This Row],[tot_mutants]]</f>
        <v>0</v>
      </c>
    </row>
    <row r="1122" spans="1:16" hidden="1" x14ac:dyDescent="0.25">
      <c r="A1122" t="s">
        <v>180</v>
      </c>
      <c r="B1122" t="s">
        <v>40</v>
      </c>
      <c r="C1122" t="s">
        <v>16</v>
      </c>
      <c r="D1122">
        <v>61406</v>
      </c>
      <c r="E1122">
        <v>1365</v>
      </c>
      <c r="F1122">
        <v>130</v>
      </c>
      <c r="G1122">
        <v>16900</v>
      </c>
      <c r="H1122">
        <v>16900</v>
      </c>
      <c r="I1122">
        <v>45301</v>
      </c>
      <c r="J1122">
        <v>0</v>
      </c>
      <c r="K1122">
        <v>0</v>
      </c>
      <c r="L1122">
        <v>3</v>
      </c>
      <c r="M1122">
        <v>0</v>
      </c>
      <c r="N1122" t="s">
        <v>17</v>
      </c>
      <c r="O1122" s="1">
        <f>result[[#This Row],[n_killed_mutants_cumulativa]]/result[[#This Row],[tot_mutants]]</f>
        <v>0</v>
      </c>
    </row>
    <row r="1123" spans="1:16" hidden="1" x14ac:dyDescent="0.25">
      <c r="A1123" t="s">
        <v>180</v>
      </c>
      <c r="B1123" t="s">
        <v>47</v>
      </c>
      <c r="C1123" t="s">
        <v>16</v>
      </c>
      <c r="D1123">
        <v>72183</v>
      </c>
      <c r="E1123">
        <v>1569</v>
      </c>
      <c r="F1123">
        <v>140</v>
      </c>
      <c r="G1123">
        <v>19600</v>
      </c>
      <c r="H1123">
        <v>19600</v>
      </c>
      <c r="I1123">
        <v>52536</v>
      </c>
      <c r="J1123">
        <v>0</v>
      </c>
      <c r="K1123">
        <v>0</v>
      </c>
      <c r="L1123">
        <v>3</v>
      </c>
      <c r="M1123">
        <v>0</v>
      </c>
      <c r="N1123" t="s">
        <v>17</v>
      </c>
      <c r="O1123" s="1">
        <f>result[[#This Row],[n_killed_mutants_cumulativa]]/result[[#This Row],[tot_mutants]]</f>
        <v>0</v>
      </c>
    </row>
    <row r="1124" spans="1:16" hidden="1" x14ac:dyDescent="0.25">
      <c r="A1124" t="s">
        <v>180</v>
      </c>
      <c r="B1124" t="s">
        <v>48</v>
      </c>
      <c r="C1124" t="s">
        <v>16</v>
      </c>
      <c r="D1124">
        <v>84505</v>
      </c>
      <c r="E1124">
        <v>1807</v>
      </c>
      <c r="F1124">
        <v>150</v>
      </c>
      <c r="G1124">
        <v>22500</v>
      </c>
      <c r="H1124">
        <v>22500</v>
      </c>
      <c r="I1124">
        <v>60305</v>
      </c>
      <c r="J1124">
        <v>0</v>
      </c>
      <c r="K1124">
        <v>0</v>
      </c>
      <c r="L1124">
        <v>3</v>
      </c>
      <c r="M1124">
        <v>0</v>
      </c>
      <c r="N1124" t="s">
        <v>17</v>
      </c>
      <c r="O1124" s="1">
        <f>result[[#This Row],[n_killed_mutants_cumulativa]]/result[[#This Row],[tot_mutants]]</f>
        <v>0</v>
      </c>
    </row>
    <row r="1125" spans="1:16" hidden="1" x14ac:dyDescent="0.25">
      <c r="A1125" t="s">
        <v>180</v>
      </c>
      <c r="B1125" t="s">
        <v>49</v>
      </c>
      <c r="C1125" t="s">
        <v>16</v>
      </c>
      <c r="D1125">
        <v>98527</v>
      </c>
      <c r="E1125">
        <v>2058</v>
      </c>
      <c r="F1125">
        <v>160</v>
      </c>
      <c r="G1125">
        <v>25600</v>
      </c>
      <c r="H1125">
        <v>25600</v>
      </c>
      <c r="I1125">
        <v>68681</v>
      </c>
      <c r="J1125">
        <v>0</v>
      </c>
      <c r="K1125">
        <v>0</v>
      </c>
      <c r="L1125">
        <v>3</v>
      </c>
      <c r="M1125">
        <v>0</v>
      </c>
      <c r="N1125" t="s">
        <v>17</v>
      </c>
      <c r="O1125" s="1">
        <f>result[[#This Row],[n_killed_mutants_cumulativa]]/result[[#This Row],[tot_mutants]]</f>
        <v>0</v>
      </c>
    </row>
    <row r="1126" spans="1:16" hidden="1" x14ac:dyDescent="0.25">
      <c r="A1126" t="s">
        <v>180</v>
      </c>
      <c r="B1126" t="s">
        <v>50</v>
      </c>
      <c r="C1126" t="s">
        <v>16</v>
      </c>
      <c r="D1126">
        <v>113003</v>
      </c>
      <c r="E1126">
        <v>2329</v>
      </c>
      <c r="F1126">
        <v>170</v>
      </c>
      <c r="G1126">
        <v>28900</v>
      </c>
      <c r="H1126">
        <v>28900</v>
      </c>
      <c r="I1126">
        <v>77491</v>
      </c>
      <c r="J1126">
        <v>0</v>
      </c>
      <c r="K1126">
        <v>0</v>
      </c>
      <c r="L1126">
        <v>3</v>
      </c>
      <c r="M1126">
        <v>0</v>
      </c>
      <c r="N1126" t="s">
        <v>17</v>
      </c>
      <c r="O1126" s="1">
        <f>result[[#This Row],[n_killed_mutants_cumulativa]]/result[[#This Row],[tot_mutants]]</f>
        <v>0</v>
      </c>
    </row>
    <row r="1127" spans="1:16" hidden="1" x14ac:dyDescent="0.25">
      <c r="A1127" t="s">
        <v>180</v>
      </c>
      <c r="B1127" t="s">
        <v>22</v>
      </c>
      <c r="C1127" t="s">
        <v>16</v>
      </c>
      <c r="D1127">
        <v>668222</v>
      </c>
      <c r="E1127">
        <v>14770</v>
      </c>
      <c r="F1127">
        <v>1530</v>
      </c>
      <c r="G1127">
        <v>178500</v>
      </c>
      <c r="H1127">
        <v>178500</v>
      </c>
      <c r="I1127">
        <v>479150</v>
      </c>
      <c r="J1127">
        <v>0</v>
      </c>
      <c r="K1127">
        <v>0</v>
      </c>
      <c r="L1127">
        <v>3</v>
      </c>
      <c r="M1127">
        <v>0</v>
      </c>
      <c r="N1127" t="s">
        <v>17</v>
      </c>
      <c r="O1127" s="1">
        <f>result[[#This Row],[n_killed_mutants_cumulativa]]/result[[#This Row],[tot_mutants]]</f>
        <v>0</v>
      </c>
      <c r="P1127" s="9" t="s">
        <v>346</v>
      </c>
    </row>
    <row r="1128" spans="1:16" hidden="1" x14ac:dyDescent="0.25">
      <c r="A1128" t="s">
        <v>181</v>
      </c>
      <c r="B1128" t="s">
        <v>15</v>
      </c>
      <c r="C1128" t="s">
        <v>16</v>
      </c>
      <c r="D1128">
        <v>186</v>
      </c>
      <c r="E1128">
        <v>84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5</v>
      </c>
      <c r="M1128">
        <v>0</v>
      </c>
      <c r="N1128" t="s">
        <v>17</v>
      </c>
      <c r="O1128" s="1">
        <f>result[[#This Row],[n_killed_mutants_cumulativa]]/result[[#This Row],[tot_mutants]]</f>
        <v>0</v>
      </c>
    </row>
    <row r="1129" spans="1:16" hidden="1" x14ac:dyDescent="0.25">
      <c r="A1129" t="s">
        <v>181</v>
      </c>
      <c r="B1129" t="s">
        <v>18</v>
      </c>
      <c r="C1129" t="s">
        <v>16</v>
      </c>
      <c r="D1129">
        <v>76</v>
      </c>
      <c r="E1129">
        <v>57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5</v>
      </c>
      <c r="M1129">
        <v>0</v>
      </c>
      <c r="N1129" t="s">
        <v>17</v>
      </c>
      <c r="O1129" s="1">
        <f>result[[#This Row],[n_killed_mutants_cumulativa]]/result[[#This Row],[tot_mutants]]</f>
        <v>0</v>
      </c>
    </row>
    <row r="1130" spans="1:16" hidden="1" x14ac:dyDescent="0.25">
      <c r="A1130" t="s">
        <v>181</v>
      </c>
      <c r="B1130" t="s">
        <v>19</v>
      </c>
      <c r="C1130" t="s">
        <v>16</v>
      </c>
      <c r="D1130">
        <v>97</v>
      </c>
      <c r="E1130">
        <v>80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5</v>
      </c>
      <c r="M1130">
        <v>0</v>
      </c>
      <c r="N1130" t="s">
        <v>17</v>
      </c>
      <c r="O1130" s="1">
        <f>result[[#This Row],[n_killed_mutants_cumulativa]]/result[[#This Row],[tot_mutants]]</f>
        <v>0</v>
      </c>
    </row>
    <row r="1131" spans="1:16" hidden="1" x14ac:dyDescent="0.25">
      <c r="A1131" t="s">
        <v>181</v>
      </c>
      <c r="B1131" t="s">
        <v>20</v>
      </c>
      <c r="C1131" t="s">
        <v>16</v>
      </c>
      <c r="D1131">
        <v>113</v>
      </c>
      <c r="E1131">
        <v>97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5</v>
      </c>
      <c r="M1131">
        <v>0</v>
      </c>
      <c r="N1131" t="s">
        <v>17</v>
      </c>
      <c r="O1131" s="1">
        <f>result[[#This Row],[n_killed_mutants_cumulativa]]/result[[#This Row],[tot_mutants]]</f>
        <v>0</v>
      </c>
    </row>
    <row r="1132" spans="1:16" hidden="1" x14ac:dyDescent="0.25">
      <c r="A1132" t="s">
        <v>181</v>
      </c>
      <c r="B1132" t="s">
        <v>21</v>
      </c>
      <c r="C1132" t="s">
        <v>16</v>
      </c>
      <c r="D1132">
        <v>88</v>
      </c>
      <c r="E1132">
        <v>71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5</v>
      </c>
      <c r="M1132">
        <v>0</v>
      </c>
      <c r="N1132" t="s">
        <v>17</v>
      </c>
      <c r="O1132" s="1">
        <f>result[[#This Row],[n_killed_mutants_cumulativa]]/result[[#This Row],[tot_mutants]]</f>
        <v>0</v>
      </c>
    </row>
    <row r="1133" spans="1:16" hidden="1" x14ac:dyDescent="0.25">
      <c r="A1133" t="s">
        <v>181</v>
      </c>
      <c r="B1133" t="s">
        <v>22</v>
      </c>
      <c r="C1133" t="s">
        <v>16</v>
      </c>
      <c r="D1133">
        <v>560</v>
      </c>
      <c r="E1133">
        <v>389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5</v>
      </c>
      <c r="M1133">
        <v>0</v>
      </c>
      <c r="N1133" t="s">
        <v>17</v>
      </c>
      <c r="O1133" s="1">
        <f>result[[#This Row],[n_killed_mutants_cumulativa]]/result[[#This Row],[tot_mutants]]</f>
        <v>0</v>
      </c>
    </row>
    <row r="1134" spans="1:16" hidden="1" x14ac:dyDescent="0.25">
      <c r="A1134" t="s">
        <v>182</v>
      </c>
      <c r="B1134" t="s">
        <v>15</v>
      </c>
      <c r="C1134" t="s">
        <v>16</v>
      </c>
      <c r="D1134">
        <v>4732</v>
      </c>
      <c r="E1134">
        <v>781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10</v>
      </c>
      <c r="L1134">
        <v>2</v>
      </c>
      <c r="M1134">
        <v>0</v>
      </c>
      <c r="N1134" t="s">
        <v>17</v>
      </c>
      <c r="O1134" s="1">
        <f>result[[#This Row],[n_killed_mutants_cumulativa]]/result[[#This Row],[tot_mutants]]</f>
        <v>0</v>
      </c>
    </row>
    <row r="1135" spans="1:16" hidden="1" x14ac:dyDescent="0.25">
      <c r="A1135" t="s">
        <v>182</v>
      </c>
      <c r="B1135" t="s">
        <v>18</v>
      </c>
      <c r="C1135" t="s">
        <v>16</v>
      </c>
      <c r="D1135">
        <v>6226</v>
      </c>
      <c r="E1135">
        <v>1496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19</v>
      </c>
      <c r="L1135">
        <v>2</v>
      </c>
      <c r="M1135">
        <v>0</v>
      </c>
      <c r="N1135" t="s">
        <v>17</v>
      </c>
      <c r="O1135" s="1">
        <f>result[[#This Row],[n_killed_mutants_cumulativa]]/result[[#This Row],[tot_mutants]]</f>
        <v>0</v>
      </c>
    </row>
    <row r="1136" spans="1:16" hidden="1" x14ac:dyDescent="0.25">
      <c r="A1136" t="s">
        <v>182</v>
      </c>
      <c r="B1136" t="s">
        <v>19</v>
      </c>
      <c r="C1136" t="s">
        <v>16</v>
      </c>
      <c r="D1136">
        <v>7155</v>
      </c>
      <c r="E1136">
        <v>2013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22</v>
      </c>
      <c r="L1136">
        <v>2</v>
      </c>
      <c r="M1136">
        <v>0</v>
      </c>
      <c r="N1136" t="s">
        <v>17</v>
      </c>
      <c r="O1136" s="1">
        <f>result[[#This Row],[n_killed_mutants_cumulativa]]/result[[#This Row],[tot_mutants]]</f>
        <v>0</v>
      </c>
    </row>
    <row r="1137" spans="1:16" hidden="1" x14ac:dyDescent="0.25">
      <c r="A1137" t="s">
        <v>182</v>
      </c>
      <c r="B1137" t="s">
        <v>20</v>
      </c>
      <c r="C1137" t="s">
        <v>16</v>
      </c>
      <c r="D1137">
        <v>8282</v>
      </c>
      <c r="E1137">
        <v>2850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24</v>
      </c>
      <c r="L1137">
        <v>2</v>
      </c>
      <c r="M1137">
        <v>0</v>
      </c>
      <c r="N1137" t="s">
        <v>17</v>
      </c>
      <c r="O1137" s="1">
        <f>result[[#This Row],[n_killed_mutants_cumulativa]]/result[[#This Row],[tot_mutants]]</f>
        <v>0</v>
      </c>
    </row>
    <row r="1138" spans="1:16" hidden="1" x14ac:dyDescent="0.25">
      <c r="A1138" t="s">
        <v>182</v>
      </c>
      <c r="B1138" t="s">
        <v>21</v>
      </c>
      <c r="C1138" t="s">
        <v>16</v>
      </c>
      <c r="D1138">
        <v>12633</v>
      </c>
      <c r="E1138">
        <v>4428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36</v>
      </c>
      <c r="L1138">
        <v>2</v>
      </c>
      <c r="M1138">
        <v>0</v>
      </c>
      <c r="N1138" t="s">
        <v>17</v>
      </c>
      <c r="O1138" s="1">
        <f>result[[#This Row],[n_killed_mutants_cumulativa]]/result[[#This Row],[tot_mutants]]</f>
        <v>0</v>
      </c>
    </row>
    <row r="1139" spans="1:16" hidden="1" x14ac:dyDescent="0.25">
      <c r="A1139" t="s">
        <v>182</v>
      </c>
      <c r="B1139" t="s">
        <v>22</v>
      </c>
      <c r="C1139" t="s">
        <v>16</v>
      </c>
      <c r="D1139">
        <v>39028</v>
      </c>
      <c r="E1139">
        <v>11568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111</v>
      </c>
      <c r="L1139">
        <v>2</v>
      </c>
      <c r="M1139">
        <v>0</v>
      </c>
      <c r="N1139" t="s">
        <v>17</v>
      </c>
      <c r="O1139" s="1">
        <f>result[[#This Row],[n_killed_mutants_cumulativa]]/result[[#This Row],[tot_mutants]]</f>
        <v>0</v>
      </c>
    </row>
    <row r="1140" spans="1:16" hidden="1" x14ac:dyDescent="0.25">
      <c r="A1140" t="s">
        <v>183</v>
      </c>
      <c r="B1140" t="s">
        <v>15</v>
      </c>
      <c r="C1140" t="s">
        <v>16</v>
      </c>
      <c r="D1140">
        <v>9860</v>
      </c>
      <c r="E1140">
        <v>94</v>
      </c>
      <c r="F1140">
        <v>10</v>
      </c>
      <c r="G1140">
        <v>100</v>
      </c>
      <c r="H1140">
        <v>100</v>
      </c>
      <c r="I1140">
        <v>202</v>
      </c>
      <c r="J1140">
        <v>0</v>
      </c>
      <c r="K1140">
        <v>0</v>
      </c>
      <c r="L1140">
        <v>27</v>
      </c>
      <c r="M1140">
        <v>1</v>
      </c>
      <c r="N1140" t="s">
        <v>184</v>
      </c>
      <c r="O1140" s="1">
        <f>result[[#This Row],[n_killed_mutants_cumulativa]]/result[[#This Row],[tot_mutants]]</f>
        <v>3.7037037037037035E-2</v>
      </c>
    </row>
    <row r="1141" spans="1:16" hidden="1" x14ac:dyDescent="0.25">
      <c r="A1141" t="s">
        <v>183</v>
      </c>
      <c r="B1141" t="s">
        <v>18</v>
      </c>
      <c r="C1141" t="s">
        <v>16</v>
      </c>
      <c r="D1141">
        <v>14021</v>
      </c>
      <c r="E1141">
        <v>35</v>
      </c>
      <c r="F1141">
        <v>20</v>
      </c>
      <c r="G1141">
        <v>400</v>
      </c>
      <c r="H1141">
        <v>400</v>
      </c>
      <c r="I1141">
        <v>811</v>
      </c>
      <c r="J1141">
        <v>0</v>
      </c>
      <c r="K1141">
        <v>0</v>
      </c>
      <c r="L1141">
        <v>27</v>
      </c>
      <c r="M1141">
        <v>1</v>
      </c>
      <c r="N1141" t="s">
        <v>184</v>
      </c>
      <c r="O1141" s="1">
        <f>result[[#This Row],[n_killed_mutants_cumulativa]]/result[[#This Row],[tot_mutants]]</f>
        <v>3.7037037037037035E-2</v>
      </c>
    </row>
    <row r="1142" spans="1:16" hidden="1" x14ac:dyDescent="0.25">
      <c r="A1142" t="s">
        <v>183</v>
      </c>
      <c r="B1142" t="s">
        <v>19</v>
      </c>
      <c r="C1142" t="s">
        <v>16</v>
      </c>
      <c r="D1142">
        <v>24471</v>
      </c>
      <c r="E1142">
        <v>52</v>
      </c>
      <c r="F1142">
        <v>30</v>
      </c>
      <c r="G1142">
        <v>900</v>
      </c>
      <c r="H1142">
        <v>900</v>
      </c>
      <c r="I1142">
        <v>1804</v>
      </c>
      <c r="J1142">
        <v>0</v>
      </c>
      <c r="K1142">
        <v>0</v>
      </c>
      <c r="L1142">
        <v>27</v>
      </c>
      <c r="M1142">
        <v>1</v>
      </c>
      <c r="N1142" t="s">
        <v>184</v>
      </c>
      <c r="O1142" s="1">
        <f>result[[#This Row],[n_killed_mutants_cumulativa]]/result[[#This Row],[tot_mutants]]</f>
        <v>3.7037037037037035E-2</v>
      </c>
    </row>
    <row r="1143" spans="1:16" hidden="1" x14ac:dyDescent="0.25">
      <c r="A1143" t="s">
        <v>183</v>
      </c>
      <c r="B1143" t="s">
        <v>20</v>
      </c>
      <c r="C1143" t="s">
        <v>16</v>
      </c>
      <c r="D1143">
        <v>36972</v>
      </c>
      <c r="E1143">
        <v>91</v>
      </c>
      <c r="F1143">
        <v>40</v>
      </c>
      <c r="G1143">
        <v>1600</v>
      </c>
      <c r="H1143">
        <v>1600</v>
      </c>
      <c r="I1143">
        <v>3219</v>
      </c>
      <c r="J1143">
        <v>0</v>
      </c>
      <c r="K1143">
        <v>0</v>
      </c>
      <c r="L1143">
        <v>27</v>
      </c>
      <c r="M1143">
        <v>1</v>
      </c>
      <c r="N1143" t="s">
        <v>184</v>
      </c>
      <c r="O1143" s="1">
        <f>result[[#This Row],[n_killed_mutants_cumulativa]]/result[[#This Row],[tot_mutants]]</f>
        <v>3.7037037037037035E-2</v>
      </c>
    </row>
    <row r="1144" spans="1:16" hidden="1" x14ac:dyDescent="0.25">
      <c r="A1144" t="s">
        <v>183</v>
      </c>
      <c r="B1144" t="s">
        <v>21</v>
      </c>
      <c r="C1144" t="s">
        <v>16</v>
      </c>
      <c r="D1144">
        <v>52921</v>
      </c>
      <c r="E1144">
        <v>152</v>
      </c>
      <c r="F1144">
        <v>50</v>
      </c>
      <c r="G1144">
        <v>2500</v>
      </c>
      <c r="H1144">
        <v>2500</v>
      </c>
      <c r="I1144">
        <v>5021</v>
      </c>
      <c r="J1144">
        <v>0</v>
      </c>
      <c r="K1144">
        <v>0</v>
      </c>
      <c r="L1144">
        <v>27</v>
      </c>
      <c r="M1144">
        <v>1</v>
      </c>
      <c r="N1144" t="s">
        <v>184</v>
      </c>
      <c r="O1144" s="1">
        <f>result[[#This Row],[n_killed_mutants_cumulativa]]/result[[#This Row],[tot_mutants]]</f>
        <v>3.7037037037037035E-2</v>
      </c>
    </row>
    <row r="1145" spans="1:16" hidden="1" x14ac:dyDescent="0.25">
      <c r="A1145" t="s">
        <v>183</v>
      </c>
      <c r="B1145" t="s">
        <v>24</v>
      </c>
      <c r="C1145" t="s">
        <v>16</v>
      </c>
      <c r="D1145">
        <v>74047</v>
      </c>
      <c r="E1145">
        <v>156</v>
      </c>
      <c r="F1145">
        <v>60</v>
      </c>
      <c r="G1145">
        <v>3600</v>
      </c>
      <c r="H1145">
        <v>3600</v>
      </c>
      <c r="I1145">
        <v>7228</v>
      </c>
      <c r="J1145">
        <v>0</v>
      </c>
      <c r="K1145">
        <v>0</v>
      </c>
      <c r="L1145">
        <v>27</v>
      </c>
      <c r="M1145">
        <v>1</v>
      </c>
      <c r="N1145" t="s">
        <v>184</v>
      </c>
      <c r="O1145" s="1">
        <f>result[[#This Row],[n_killed_mutants_cumulativa]]/result[[#This Row],[tot_mutants]]</f>
        <v>3.7037037037037035E-2</v>
      </c>
    </row>
    <row r="1146" spans="1:16" hidden="1" x14ac:dyDescent="0.25">
      <c r="A1146" t="s">
        <v>183</v>
      </c>
      <c r="B1146" t="s">
        <v>25</v>
      </c>
      <c r="C1146" t="s">
        <v>16</v>
      </c>
      <c r="D1146">
        <v>97961</v>
      </c>
      <c r="E1146">
        <v>209</v>
      </c>
      <c r="F1146">
        <v>70</v>
      </c>
      <c r="G1146">
        <v>4900</v>
      </c>
      <c r="H1146">
        <v>4900</v>
      </c>
      <c r="I1146">
        <v>9848</v>
      </c>
      <c r="J1146">
        <v>0</v>
      </c>
      <c r="K1146">
        <v>0</v>
      </c>
      <c r="L1146">
        <v>27</v>
      </c>
      <c r="M1146">
        <v>1</v>
      </c>
      <c r="N1146" t="s">
        <v>184</v>
      </c>
      <c r="O1146" s="1">
        <f>result[[#This Row],[n_killed_mutants_cumulativa]]/result[[#This Row],[tot_mutants]]</f>
        <v>3.7037037037037035E-2</v>
      </c>
    </row>
    <row r="1147" spans="1:16" hidden="1" x14ac:dyDescent="0.25">
      <c r="A1147" t="s">
        <v>183</v>
      </c>
      <c r="B1147" t="s">
        <v>26</v>
      </c>
      <c r="C1147" t="s">
        <v>16</v>
      </c>
      <c r="D1147">
        <v>125298</v>
      </c>
      <c r="E1147">
        <v>268</v>
      </c>
      <c r="F1147">
        <v>80</v>
      </c>
      <c r="G1147">
        <v>6400</v>
      </c>
      <c r="H1147">
        <v>6400</v>
      </c>
      <c r="I1147">
        <v>12832</v>
      </c>
      <c r="J1147">
        <v>0</v>
      </c>
      <c r="K1147">
        <v>0</v>
      </c>
      <c r="L1147">
        <v>27</v>
      </c>
      <c r="M1147">
        <v>1</v>
      </c>
      <c r="N1147" t="s">
        <v>184</v>
      </c>
      <c r="O1147" s="1">
        <f>result[[#This Row],[n_killed_mutants_cumulativa]]/result[[#This Row],[tot_mutants]]</f>
        <v>3.7037037037037035E-2</v>
      </c>
    </row>
    <row r="1148" spans="1:16" hidden="1" x14ac:dyDescent="0.25">
      <c r="A1148" t="s">
        <v>183</v>
      </c>
      <c r="B1148" t="s">
        <v>27</v>
      </c>
      <c r="C1148" t="s">
        <v>16</v>
      </c>
      <c r="D1148">
        <v>157259</v>
      </c>
      <c r="E1148">
        <v>342</v>
      </c>
      <c r="F1148">
        <v>90</v>
      </c>
      <c r="G1148">
        <v>8100</v>
      </c>
      <c r="H1148">
        <v>8100</v>
      </c>
      <c r="I1148">
        <v>16239</v>
      </c>
      <c r="J1148">
        <v>0</v>
      </c>
      <c r="K1148">
        <v>0</v>
      </c>
      <c r="L1148">
        <v>27</v>
      </c>
      <c r="M1148">
        <v>1</v>
      </c>
      <c r="N1148" t="s">
        <v>184</v>
      </c>
      <c r="O1148" s="1">
        <f>result[[#This Row],[n_killed_mutants_cumulativa]]/result[[#This Row],[tot_mutants]]</f>
        <v>3.7037037037037035E-2</v>
      </c>
    </row>
    <row r="1149" spans="1:16" hidden="1" x14ac:dyDescent="0.25">
      <c r="A1149" t="s">
        <v>183</v>
      </c>
      <c r="B1149" t="s">
        <v>30</v>
      </c>
      <c r="C1149" t="s">
        <v>16</v>
      </c>
      <c r="D1149">
        <v>194600</v>
      </c>
      <c r="E1149">
        <v>417</v>
      </c>
      <c r="F1149">
        <v>100</v>
      </c>
      <c r="G1149">
        <v>10000</v>
      </c>
      <c r="H1149">
        <v>10000</v>
      </c>
      <c r="I1149">
        <v>20059</v>
      </c>
      <c r="J1149">
        <v>0</v>
      </c>
      <c r="K1149">
        <v>0</v>
      </c>
      <c r="L1149">
        <v>27</v>
      </c>
      <c r="M1149">
        <v>1</v>
      </c>
      <c r="N1149" t="s">
        <v>184</v>
      </c>
      <c r="O1149" s="1">
        <f>result[[#This Row],[n_killed_mutants_cumulativa]]/result[[#This Row],[tot_mutants]]</f>
        <v>3.7037037037037035E-2</v>
      </c>
    </row>
    <row r="1150" spans="1:16" x14ac:dyDescent="0.25">
      <c r="A1150" t="s">
        <v>183</v>
      </c>
      <c r="B1150" t="s">
        <v>22</v>
      </c>
      <c r="C1150" t="s">
        <v>16</v>
      </c>
      <c r="D1150">
        <v>787410</v>
      </c>
      <c r="E1150">
        <v>1816</v>
      </c>
      <c r="F1150">
        <v>550</v>
      </c>
      <c r="G1150">
        <v>38500</v>
      </c>
      <c r="H1150">
        <v>38500</v>
      </c>
      <c r="I1150">
        <v>77263</v>
      </c>
      <c r="J1150">
        <v>0</v>
      </c>
      <c r="K1150">
        <v>0</v>
      </c>
      <c r="L1150">
        <v>27</v>
      </c>
      <c r="M1150">
        <v>1</v>
      </c>
      <c r="N1150" t="s">
        <v>184</v>
      </c>
      <c r="O1150" s="1">
        <f>result[[#This Row],[n_killed_mutants_cumulativa]]/result[[#This Row],[tot_mutants]]</f>
        <v>3.7037037037037035E-2</v>
      </c>
      <c r="P1150" s="9" t="s">
        <v>360</v>
      </c>
    </row>
    <row r="1151" spans="1:16" hidden="1" x14ac:dyDescent="0.25">
      <c r="A1151" t="s">
        <v>185</v>
      </c>
      <c r="B1151" t="s">
        <v>15</v>
      </c>
      <c r="C1151" t="s">
        <v>16</v>
      </c>
      <c r="D1151">
        <v>2626</v>
      </c>
      <c r="E1151">
        <v>823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10</v>
      </c>
      <c r="L1151">
        <v>8</v>
      </c>
      <c r="M1151">
        <v>0</v>
      </c>
      <c r="N1151" t="s">
        <v>17</v>
      </c>
      <c r="O1151" s="1">
        <f>result[[#This Row],[n_killed_mutants_cumulativa]]/result[[#This Row],[tot_mutants]]</f>
        <v>0</v>
      </c>
    </row>
    <row r="1152" spans="1:16" hidden="1" x14ac:dyDescent="0.25">
      <c r="A1152" t="s">
        <v>185</v>
      </c>
      <c r="B1152" t="s">
        <v>18</v>
      </c>
      <c r="C1152" t="s">
        <v>16</v>
      </c>
      <c r="D1152">
        <v>3233</v>
      </c>
      <c r="E1152">
        <v>2131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20</v>
      </c>
      <c r="L1152">
        <v>8</v>
      </c>
      <c r="M1152">
        <v>0</v>
      </c>
      <c r="N1152" t="s">
        <v>17</v>
      </c>
      <c r="O1152" s="1">
        <f>result[[#This Row],[n_killed_mutants_cumulativa]]/result[[#This Row],[tot_mutants]]</f>
        <v>0</v>
      </c>
    </row>
    <row r="1153" spans="1:15" hidden="1" x14ac:dyDescent="0.25">
      <c r="A1153" t="s">
        <v>185</v>
      </c>
      <c r="B1153" t="s">
        <v>19</v>
      </c>
      <c r="C1153" t="s">
        <v>16</v>
      </c>
      <c r="D1153">
        <v>6001</v>
      </c>
      <c r="E1153">
        <v>4860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30</v>
      </c>
      <c r="L1153">
        <v>8</v>
      </c>
      <c r="M1153">
        <v>0</v>
      </c>
      <c r="N1153" t="s">
        <v>17</v>
      </c>
      <c r="O1153" s="1">
        <f>result[[#This Row],[n_killed_mutants_cumulativa]]/result[[#This Row],[tot_mutants]]</f>
        <v>0</v>
      </c>
    </row>
    <row r="1154" spans="1:15" hidden="1" x14ac:dyDescent="0.25">
      <c r="A1154" t="s">
        <v>185</v>
      </c>
      <c r="B1154" t="s">
        <v>20</v>
      </c>
      <c r="C1154" t="s">
        <v>16</v>
      </c>
      <c r="D1154">
        <v>12003</v>
      </c>
      <c r="E1154">
        <v>10326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40</v>
      </c>
      <c r="L1154">
        <v>8</v>
      </c>
      <c r="M1154">
        <v>0</v>
      </c>
      <c r="N1154" t="s">
        <v>17</v>
      </c>
      <c r="O1154" s="1">
        <f>result[[#This Row],[n_killed_mutants_cumulativa]]/result[[#This Row],[tot_mutants]]</f>
        <v>0</v>
      </c>
    </row>
    <row r="1155" spans="1:15" hidden="1" x14ac:dyDescent="0.25">
      <c r="A1155" t="s">
        <v>185</v>
      </c>
      <c r="B1155" t="s">
        <v>21</v>
      </c>
      <c r="C1155" t="s">
        <v>16</v>
      </c>
      <c r="D1155">
        <v>21876</v>
      </c>
      <c r="E1155">
        <v>20015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50</v>
      </c>
      <c r="L1155">
        <v>8</v>
      </c>
      <c r="M1155">
        <v>0</v>
      </c>
      <c r="N1155" t="s">
        <v>17</v>
      </c>
      <c r="O1155" s="1">
        <f>result[[#This Row],[n_killed_mutants_cumulativa]]/result[[#This Row],[tot_mutants]]</f>
        <v>0</v>
      </c>
    </row>
    <row r="1156" spans="1:15" hidden="1" x14ac:dyDescent="0.25">
      <c r="A1156" t="s">
        <v>185</v>
      </c>
      <c r="B1156" t="s">
        <v>22</v>
      </c>
      <c r="C1156" t="s">
        <v>16</v>
      </c>
      <c r="D1156">
        <v>45739</v>
      </c>
      <c r="E1156">
        <v>38155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150</v>
      </c>
      <c r="L1156">
        <v>8</v>
      </c>
      <c r="M1156">
        <v>0</v>
      </c>
      <c r="N1156" t="s">
        <v>17</v>
      </c>
      <c r="O1156" s="1">
        <f>result[[#This Row],[n_killed_mutants_cumulativa]]/result[[#This Row],[tot_mutants]]</f>
        <v>0</v>
      </c>
    </row>
    <row r="1157" spans="1:15" hidden="1" x14ac:dyDescent="0.25">
      <c r="A1157" t="s">
        <v>186</v>
      </c>
      <c r="B1157" t="s">
        <v>15</v>
      </c>
      <c r="C1157" t="s">
        <v>16</v>
      </c>
      <c r="D1157">
        <v>3153</v>
      </c>
      <c r="E1157">
        <v>167</v>
      </c>
      <c r="F1157">
        <v>10</v>
      </c>
      <c r="G1157">
        <v>100</v>
      </c>
      <c r="H1157">
        <v>0</v>
      </c>
      <c r="I1157">
        <v>170</v>
      </c>
      <c r="J1157">
        <v>0</v>
      </c>
      <c r="K1157">
        <v>0</v>
      </c>
      <c r="L1157">
        <v>2</v>
      </c>
      <c r="M1157">
        <v>0</v>
      </c>
      <c r="N1157" t="s">
        <v>17</v>
      </c>
      <c r="O1157" s="1">
        <f>result[[#This Row],[n_killed_mutants_cumulativa]]/result[[#This Row],[tot_mutants]]</f>
        <v>0</v>
      </c>
    </row>
    <row r="1158" spans="1:15" hidden="1" x14ac:dyDescent="0.25">
      <c r="A1158" t="s">
        <v>186</v>
      </c>
      <c r="B1158" t="s">
        <v>18</v>
      </c>
      <c r="C1158" t="s">
        <v>16</v>
      </c>
      <c r="D1158">
        <v>2729</v>
      </c>
      <c r="E1158">
        <v>98</v>
      </c>
      <c r="F1158">
        <v>20</v>
      </c>
      <c r="G1158">
        <v>400</v>
      </c>
      <c r="H1158">
        <v>0</v>
      </c>
      <c r="I1158">
        <v>480</v>
      </c>
      <c r="J1158">
        <v>0</v>
      </c>
      <c r="K1158">
        <v>0</v>
      </c>
      <c r="L1158">
        <v>2</v>
      </c>
      <c r="M1158">
        <v>0</v>
      </c>
      <c r="N1158" t="s">
        <v>17</v>
      </c>
      <c r="O1158" s="1">
        <f>result[[#This Row],[n_killed_mutants_cumulativa]]/result[[#This Row],[tot_mutants]]</f>
        <v>0</v>
      </c>
    </row>
    <row r="1159" spans="1:15" hidden="1" x14ac:dyDescent="0.25">
      <c r="A1159" t="s">
        <v>186</v>
      </c>
      <c r="B1159" t="s">
        <v>19</v>
      </c>
      <c r="C1159" t="s">
        <v>16</v>
      </c>
      <c r="D1159">
        <v>3471</v>
      </c>
      <c r="E1159">
        <v>163</v>
      </c>
      <c r="F1159">
        <v>30</v>
      </c>
      <c r="G1159">
        <v>900</v>
      </c>
      <c r="H1159">
        <v>0</v>
      </c>
      <c r="I1159">
        <v>720</v>
      </c>
      <c r="J1159">
        <v>0</v>
      </c>
      <c r="K1159">
        <v>0</v>
      </c>
      <c r="L1159">
        <v>2</v>
      </c>
      <c r="M1159">
        <v>0</v>
      </c>
      <c r="N1159" t="s">
        <v>17</v>
      </c>
      <c r="O1159" s="1">
        <f>result[[#This Row],[n_killed_mutants_cumulativa]]/result[[#This Row],[tot_mutants]]</f>
        <v>0</v>
      </c>
    </row>
    <row r="1160" spans="1:15" hidden="1" x14ac:dyDescent="0.25">
      <c r="A1160" t="s">
        <v>186</v>
      </c>
      <c r="B1160" t="s">
        <v>20</v>
      </c>
      <c r="C1160" t="s">
        <v>16</v>
      </c>
      <c r="D1160">
        <v>4346</v>
      </c>
      <c r="E1160">
        <v>147</v>
      </c>
      <c r="F1160">
        <v>40</v>
      </c>
      <c r="G1160">
        <v>1600</v>
      </c>
      <c r="H1160">
        <v>0</v>
      </c>
      <c r="I1160">
        <v>960</v>
      </c>
      <c r="J1160">
        <v>0</v>
      </c>
      <c r="K1160">
        <v>0</v>
      </c>
      <c r="L1160">
        <v>2</v>
      </c>
      <c r="M1160">
        <v>0</v>
      </c>
      <c r="N1160" t="s">
        <v>17</v>
      </c>
      <c r="O1160" s="1">
        <f>result[[#This Row],[n_killed_mutants_cumulativa]]/result[[#This Row],[tot_mutants]]</f>
        <v>0</v>
      </c>
    </row>
    <row r="1161" spans="1:15" hidden="1" x14ac:dyDescent="0.25">
      <c r="A1161" t="s">
        <v>186</v>
      </c>
      <c r="B1161" t="s">
        <v>21</v>
      </c>
      <c r="C1161" t="s">
        <v>16</v>
      </c>
      <c r="D1161">
        <v>5740</v>
      </c>
      <c r="E1161">
        <v>236</v>
      </c>
      <c r="F1161">
        <v>50</v>
      </c>
      <c r="G1161">
        <v>2500</v>
      </c>
      <c r="H1161">
        <v>0</v>
      </c>
      <c r="I1161">
        <v>1200</v>
      </c>
      <c r="J1161">
        <v>0</v>
      </c>
      <c r="K1161">
        <v>0</v>
      </c>
      <c r="L1161">
        <v>2</v>
      </c>
      <c r="M1161">
        <v>0</v>
      </c>
      <c r="N1161" t="s">
        <v>17</v>
      </c>
      <c r="O1161" s="1">
        <f>result[[#This Row],[n_killed_mutants_cumulativa]]/result[[#This Row],[tot_mutants]]</f>
        <v>0</v>
      </c>
    </row>
    <row r="1162" spans="1:15" hidden="1" x14ac:dyDescent="0.25">
      <c r="A1162" t="s">
        <v>186</v>
      </c>
      <c r="B1162" t="s">
        <v>24</v>
      </c>
      <c r="C1162" t="s">
        <v>16</v>
      </c>
      <c r="D1162">
        <v>7230</v>
      </c>
      <c r="E1162">
        <v>252</v>
      </c>
      <c r="F1162">
        <v>60</v>
      </c>
      <c r="G1162">
        <v>3600</v>
      </c>
      <c r="H1162">
        <v>0</v>
      </c>
      <c r="I1162">
        <v>1440</v>
      </c>
      <c r="J1162">
        <v>0</v>
      </c>
      <c r="K1162">
        <v>0</v>
      </c>
      <c r="L1162">
        <v>2</v>
      </c>
      <c r="M1162">
        <v>0</v>
      </c>
      <c r="N1162" t="s">
        <v>17</v>
      </c>
      <c r="O1162" s="1">
        <f>result[[#This Row],[n_killed_mutants_cumulativa]]/result[[#This Row],[tot_mutants]]</f>
        <v>0</v>
      </c>
    </row>
    <row r="1163" spans="1:15" hidden="1" x14ac:dyDescent="0.25">
      <c r="A1163" t="s">
        <v>186</v>
      </c>
      <c r="B1163" t="s">
        <v>25</v>
      </c>
      <c r="C1163" t="s">
        <v>16</v>
      </c>
      <c r="D1163">
        <v>8967</v>
      </c>
      <c r="E1163">
        <v>339</v>
      </c>
      <c r="F1163">
        <v>70</v>
      </c>
      <c r="G1163">
        <v>4900</v>
      </c>
      <c r="H1163">
        <v>0</v>
      </c>
      <c r="I1163">
        <v>1680</v>
      </c>
      <c r="J1163">
        <v>0</v>
      </c>
      <c r="K1163">
        <v>0</v>
      </c>
      <c r="L1163">
        <v>2</v>
      </c>
      <c r="M1163">
        <v>0</v>
      </c>
      <c r="N1163" t="s">
        <v>17</v>
      </c>
      <c r="O1163" s="1">
        <f>result[[#This Row],[n_killed_mutants_cumulativa]]/result[[#This Row],[tot_mutants]]</f>
        <v>0</v>
      </c>
    </row>
    <row r="1164" spans="1:15" hidden="1" x14ac:dyDescent="0.25">
      <c r="A1164" t="s">
        <v>186</v>
      </c>
      <c r="B1164" t="s">
        <v>26</v>
      </c>
      <c r="C1164" t="s">
        <v>16</v>
      </c>
      <c r="D1164">
        <v>10647</v>
      </c>
      <c r="E1164">
        <v>504</v>
      </c>
      <c r="F1164">
        <v>80</v>
      </c>
      <c r="G1164">
        <v>6400</v>
      </c>
      <c r="H1164">
        <v>0</v>
      </c>
      <c r="I1164">
        <v>1920</v>
      </c>
      <c r="J1164">
        <v>0</v>
      </c>
      <c r="K1164">
        <v>0</v>
      </c>
      <c r="L1164">
        <v>2</v>
      </c>
      <c r="M1164">
        <v>0</v>
      </c>
      <c r="N1164" t="s">
        <v>17</v>
      </c>
      <c r="O1164" s="1">
        <f>result[[#This Row],[n_killed_mutants_cumulativa]]/result[[#This Row],[tot_mutants]]</f>
        <v>0</v>
      </c>
    </row>
    <row r="1165" spans="1:15" hidden="1" x14ac:dyDescent="0.25">
      <c r="A1165" t="s">
        <v>186</v>
      </c>
      <c r="B1165" t="s">
        <v>27</v>
      </c>
      <c r="C1165" t="s">
        <v>16</v>
      </c>
      <c r="D1165">
        <v>13118</v>
      </c>
      <c r="E1165">
        <v>545</v>
      </c>
      <c r="F1165">
        <v>90</v>
      </c>
      <c r="G1165">
        <v>8100</v>
      </c>
      <c r="H1165">
        <v>0</v>
      </c>
      <c r="I1165">
        <v>2160</v>
      </c>
      <c r="J1165">
        <v>0</v>
      </c>
      <c r="K1165">
        <v>0</v>
      </c>
      <c r="L1165">
        <v>2</v>
      </c>
      <c r="M1165">
        <v>0</v>
      </c>
      <c r="N1165" t="s">
        <v>17</v>
      </c>
      <c r="O1165" s="1">
        <f>result[[#This Row],[n_killed_mutants_cumulativa]]/result[[#This Row],[tot_mutants]]</f>
        <v>0</v>
      </c>
    </row>
    <row r="1166" spans="1:15" hidden="1" x14ac:dyDescent="0.25">
      <c r="A1166" t="s">
        <v>186</v>
      </c>
      <c r="B1166" t="s">
        <v>30</v>
      </c>
      <c r="C1166" t="s">
        <v>16</v>
      </c>
      <c r="D1166">
        <v>14943</v>
      </c>
      <c r="E1166">
        <v>704</v>
      </c>
      <c r="F1166">
        <v>100</v>
      </c>
      <c r="G1166">
        <v>10000</v>
      </c>
      <c r="H1166">
        <v>0</v>
      </c>
      <c r="I1166">
        <v>2400</v>
      </c>
      <c r="J1166">
        <v>0</v>
      </c>
      <c r="K1166">
        <v>0</v>
      </c>
      <c r="L1166">
        <v>2</v>
      </c>
      <c r="M1166">
        <v>0</v>
      </c>
      <c r="N1166" t="s">
        <v>17</v>
      </c>
      <c r="O1166" s="1">
        <f>result[[#This Row],[n_killed_mutants_cumulativa]]/result[[#This Row],[tot_mutants]]</f>
        <v>0</v>
      </c>
    </row>
    <row r="1167" spans="1:15" hidden="1" x14ac:dyDescent="0.25">
      <c r="A1167" t="s">
        <v>186</v>
      </c>
      <c r="B1167" t="s">
        <v>31</v>
      </c>
      <c r="C1167" t="s">
        <v>16</v>
      </c>
      <c r="D1167">
        <v>18115</v>
      </c>
      <c r="E1167">
        <v>810</v>
      </c>
      <c r="F1167">
        <v>110</v>
      </c>
      <c r="G1167">
        <v>12100</v>
      </c>
      <c r="H1167">
        <v>0</v>
      </c>
      <c r="I1167">
        <v>2640</v>
      </c>
      <c r="J1167">
        <v>0</v>
      </c>
      <c r="K1167">
        <v>0</v>
      </c>
      <c r="L1167">
        <v>2</v>
      </c>
      <c r="M1167">
        <v>0</v>
      </c>
      <c r="N1167" t="s">
        <v>17</v>
      </c>
      <c r="O1167" s="1">
        <f>result[[#This Row],[n_killed_mutants_cumulativa]]/result[[#This Row],[tot_mutants]]</f>
        <v>0</v>
      </c>
    </row>
    <row r="1168" spans="1:15" hidden="1" x14ac:dyDescent="0.25">
      <c r="A1168" t="s">
        <v>186</v>
      </c>
      <c r="B1168" t="s">
        <v>36</v>
      </c>
      <c r="C1168" t="s">
        <v>16</v>
      </c>
      <c r="D1168">
        <v>21145</v>
      </c>
      <c r="E1168">
        <v>978</v>
      </c>
      <c r="F1168">
        <v>120</v>
      </c>
      <c r="G1168">
        <v>14400</v>
      </c>
      <c r="H1168">
        <v>0</v>
      </c>
      <c r="I1168">
        <v>2880</v>
      </c>
      <c r="J1168">
        <v>0</v>
      </c>
      <c r="K1168">
        <v>0</v>
      </c>
      <c r="L1168">
        <v>2</v>
      </c>
      <c r="M1168">
        <v>0</v>
      </c>
      <c r="N1168" t="s">
        <v>17</v>
      </c>
      <c r="O1168" s="1">
        <f>result[[#This Row],[n_killed_mutants_cumulativa]]/result[[#This Row],[tot_mutants]]</f>
        <v>0</v>
      </c>
    </row>
    <row r="1169" spans="1:16" hidden="1" x14ac:dyDescent="0.25">
      <c r="A1169" t="s">
        <v>186</v>
      </c>
      <c r="B1169" t="s">
        <v>40</v>
      </c>
      <c r="C1169" t="s">
        <v>16</v>
      </c>
      <c r="D1169">
        <v>24664</v>
      </c>
      <c r="E1169">
        <v>1109</v>
      </c>
      <c r="F1169">
        <v>130</v>
      </c>
      <c r="G1169">
        <v>16900</v>
      </c>
      <c r="H1169">
        <v>0</v>
      </c>
      <c r="I1169">
        <v>3120</v>
      </c>
      <c r="J1169">
        <v>0</v>
      </c>
      <c r="K1169">
        <v>0</v>
      </c>
      <c r="L1169">
        <v>2</v>
      </c>
      <c r="M1169">
        <v>0</v>
      </c>
      <c r="N1169" t="s">
        <v>17</v>
      </c>
      <c r="O1169" s="1">
        <f>result[[#This Row],[n_killed_mutants_cumulativa]]/result[[#This Row],[tot_mutants]]</f>
        <v>0</v>
      </c>
    </row>
    <row r="1170" spans="1:16" hidden="1" x14ac:dyDescent="0.25">
      <c r="A1170" t="s">
        <v>186</v>
      </c>
      <c r="B1170" t="s">
        <v>47</v>
      </c>
      <c r="C1170" t="s">
        <v>16</v>
      </c>
      <c r="D1170">
        <v>28311</v>
      </c>
      <c r="E1170">
        <v>1301</v>
      </c>
      <c r="F1170">
        <v>140</v>
      </c>
      <c r="G1170">
        <v>19600</v>
      </c>
      <c r="H1170">
        <v>0</v>
      </c>
      <c r="I1170">
        <v>3360</v>
      </c>
      <c r="J1170">
        <v>0</v>
      </c>
      <c r="K1170">
        <v>0</v>
      </c>
      <c r="L1170">
        <v>2</v>
      </c>
      <c r="M1170">
        <v>0</v>
      </c>
      <c r="N1170" t="s">
        <v>17</v>
      </c>
      <c r="O1170" s="1">
        <f>result[[#This Row],[n_killed_mutants_cumulativa]]/result[[#This Row],[tot_mutants]]</f>
        <v>0</v>
      </c>
    </row>
    <row r="1171" spans="1:16" hidden="1" x14ac:dyDescent="0.25">
      <c r="A1171" t="s">
        <v>186</v>
      </c>
      <c r="B1171" t="s">
        <v>48</v>
      </c>
      <c r="C1171" t="s">
        <v>16</v>
      </c>
      <c r="D1171">
        <v>32272</v>
      </c>
      <c r="E1171">
        <v>1489</v>
      </c>
      <c r="F1171">
        <v>150</v>
      </c>
      <c r="G1171">
        <v>22500</v>
      </c>
      <c r="H1171">
        <v>0</v>
      </c>
      <c r="I1171">
        <v>3600</v>
      </c>
      <c r="J1171">
        <v>0</v>
      </c>
      <c r="K1171">
        <v>0</v>
      </c>
      <c r="L1171">
        <v>2</v>
      </c>
      <c r="M1171">
        <v>0</v>
      </c>
      <c r="N1171" t="s">
        <v>17</v>
      </c>
      <c r="O1171" s="1">
        <f>result[[#This Row],[n_killed_mutants_cumulativa]]/result[[#This Row],[tot_mutants]]</f>
        <v>0</v>
      </c>
    </row>
    <row r="1172" spans="1:16" hidden="1" x14ac:dyDescent="0.25">
      <c r="A1172" t="s">
        <v>186</v>
      </c>
      <c r="B1172" t="s">
        <v>49</v>
      </c>
      <c r="C1172" t="s">
        <v>16</v>
      </c>
      <c r="D1172">
        <v>37131</v>
      </c>
      <c r="E1172">
        <v>1778</v>
      </c>
      <c r="F1172">
        <v>160</v>
      </c>
      <c r="G1172">
        <v>25600</v>
      </c>
      <c r="H1172">
        <v>0</v>
      </c>
      <c r="I1172">
        <v>3840</v>
      </c>
      <c r="J1172">
        <v>0</v>
      </c>
      <c r="K1172">
        <v>0</v>
      </c>
      <c r="L1172">
        <v>2</v>
      </c>
      <c r="M1172">
        <v>0</v>
      </c>
      <c r="N1172" t="s">
        <v>17</v>
      </c>
      <c r="O1172" s="1">
        <f>result[[#This Row],[n_killed_mutants_cumulativa]]/result[[#This Row],[tot_mutants]]</f>
        <v>0</v>
      </c>
    </row>
    <row r="1173" spans="1:16" hidden="1" x14ac:dyDescent="0.25">
      <c r="A1173" t="s">
        <v>186</v>
      </c>
      <c r="B1173" t="s">
        <v>50</v>
      </c>
      <c r="C1173" t="s">
        <v>16</v>
      </c>
      <c r="D1173">
        <v>43140</v>
      </c>
      <c r="E1173">
        <v>1893</v>
      </c>
      <c r="F1173">
        <v>170</v>
      </c>
      <c r="G1173">
        <v>28900</v>
      </c>
      <c r="H1173">
        <v>0</v>
      </c>
      <c r="I1173">
        <v>4080</v>
      </c>
      <c r="J1173">
        <v>0</v>
      </c>
      <c r="K1173">
        <v>0</v>
      </c>
      <c r="L1173">
        <v>2</v>
      </c>
      <c r="M1173">
        <v>0</v>
      </c>
      <c r="N1173" t="s">
        <v>17</v>
      </c>
      <c r="O1173" s="1">
        <f>result[[#This Row],[n_killed_mutants_cumulativa]]/result[[#This Row],[tot_mutants]]</f>
        <v>0</v>
      </c>
    </row>
    <row r="1174" spans="1:16" hidden="1" x14ac:dyDescent="0.25">
      <c r="A1174" t="s">
        <v>186</v>
      </c>
      <c r="B1174" t="s">
        <v>51</v>
      </c>
      <c r="C1174" t="s">
        <v>16</v>
      </c>
      <c r="D1174">
        <v>48626</v>
      </c>
      <c r="E1174">
        <v>2123</v>
      </c>
      <c r="F1174">
        <v>180</v>
      </c>
      <c r="G1174">
        <v>32400</v>
      </c>
      <c r="H1174">
        <v>0</v>
      </c>
      <c r="I1174">
        <v>4320</v>
      </c>
      <c r="J1174">
        <v>0</v>
      </c>
      <c r="K1174">
        <v>0</v>
      </c>
      <c r="L1174">
        <v>2</v>
      </c>
      <c r="M1174">
        <v>0</v>
      </c>
      <c r="N1174" t="s">
        <v>17</v>
      </c>
      <c r="O1174" s="1">
        <f>result[[#This Row],[n_killed_mutants_cumulativa]]/result[[#This Row],[tot_mutants]]</f>
        <v>0</v>
      </c>
    </row>
    <row r="1175" spans="1:16" hidden="1" x14ac:dyDescent="0.25">
      <c r="A1175" t="s">
        <v>186</v>
      </c>
      <c r="B1175" t="s">
        <v>52</v>
      </c>
      <c r="C1175" t="s">
        <v>16</v>
      </c>
      <c r="D1175">
        <v>54900</v>
      </c>
      <c r="E1175">
        <v>2408</v>
      </c>
      <c r="F1175">
        <v>190</v>
      </c>
      <c r="G1175">
        <v>36100</v>
      </c>
      <c r="H1175">
        <v>0</v>
      </c>
      <c r="I1175">
        <v>4560</v>
      </c>
      <c r="J1175">
        <v>0</v>
      </c>
      <c r="K1175">
        <v>0</v>
      </c>
      <c r="L1175">
        <v>2</v>
      </c>
      <c r="M1175">
        <v>0</v>
      </c>
      <c r="N1175" t="s">
        <v>17</v>
      </c>
      <c r="O1175" s="1">
        <f>result[[#This Row],[n_killed_mutants_cumulativa]]/result[[#This Row],[tot_mutants]]</f>
        <v>0</v>
      </c>
    </row>
    <row r="1176" spans="1:16" hidden="1" x14ac:dyDescent="0.25">
      <c r="A1176" t="s">
        <v>186</v>
      </c>
      <c r="B1176" t="s">
        <v>53</v>
      </c>
      <c r="C1176" t="s">
        <v>16</v>
      </c>
      <c r="D1176">
        <v>61516</v>
      </c>
      <c r="E1176">
        <v>2609</v>
      </c>
      <c r="F1176">
        <v>200</v>
      </c>
      <c r="G1176">
        <v>40000</v>
      </c>
      <c r="H1176">
        <v>0</v>
      </c>
      <c r="I1176">
        <v>4800</v>
      </c>
      <c r="J1176">
        <v>0</v>
      </c>
      <c r="K1176">
        <v>0</v>
      </c>
      <c r="L1176">
        <v>2</v>
      </c>
      <c r="M1176">
        <v>0</v>
      </c>
      <c r="N1176" t="s">
        <v>17</v>
      </c>
      <c r="O1176" s="1">
        <f>result[[#This Row],[n_killed_mutants_cumulativa]]/result[[#This Row],[tot_mutants]]</f>
        <v>0</v>
      </c>
    </row>
    <row r="1177" spans="1:16" hidden="1" x14ac:dyDescent="0.25">
      <c r="A1177" t="s">
        <v>186</v>
      </c>
      <c r="B1177" t="s">
        <v>22</v>
      </c>
      <c r="C1177" t="s">
        <v>16</v>
      </c>
      <c r="D1177">
        <v>444164</v>
      </c>
      <c r="E1177">
        <v>19653</v>
      </c>
      <c r="F1177">
        <v>2100</v>
      </c>
      <c r="G1177">
        <v>287000</v>
      </c>
      <c r="H1177">
        <v>0</v>
      </c>
      <c r="I1177">
        <v>50330</v>
      </c>
      <c r="J1177">
        <v>0</v>
      </c>
      <c r="K1177">
        <v>0</v>
      </c>
      <c r="L1177">
        <v>2</v>
      </c>
      <c r="M1177">
        <v>0</v>
      </c>
      <c r="N1177" t="s">
        <v>17</v>
      </c>
      <c r="O1177" s="1">
        <f>result[[#This Row],[n_killed_mutants_cumulativa]]/result[[#This Row],[tot_mutants]]</f>
        <v>0</v>
      </c>
      <c r="P1177" s="9" t="s">
        <v>346</v>
      </c>
    </row>
    <row r="1178" spans="1:16" hidden="1" x14ac:dyDescent="0.25">
      <c r="A1178" t="s">
        <v>187</v>
      </c>
      <c r="B1178" t="s">
        <v>15</v>
      </c>
      <c r="C1178" t="s">
        <v>16</v>
      </c>
      <c r="D1178">
        <v>1642</v>
      </c>
      <c r="E1178">
        <v>108</v>
      </c>
      <c r="F1178">
        <v>4</v>
      </c>
      <c r="G1178">
        <v>7</v>
      </c>
      <c r="H1178">
        <v>20</v>
      </c>
      <c r="I1178">
        <v>3</v>
      </c>
      <c r="J1178">
        <v>6</v>
      </c>
      <c r="K1178">
        <v>0</v>
      </c>
      <c r="L1178">
        <v>1</v>
      </c>
      <c r="M1178">
        <v>1</v>
      </c>
      <c r="N1178" t="s">
        <v>55</v>
      </c>
      <c r="O1178" s="1">
        <f>result[[#This Row],[n_killed_mutants_cumulativa]]/result[[#This Row],[tot_mutants]]</f>
        <v>1</v>
      </c>
    </row>
    <row r="1179" spans="1:16" x14ac:dyDescent="0.25">
      <c r="A1179" t="s">
        <v>187</v>
      </c>
      <c r="B1179" t="s">
        <v>22</v>
      </c>
      <c r="C1179" t="s">
        <v>16</v>
      </c>
      <c r="D1179">
        <v>1642</v>
      </c>
      <c r="E1179">
        <v>108</v>
      </c>
      <c r="F1179">
        <v>4</v>
      </c>
      <c r="G1179">
        <v>7</v>
      </c>
      <c r="H1179">
        <v>20</v>
      </c>
      <c r="I1179">
        <v>3</v>
      </c>
      <c r="J1179">
        <v>6</v>
      </c>
      <c r="K1179">
        <v>0</v>
      </c>
      <c r="L1179">
        <v>1</v>
      </c>
      <c r="M1179">
        <v>1</v>
      </c>
      <c r="N1179" t="s">
        <v>55</v>
      </c>
      <c r="O1179" s="1">
        <f>result[[#This Row],[n_killed_mutants_cumulativa]]/result[[#This Row],[tot_mutants]]</f>
        <v>1</v>
      </c>
      <c r="P1179" s="9" t="s">
        <v>364</v>
      </c>
    </row>
    <row r="1180" spans="1:16" hidden="1" x14ac:dyDescent="0.25">
      <c r="A1180" t="s">
        <v>188</v>
      </c>
      <c r="B1180" t="s">
        <v>15</v>
      </c>
      <c r="C1180" t="s">
        <v>16</v>
      </c>
      <c r="D1180">
        <v>5653</v>
      </c>
      <c r="E1180">
        <v>3661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10</v>
      </c>
      <c r="L1180">
        <v>2</v>
      </c>
      <c r="M1180">
        <v>0</v>
      </c>
      <c r="N1180" t="s">
        <v>17</v>
      </c>
      <c r="O1180" s="1">
        <f>result[[#This Row],[n_killed_mutants_cumulativa]]/result[[#This Row],[tot_mutants]]</f>
        <v>0</v>
      </c>
    </row>
    <row r="1181" spans="1:16" hidden="1" x14ac:dyDescent="0.25">
      <c r="A1181" t="s">
        <v>188</v>
      </c>
      <c r="B1181" t="s">
        <v>18</v>
      </c>
      <c r="C1181" t="s">
        <v>16</v>
      </c>
      <c r="D1181">
        <v>32030</v>
      </c>
      <c r="E1181">
        <v>30523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20</v>
      </c>
      <c r="L1181">
        <v>2</v>
      </c>
      <c r="M1181">
        <v>0</v>
      </c>
      <c r="N1181" t="s">
        <v>17</v>
      </c>
      <c r="O1181" s="1">
        <f>result[[#This Row],[n_killed_mutants_cumulativa]]/result[[#This Row],[tot_mutants]]</f>
        <v>0</v>
      </c>
    </row>
    <row r="1182" spans="1:16" hidden="1" x14ac:dyDescent="0.25">
      <c r="A1182" t="s">
        <v>188</v>
      </c>
      <c r="B1182" t="s">
        <v>19</v>
      </c>
      <c r="C1182" t="s">
        <v>16</v>
      </c>
      <c r="D1182">
        <v>138443</v>
      </c>
      <c r="E1182">
        <v>137025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30</v>
      </c>
      <c r="L1182">
        <v>2</v>
      </c>
      <c r="M1182">
        <v>0</v>
      </c>
      <c r="N1182" t="s">
        <v>17</v>
      </c>
      <c r="O1182" s="1">
        <f>result[[#This Row],[n_killed_mutants_cumulativa]]/result[[#This Row],[tot_mutants]]</f>
        <v>0</v>
      </c>
    </row>
    <row r="1183" spans="1:16" hidden="1" x14ac:dyDescent="0.25">
      <c r="A1183" t="s">
        <v>188</v>
      </c>
      <c r="B1183" t="s">
        <v>20</v>
      </c>
      <c r="C1183" t="s">
        <v>16</v>
      </c>
      <c r="D1183">
        <v>413432</v>
      </c>
      <c r="E1183">
        <v>411496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40</v>
      </c>
      <c r="L1183">
        <v>2</v>
      </c>
      <c r="M1183">
        <v>0</v>
      </c>
      <c r="N1183" t="s">
        <v>17</v>
      </c>
      <c r="O1183" s="1">
        <f>result[[#This Row],[n_killed_mutants_cumulativa]]/result[[#This Row],[tot_mutants]]</f>
        <v>0</v>
      </c>
    </row>
    <row r="1184" spans="1:16" hidden="1" x14ac:dyDescent="0.25">
      <c r="A1184" t="s">
        <v>188</v>
      </c>
      <c r="B1184" t="s">
        <v>21</v>
      </c>
      <c r="C1184" t="s">
        <v>16</v>
      </c>
      <c r="D1184">
        <v>904372</v>
      </c>
      <c r="E1184">
        <v>901979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50</v>
      </c>
      <c r="L1184">
        <v>2</v>
      </c>
      <c r="M1184">
        <v>0</v>
      </c>
      <c r="N1184" t="s">
        <v>17</v>
      </c>
      <c r="O1184" s="1">
        <f>result[[#This Row],[n_killed_mutants_cumulativa]]/result[[#This Row],[tot_mutants]]</f>
        <v>0</v>
      </c>
    </row>
    <row r="1185" spans="1:15" hidden="1" x14ac:dyDescent="0.25">
      <c r="A1185" t="s">
        <v>188</v>
      </c>
      <c r="B1185" t="s">
        <v>22</v>
      </c>
      <c r="C1185" t="s">
        <v>16</v>
      </c>
      <c r="D1185">
        <v>1493930</v>
      </c>
      <c r="E1185">
        <v>1484684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150</v>
      </c>
      <c r="L1185">
        <v>2</v>
      </c>
      <c r="M1185">
        <v>0</v>
      </c>
      <c r="N1185" t="s">
        <v>17</v>
      </c>
      <c r="O1185" s="1">
        <f>result[[#This Row],[n_killed_mutants_cumulativa]]/result[[#This Row],[tot_mutants]]</f>
        <v>0</v>
      </c>
    </row>
    <row r="1186" spans="1:15" hidden="1" x14ac:dyDescent="0.25">
      <c r="A1186" t="s">
        <v>189</v>
      </c>
      <c r="B1186" t="s">
        <v>15</v>
      </c>
      <c r="C1186" t="s">
        <v>16</v>
      </c>
      <c r="D1186">
        <v>1976</v>
      </c>
      <c r="E1186">
        <v>35</v>
      </c>
      <c r="F1186">
        <v>10</v>
      </c>
      <c r="G1186">
        <v>100</v>
      </c>
      <c r="H1186">
        <v>0</v>
      </c>
      <c r="I1186">
        <v>0</v>
      </c>
      <c r="J1186">
        <v>0</v>
      </c>
      <c r="K1186">
        <v>0</v>
      </c>
      <c r="L1186">
        <v>1</v>
      </c>
      <c r="M1186">
        <v>0</v>
      </c>
      <c r="N1186" t="s">
        <v>17</v>
      </c>
      <c r="O1186" s="1">
        <f>result[[#This Row],[n_killed_mutants_cumulativa]]/result[[#This Row],[tot_mutants]]</f>
        <v>0</v>
      </c>
    </row>
    <row r="1187" spans="1:15" hidden="1" x14ac:dyDescent="0.25">
      <c r="A1187" t="s">
        <v>189</v>
      </c>
      <c r="B1187" t="s">
        <v>18</v>
      </c>
      <c r="C1187" t="s">
        <v>16</v>
      </c>
      <c r="D1187">
        <v>1431</v>
      </c>
      <c r="E1187">
        <v>11</v>
      </c>
      <c r="F1187">
        <v>20</v>
      </c>
      <c r="G1187">
        <v>400</v>
      </c>
      <c r="H1187">
        <v>0</v>
      </c>
      <c r="I1187">
        <v>0</v>
      </c>
      <c r="J1187">
        <v>0</v>
      </c>
      <c r="K1187">
        <v>0</v>
      </c>
      <c r="L1187">
        <v>1</v>
      </c>
      <c r="M1187">
        <v>0</v>
      </c>
      <c r="N1187" t="s">
        <v>17</v>
      </c>
      <c r="O1187" s="1">
        <f>result[[#This Row],[n_killed_mutants_cumulativa]]/result[[#This Row],[tot_mutants]]</f>
        <v>0</v>
      </c>
    </row>
    <row r="1188" spans="1:15" hidden="1" x14ac:dyDescent="0.25">
      <c r="A1188" t="s">
        <v>189</v>
      </c>
      <c r="B1188" t="s">
        <v>19</v>
      </c>
      <c r="C1188" t="s">
        <v>16</v>
      </c>
      <c r="D1188">
        <v>2079</v>
      </c>
      <c r="E1188">
        <v>9</v>
      </c>
      <c r="F1188">
        <v>30</v>
      </c>
      <c r="G1188">
        <v>900</v>
      </c>
      <c r="H1188">
        <v>0</v>
      </c>
      <c r="I1188">
        <v>0</v>
      </c>
      <c r="J1188">
        <v>0</v>
      </c>
      <c r="K1188">
        <v>0</v>
      </c>
      <c r="L1188">
        <v>1</v>
      </c>
      <c r="M1188">
        <v>0</v>
      </c>
      <c r="N1188" t="s">
        <v>17</v>
      </c>
      <c r="O1188" s="1">
        <f>result[[#This Row],[n_killed_mutants_cumulativa]]/result[[#This Row],[tot_mutants]]</f>
        <v>0</v>
      </c>
    </row>
    <row r="1189" spans="1:15" hidden="1" x14ac:dyDescent="0.25">
      <c r="A1189" t="s">
        <v>189</v>
      </c>
      <c r="B1189" t="s">
        <v>20</v>
      </c>
      <c r="C1189" t="s">
        <v>16</v>
      </c>
      <c r="D1189">
        <v>2324</v>
      </c>
      <c r="E1189">
        <v>13</v>
      </c>
      <c r="F1189">
        <v>40</v>
      </c>
      <c r="G1189">
        <v>1600</v>
      </c>
      <c r="H1189">
        <v>0</v>
      </c>
      <c r="I1189">
        <v>0</v>
      </c>
      <c r="J1189">
        <v>0</v>
      </c>
      <c r="K1189">
        <v>0</v>
      </c>
      <c r="L1189">
        <v>1</v>
      </c>
      <c r="M1189">
        <v>0</v>
      </c>
      <c r="N1189" t="s">
        <v>17</v>
      </c>
      <c r="O1189" s="1">
        <f>result[[#This Row],[n_killed_mutants_cumulativa]]/result[[#This Row],[tot_mutants]]</f>
        <v>0</v>
      </c>
    </row>
    <row r="1190" spans="1:15" hidden="1" x14ac:dyDescent="0.25">
      <c r="A1190" t="s">
        <v>189</v>
      </c>
      <c r="B1190" t="s">
        <v>21</v>
      </c>
      <c r="C1190" t="s">
        <v>16</v>
      </c>
      <c r="D1190">
        <v>2592</v>
      </c>
      <c r="E1190">
        <v>15</v>
      </c>
      <c r="F1190">
        <v>50</v>
      </c>
      <c r="G1190">
        <v>2500</v>
      </c>
      <c r="H1190">
        <v>0</v>
      </c>
      <c r="I1190">
        <v>0</v>
      </c>
      <c r="J1190">
        <v>0</v>
      </c>
      <c r="K1190">
        <v>0</v>
      </c>
      <c r="L1190">
        <v>1</v>
      </c>
      <c r="M1190">
        <v>0</v>
      </c>
      <c r="N1190" t="s">
        <v>17</v>
      </c>
      <c r="O1190" s="1">
        <f>result[[#This Row],[n_killed_mutants_cumulativa]]/result[[#This Row],[tot_mutants]]</f>
        <v>0</v>
      </c>
    </row>
    <row r="1191" spans="1:15" hidden="1" x14ac:dyDescent="0.25">
      <c r="A1191" t="s">
        <v>189</v>
      </c>
      <c r="B1191" t="s">
        <v>24</v>
      </c>
      <c r="C1191" t="s">
        <v>16</v>
      </c>
      <c r="D1191">
        <v>3098</v>
      </c>
      <c r="E1191">
        <v>11</v>
      </c>
      <c r="F1191">
        <v>60</v>
      </c>
      <c r="G1191">
        <v>3600</v>
      </c>
      <c r="H1191">
        <v>0</v>
      </c>
      <c r="I1191">
        <v>0</v>
      </c>
      <c r="J1191">
        <v>0</v>
      </c>
      <c r="K1191">
        <v>0</v>
      </c>
      <c r="L1191">
        <v>1</v>
      </c>
      <c r="M1191">
        <v>0</v>
      </c>
      <c r="N1191" t="s">
        <v>17</v>
      </c>
      <c r="O1191" s="1">
        <f>result[[#This Row],[n_killed_mutants_cumulativa]]/result[[#This Row],[tot_mutants]]</f>
        <v>0</v>
      </c>
    </row>
    <row r="1192" spans="1:15" hidden="1" x14ac:dyDescent="0.25">
      <c r="A1192" t="s">
        <v>189</v>
      </c>
      <c r="B1192" t="s">
        <v>25</v>
      </c>
      <c r="C1192" t="s">
        <v>16</v>
      </c>
      <c r="D1192">
        <v>4102</v>
      </c>
      <c r="E1192">
        <v>11</v>
      </c>
      <c r="F1192">
        <v>70</v>
      </c>
      <c r="G1192">
        <v>4900</v>
      </c>
      <c r="H1192">
        <v>0</v>
      </c>
      <c r="I1192">
        <v>0</v>
      </c>
      <c r="J1192">
        <v>0</v>
      </c>
      <c r="K1192">
        <v>0</v>
      </c>
      <c r="L1192">
        <v>1</v>
      </c>
      <c r="M1192">
        <v>0</v>
      </c>
      <c r="N1192" t="s">
        <v>17</v>
      </c>
      <c r="O1192" s="1">
        <f>result[[#This Row],[n_killed_mutants_cumulativa]]/result[[#This Row],[tot_mutants]]</f>
        <v>0</v>
      </c>
    </row>
    <row r="1193" spans="1:15" hidden="1" x14ac:dyDescent="0.25">
      <c r="A1193" t="s">
        <v>189</v>
      </c>
      <c r="B1193" t="s">
        <v>26</v>
      </c>
      <c r="C1193" t="s">
        <v>16</v>
      </c>
      <c r="D1193">
        <v>4892</v>
      </c>
      <c r="E1193">
        <v>15</v>
      </c>
      <c r="F1193">
        <v>80</v>
      </c>
      <c r="G1193">
        <v>6400</v>
      </c>
      <c r="H1193">
        <v>0</v>
      </c>
      <c r="I1193">
        <v>0</v>
      </c>
      <c r="J1193">
        <v>0</v>
      </c>
      <c r="K1193">
        <v>0</v>
      </c>
      <c r="L1193">
        <v>1</v>
      </c>
      <c r="M1193">
        <v>0</v>
      </c>
      <c r="N1193" t="s">
        <v>17</v>
      </c>
      <c r="O1193" s="1">
        <f>result[[#This Row],[n_killed_mutants_cumulativa]]/result[[#This Row],[tot_mutants]]</f>
        <v>0</v>
      </c>
    </row>
    <row r="1194" spans="1:15" hidden="1" x14ac:dyDescent="0.25">
      <c r="A1194" t="s">
        <v>189</v>
      </c>
      <c r="B1194" t="s">
        <v>27</v>
      </c>
      <c r="C1194" t="s">
        <v>16</v>
      </c>
      <c r="D1194">
        <v>6084</v>
      </c>
      <c r="E1194">
        <v>18</v>
      </c>
      <c r="F1194">
        <v>90</v>
      </c>
      <c r="G1194">
        <v>8100</v>
      </c>
      <c r="H1194">
        <v>0</v>
      </c>
      <c r="I1194">
        <v>0</v>
      </c>
      <c r="J1194">
        <v>0</v>
      </c>
      <c r="K1194">
        <v>0</v>
      </c>
      <c r="L1194">
        <v>1</v>
      </c>
      <c r="M1194">
        <v>0</v>
      </c>
      <c r="N1194" t="s">
        <v>17</v>
      </c>
      <c r="O1194" s="1">
        <f>result[[#This Row],[n_killed_mutants_cumulativa]]/result[[#This Row],[tot_mutants]]</f>
        <v>0</v>
      </c>
    </row>
    <row r="1195" spans="1:15" hidden="1" x14ac:dyDescent="0.25">
      <c r="A1195" t="s">
        <v>189</v>
      </c>
      <c r="B1195" t="s">
        <v>30</v>
      </c>
      <c r="C1195" t="s">
        <v>16</v>
      </c>
      <c r="D1195">
        <v>7043</v>
      </c>
      <c r="E1195">
        <v>21</v>
      </c>
      <c r="F1195">
        <v>100</v>
      </c>
      <c r="G1195">
        <v>10000</v>
      </c>
      <c r="H1195">
        <v>0</v>
      </c>
      <c r="I1195">
        <v>0</v>
      </c>
      <c r="J1195">
        <v>0</v>
      </c>
      <c r="K1195">
        <v>0</v>
      </c>
      <c r="L1195">
        <v>1</v>
      </c>
      <c r="M1195">
        <v>0</v>
      </c>
      <c r="N1195" t="s">
        <v>17</v>
      </c>
      <c r="O1195" s="1">
        <f>result[[#This Row],[n_killed_mutants_cumulativa]]/result[[#This Row],[tot_mutants]]</f>
        <v>0</v>
      </c>
    </row>
    <row r="1196" spans="1:15" hidden="1" x14ac:dyDescent="0.25">
      <c r="A1196" t="s">
        <v>189</v>
      </c>
      <c r="B1196" t="s">
        <v>31</v>
      </c>
      <c r="C1196" t="s">
        <v>16</v>
      </c>
      <c r="D1196">
        <v>8276</v>
      </c>
      <c r="E1196">
        <v>26</v>
      </c>
      <c r="F1196">
        <v>110</v>
      </c>
      <c r="G1196">
        <v>12100</v>
      </c>
      <c r="H1196">
        <v>0</v>
      </c>
      <c r="I1196">
        <v>0</v>
      </c>
      <c r="J1196">
        <v>0</v>
      </c>
      <c r="K1196">
        <v>0</v>
      </c>
      <c r="L1196">
        <v>1</v>
      </c>
      <c r="M1196">
        <v>0</v>
      </c>
      <c r="N1196" t="s">
        <v>17</v>
      </c>
      <c r="O1196" s="1">
        <f>result[[#This Row],[n_killed_mutants_cumulativa]]/result[[#This Row],[tot_mutants]]</f>
        <v>0</v>
      </c>
    </row>
    <row r="1197" spans="1:15" hidden="1" x14ac:dyDescent="0.25">
      <c r="A1197" t="s">
        <v>189</v>
      </c>
      <c r="B1197" t="s">
        <v>36</v>
      </c>
      <c r="C1197" t="s">
        <v>16</v>
      </c>
      <c r="D1197">
        <v>10101</v>
      </c>
      <c r="E1197">
        <v>31</v>
      </c>
      <c r="F1197">
        <v>120</v>
      </c>
      <c r="G1197">
        <v>14400</v>
      </c>
      <c r="H1197">
        <v>0</v>
      </c>
      <c r="I1197">
        <v>0</v>
      </c>
      <c r="J1197">
        <v>0</v>
      </c>
      <c r="K1197">
        <v>0</v>
      </c>
      <c r="L1197">
        <v>1</v>
      </c>
      <c r="M1197">
        <v>0</v>
      </c>
      <c r="N1197" t="s">
        <v>17</v>
      </c>
      <c r="O1197" s="1">
        <f>result[[#This Row],[n_killed_mutants_cumulativa]]/result[[#This Row],[tot_mutants]]</f>
        <v>0</v>
      </c>
    </row>
    <row r="1198" spans="1:15" hidden="1" x14ac:dyDescent="0.25">
      <c r="A1198" t="s">
        <v>189</v>
      </c>
      <c r="B1198" t="s">
        <v>40</v>
      </c>
      <c r="C1198" t="s">
        <v>16</v>
      </c>
      <c r="D1198">
        <v>11996</v>
      </c>
      <c r="E1198">
        <v>33</v>
      </c>
      <c r="F1198">
        <v>130</v>
      </c>
      <c r="G1198">
        <v>16900</v>
      </c>
      <c r="H1198">
        <v>0</v>
      </c>
      <c r="I1198">
        <v>0</v>
      </c>
      <c r="J1198">
        <v>0</v>
      </c>
      <c r="K1198">
        <v>0</v>
      </c>
      <c r="L1198">
        <v>1</v>
      </c>
      <c r="M1198">
        <v>0</v>
      </c>
      <c r="N1198" t="s">
        <v>17</v>
      </c>
      <c r="O1198" s="1">
        <f>result[[#This Row],[n_killed_mutants_cumulativa]]/result[[#This Row],[tot_mutants]]</f>
        <v>0</v>
      </c>
    </row>
    <row r="1199" spans="1:15" hidden="1" x14ac:dyDescent="0.25">
      <c r="A1199" t="s">
        <v>189</v>
      </c>
      <c r="B1199" t="s">
        <v>47</v>
      </c>
      <c r="C1199" t="s">
        <v>16</v>
      </c>
      <c r="D1199">
        <v>14099</v>
      </c>
      <c r="E1199">
        <v>37</v>
      </c>
      <c r="F1199">
        <v>140</v>
      </c>
      <c r="G1199">
        <v>19600</v>
      </c>
      <c r="H1199">
        <v>0</v>
      </c>
      <c r="I1199">
        <v>0</v>
      </c>
      <c r="J1199">
        <v>0</v>
      </c>
      <c r="K1199">
        <v>0</v>
      </c>
      <c r="L1199">
        <v>1</v>
      </c>
      <c r="M1199">
        <v>0</v>
      </c>
      <c r="N1199" t="s">
        <v>17</v>
      </c>
      <c r="O1199" s="1">
        <f>result[[#This Row],[n_killed_mutants_cumulativa]]/result[[#This Row],[tot_mutants]]</f>
        <v>0</v>
      </c>
    </row>
    <row r="1200" spans="1:15" hidden="1" x14ac:dyDescent="0.25">
      <c r="A1200" t="s">
        <v>189</v>
      </c>
      <c r="B1200" t="s">
        <v>48</v>
      </c>
      <c r="C1200" t="s">
        <v>16</v>
      </c>
      <c r="D1200">
        <v>16415</v>
      </c>
      <c r="E1200">
        <v>43</v>
      </c>
      <c r="F1200">
        <v>150</v>
      </c>
      <c r="G1200">
        <v>22500</v>
      </c>
      <c r="H1200">
        <v>0</v>
      </c>
      <c r="I1200">
        <v>0</v>
      </c>
      <c r="J1200">
        <v>0</v>
      </c>
      <c r="K1200">
        <v>0</v>
      </c>
      <c r="L1200">
        <v>1</v>
      </c>
      <c r="M1200">
        <v>0</v>
      </c>
      <c r="N1200" t="s">
        <v>17</v>
      </c>
      <c r="O1200" s="1">
        <f>result[[#This Row],[n_killed_mutants_cumulativa]]/result[[#This Row],[tot_mutants]]</f>
        <v>0</v>
      </c>
    </row>
    <row r="1201" spans="1:16" hidden="1" x14ac:dyDescent="0.25">
      <c r="A1201" t="s">
        <v>189</v>
      </c>
      <c r="B1201" t="s">
        <v>49</v>
      </c>
      <c r="C1201" t="s">
        <v>16</v>
      </c>
      <c r="D1201">
        <v>19012</v>
      </c>
      <c r="E1201">
        <v>48</v>
      </c>
      <c r="F1201">
        <v>160</v>
      </c>
      <c r="G1201">
        <v>25600</v>
      </c>
      <c r="H1201">
        <v>0</v>
      </c>
      <c r="I1201">
        <v>0</v>
      </c>
      <c r="J1201">
        <v>0</v>
      </c>
      <c r="K1201">
        <v>0</v>
      </c>
      <c r="L1201">
        <v>1</v>
      </c>
      <c r="M1201">
        <v>0</v>
      </c>
      <c r="N1201" t="s">
        <v>17</v>
      </c>
      <c r="O1201" s="1">
        <f>result[[#This Row],[n_killed_mutants_cumulativa]]/result[[#This Row],[tot_mutants]]</f>
        <v>0</v>
      </c>
    </row>
    <row r="1202" spans="1:16" hidden="1" x14ac:dyDescent="0.25">
      <c r="A1202" t="s">
        <v>189</v>
      </c>
      <c r="B1202" t="s">
        <v>50</v>
      </c>
      <c r="C1202" t="s">
        <v>16</v>
      </c>
      <c r="D1202">
        <v>21511</v>
      </c>
      <c r="E1202">
        <v>54</v>
      </c>
      <c r="F1202">
        <v>170</v>
      </c>
      <c r="G1202">
        <v>28900</v>
      </c>
      <c r="H1202">
        <v>0</v>
      </c>
      <c r="I1202">
        <v>0</v>
      </c>
      <c r="J1202">
        <v>0</v>
      </c>
      <c r="K1202">
        <v>0</v>
      </c>
      <c r="L1202">
        <v>1</v>
      </c>
      <c r="M1202">
        <v>0</v>
      </c>
      <c r="N1202" t="s">
        <v>17</v>
      </c>
      <c r="O1202" s="1">
        <f>result[[#This Row],[n_killed_mutants_cumulativa]]/result[[#This Row],[tot_mutants]]</f>
        <v>0</v>
      </c>
    </row>
    <row r="1203" spans="1:16" hidden="1" x14ac:dyDescent="0.25">
      <c r="A1203" t="s">
        <v>189</v>
      </c>
      <c r="B1203" t="s">
        <v>51</v>
      </c>
      <c r="C1203" t="s">
        <v>16</v>
      </c>
      <c r="D1203">
        <v>24869</v>
      </c>
      <c r="E1203">
        <v>64</v>
      </c>
      <c r="F1203">
        <v>180</v>
      </c>
      <c r="G1203">
        <v>32400</v>
      </c>
      <c r="H1203">
        <v>0</v>
      </c>
      <c r="I1203">
        <v>0</v>
      </c>
      <c r="J1203">
        <v>0</v>
      </c>
      <c r="K1203">
        <v>0</v>
      </c>
      <c r="L1203">
        <v>1</v>
      </c>
      <c r="M1203">
        <v>0</v>
      </c>
      <c r="N1203" t="s">
        <v>17</v>
      </c>
      <c r="O1203" s="1">
        <f>result[[#This Row],[n_killed_mutants_cumulativa]]/result[[#This Row],[tot_mutants]]</f>
        <v>0</v>
      </c>
    </row>
    <row r="1204" spans="1:16" hidden="1" x14ac:dyDescent="0.25">
      <c r="A1204" t="s">
        <v>189</v>
      </c>
      <c r="B1204" t="s">
        <v>52</v>
      </c>
      <c r="C1204" t="s">
        <v>16</v>
      </c>
      <c r="D1204">
        <v>28118</v>
      </c>
      <c r="E1204">
        <v>67</v>
      </c>
      <c r="F1204">
        <v>190</v>
      </c>
      <c r="G1204">
        <v>36100</v>
      </c>
      <c r="H1204">
        <v>0</v>
      </c>
      <c r="I1204">
        <v>0</v>
      </c>
      <c r="J1204">
        <v>0</v>
      </c>
      <c r="K1204">
        <v>0</v>
      </c>
      <c r="L1204">
        <v>1</v>
      </c>
      <c r="M1204">
        <v>0</v>
      </c>
      <c r="N1204" t="s">
        <v>17</v>
      </c>
      <c r="O1204" s="1">
        <f>result[[#This Row],[n_killed_mutants_cumulativa]]/result[[#This Row],[tot_mutants]]</f>
        <v>0</v>
      </c>
    </row>
    <row r="1205" spans="1:16" hidden="1" x14ac:dyDescent="0.25">
      <c r="A1205" t="s">
        <v>189</v>
      </c>
      <c r="B1205" t="s">
        <v>53</v>
      </c>
      <c r="C1205" t="s">
        <v>16</v>
      </c>
      <c r="D1205">
        <v>31811</v>
      </c>
      <c r="E1205">
        <v>75</v>
      </c>
      <c r="F1205">
        <v>200</v>
      </c>
      <c r="G1205">
        <v>40000</v>
      </c>
      <c r="H1205">
        <v>0</v>
      </c>
      <c r="I1205">
        <v>0</v>
      </c>
      <c r="J1205">
        <v>0</v>
      </c>
      <c r="K1205">
        <v>0</v>
      </c>
      <c r="L1205">
        <v>1</v>
      </c>
      <c r="M1205">
        <v>0</v>
      </c>
      <c r="N1205" t="s">
        <v>17</v>
      </c>
      <c r="O1205" s="1">
        <f>result[[#This Row],[n_killed_mutants_cumulativa]]/result[[#This Row],[tot_mutants]]</f>
        <v>0</v>
      </c>
    </row>
    <row r="1206" spans="1:16" hidden="1" x14ac:dyDescent="0.25">
      <c r="A1206" t="s">
        <v>189</v>
      </c>
      <c r="B1206" t="s">
        <v>22</v>
      </c>
      <c r="C1206" t="s">
        <v>16</v>
      </c>
      <c r="D1206">
        <v>221829</v>
      </c>
      <c r="E1206">
        <v>637</v>
      </c>
      <c r="F1206">
        <v>2100</v>
      </c>
      <c r="G1206">
        <v>287000</v>
      </c>
      <c r="H1206">
        <v>0</v>
      </c>
      <c r="I1206">
        <v>0</v>
      </c>
      <c r="J1206">
        <v>0</v>
      </c>
      <c r="K1206">
        <v>0</v>
      </c>
      <c r="L1206">
        <v>1</v>
      </c>
      <c r="M1206">
        <v>0</v>
      </c>
      <c r="N1206" t="s">
        <v>17</v>
      </c>
      <c r="O1206" s="1">
        <f>result[[#This Row],[n_killed_mutants_cumulativa]]/result[[#This Row],[tot_mutants]]</f>
        <v>0</v>
      </c>
      <c r="P1206" s="9" t="s">
        <v>346</v>
      </c>
    </row>
    <row r="1207" spans="1:16" hidden="1" x14ac:dyDescent="0.25">
      <c r="A1207" t="s">
        <v>190</v>
      </c>
      <c r="B1207" t="s">
        <v>15</v>
      </c>
      <c r="C1207" t="s">
        <v>16</v>
      </c>
      <c r="D1207">
        <v>2038</v>
      </c>
      <c r="E1207">
        <v>191</v>
      </c>
      <c r="F1207">
        <v>0</v>
      </c>
      <c r="G1207">
        <v>0</v>
      </c>
      <c r="H1207">
        <v>0</v>
      </c>
      <c r="I1207">
        <v>0</v>
      </c>
      <c r="J1207">
        <v>10</v>
      </c>
      <c r="K1207">
        <v>0</v>
      </c>
      <c r="L1207">
        <v>7</v>
      </c>
      <c r="M1207">
        <v>0</v>
      </c>
      <c r="N1207" t="s">
        <v>17</v>
      </c>
      <c r="O1207" s="1">
        <f>result[[#This Row],[n_killed_mutants_cumulativa]]/result[[#This Row],[tot_mutants]]</f>
        <v>0</v>
      </c>
    </row>
    <row r="1208" spans="1:16" hidden="1" x14ac:dyDescent="0.25">
      <c r="A1208" t="s">
        <v>190</v>
      </c>
      <c r="B1208" t="s">
        <v>18</v>
      </c>
      <c r="C1208" t="s">
        <v>16</v>
      </c>
      <c r="D1208">
        <v>1591</v>
      </c>
      <c r="E1208">
        <v>224</v>
      </c>
      <c r="F1208">
        <v>0</v>
      </c>
      <c r="G1208">
        <v>0</v>
      </c>
      <c r="H1208">
        <v>0</v>
      </c>
      <c r="I1208">
        <v>0</v>
      </c>
      <c r="J1208">
        <v>20</v>
      </c>
      <c r="K1208">
        <v>0</v>
      </c>
      <c r="L1208">
        <v>7</v>
      </c>
      <c r="M1208">
        <v>0</v>
      </c>
      <c r="N1208" t="s">
        <v>17</v>
      </c>
      <c r="O1208" s="1">
        <f>result[[#This Row],[n_killed_mutants_cumulativa]]/result[[#This Row],[tot_mutants]]</f>
        <v>0</v>
      </c>
    </row>
    <row r="1209" spans="1:16" hidden="1" x14ac:dyDescent="0.25">
      <c r="A1209" t="s">
        <v>190</v>
      </c>
      <c r="B1209" t="s">
        <v>19</v>
      </c>
      <c r="C1209" t="s">
        <v>16</v>
      </c>
      <c r="D1209">
        <v>1729</v>
      </c>
      <c r="E1209">
        <v>201</v>
      </c>
      <c r="F1209">
        <v>0</v>
      </c>
      <c r="G1209">
        <v>0</v>
      </c>
      <c r="H1209">
        <v>0</v>
      </c>
      <c r="I1209">
        <v>0</v>
      </c>
      <c r="J1209">
        <v>30</v>
      </c>
      <c r="K1209">
        <v>0</v>
      </c>
      <c r="L1209">
        <v>7</v>
      </c>
      <c r="M1209">
        <v>0</v>
      </c>
      <c r="N1209" t="s">
        <v>17</v>
      </c>
      <c r="O1209" s="1">
        <f>result[[#This Row],[n_killed_mutants_cumulativa]]/result[[#This Row],[tot_mutants]]</f>
        <v>0</v>
      </c>
    </row>
    <row r="1210" spans="1:16" hidden="1" x14ac:dyDescent="0.25">
      <c r="A1210" t="s">
        <v>190</v>
      </c>
      <c r="B1210" t="s">
        <v>20</v>
      </c>
      <c r="C1210" t="s">
        <v>16</v>
      </c>
      <c r="D1210">
        <v>2119</v>
      </c>
      <c r="E1210">
        <v>279</v>
      </c>
      <c r="F1210">
        <v>0</v>
      </c>
      <c r="G1210">
        <v>0</v>
      </c>
      <c r="H1210">
        <v>0</v>
      </c>
      <c r="I1210">
        <v>0</v>
      </c>
      <c r="J1210">
        <v>40</v>
      </c>
      <c r="K1210">
        <v>0</v>
      </c>
      <c r="L1210">
        <v>7</v>
      </c>
      <c r="M1210">
        <v>0</v>
      </c>
      <c r="N1210" t="s">
        <v>17</v>
      </c>
      <c r="O1210" s="1">
        <f>result[[#This Row],[n_killed_mutants_cumulativa]]/result[[#This Row],[tot_mutants]]</f>
        <v>0</v>
      </c>
    </row>
    <row r="1211" spans="1:16" hidden="1" x14ac:dyDescent="0.25">
      <c r="A1211" t="s">
        <v>190</v>
      </c>
      <c r="B1211" t="s">
        <v>21</v>
      </c>
      <c r="C1211" t="s">
        <v>16</v>
      </c>
      <c r="D1211">
        <v>2889</v>
      </c>
      <c r="E1211">
        <v>373</v>
      </c>
      <c r="F1211">
        <v>0</v>
      </c>
      <c r="G1211">
        <v>0</v>
      </c>
      <c r="H1211">
        <v>0</v>
      </c>
      <c r="I1211">
        <v>0</v>
      </c>
      <c r="J1211">
        <v>50</v>
      </c>
      <c r="K1211">
        <v>0</v>
      </c>
      <c r="L1211">
        <v>7</v>
      </c>
      <c r="M1211">
        <v>0</v>
      </c>
      <c r="N1211" t="s">
        <v>17</v>
      </c>
      <c r="O1211" s="1">
        <f>result[[#This Row],[n_killed_mutants_cumulativa]]/result[[#This Row],[tot_mutants]]</f>
        <v>0</v>
      </c>
    </row>
    <row r="1212" spans="1:16" hidden="1" x14ac:dyDescent="0.25">
      <c r="A1212" t="s">
        <v>190</v>
      </c>
      <c r="B1212" t="s">
        <v>22</v>
      </c>
      <c r="C1212" t="s">
        <v>16</v>
      </c>
      <c r="D1212">
        <v>10366</v>
      </c>
      <c r="E1212">
        <v>1268</v>
      </c>
      <c r="F1212">
        <v>0</v>
      </c>
      <c r="G1212">
        <v>0</v>
      </c>
      <c r="H1212">
        <v>0</v>
      </c>
      <c r="I1212">
        <v>0</v>
      </c>
      <c r="J1212">
        <v>150</v>
      </c>
      <c r="K1212">
        <v>0</v>
      </c>
      <c r="L1212">
        <v>7</v>
      </c>
      <c r="M1212">
        <v>0</v>
      </c>
      <c r="N1212" t="s">
        <v>17</v>
      </c>
      <c r="O1212" s="1">
        <f>result[[#This Row],[n_killed_mutants_cumulativa]]/result[[#This Row],[tot_mutants]]</f>
        <v>0</v>
      </c>
    </row>
    <row r="1213" spans="1:16" hidden="1" x14ac:dyDescent="0.25">
      <c r="A1213" t="s">
        <v>191</v>
      </c>
      <c r="B1213" t="s">
        <v>15</v>
      </c>
      <c r="C1213" t="s">
        <v>16</v>
      </c>
      <c r="D1213">
        <v>3150</v>
      </c>
      <c r="E1213">
        <v>203</v>
      </c>
      <c r="F1213">
        <v>10</v>
      </c>
      <c r="G1213">
        <v>100</v>
      </c>
      <c r="H1213">
        <v>0</v>
      </c>
      <c r="I1213">
        <v>190</v>
      </c>
      <c r="J1213">
        <v>0</v>
      </c>
      <c r="K1213">
        <v>0</v>
      </c>
      <c r="L1213">
        <v>2</v>
      </c>
      <c r="M1213">
        <v>0</v>
      </c>
      <c r="N1213" t="s">
        <v>17</v>
      </c>
      <c r="O1213" s="1">
        <f>result[[#This Row],[n_killed_mutants_cumulativa]]/result[[#This Row],[tot_mutants]]</f>
        <v>0</v>
      </c>
    </row>
    <row r="1214" spans="1:16" hidden="1" x14ac:dyDescent="0.25">
      <c r="A1214" t="s">
        <v>191</v>
      </c>
      <c r="B1214" t="s">
        <v>18</v>
      </c>
      <c r="C1214" t="s">
        <v>16</v>
      </c>
      <c r="D1214">
        <v>3245</v>
      </c>
      <c r="E1214">
        <v>138</v>
      </c>
      <c r="F1214">
        <v>20</v>
      </c>
      <c r="G1214">
        <v>400</v>
      </c>
      <c r="H1214">
        <v>0</v>
      </c>
      <c r="I1214">
        <v>580</v>
      </c>
      <c r="J1214">
        <v>0</v>
      </c>
      <c r="K1214">
        <v>0</v>
      </c>
      <c r="L1214">
        <v>2</v>
      </c>
      <c r="M1214">
        <v>0</v>
      </c>
      <c r="N1214" t="s">
        <v>17</v>
      </c>
      <c r="O1214" s="1">
        <f>result[[#This Row],[n_killed_mutants_cumulativa]]/result[[#This Row],[tot_mutants]]</f>
        <v>0</v>
      </c>
    </row>
    <row r="1215" spans="1:16" hidden="1" x14ac:dyDescent="0.25">
      <c r="A1215" t="s">
        <v>191</v>
      </c>
      <c r="B1215" t="s">
        <v>19</v>
      </c>
      <c r="C1215" t="s">
        <v>16</v>
      </c>
      <c r="D1215">
        <v>4307</v>
      </c>
      <c r="E1215">
        <v>171</v>
      </c>
      <c r="F1215">
        <v>30</v>
      </c>
      <c r="G1215">
        <v>900</v>
      </c>
      <c r="H1215">
        <v>0</v>
      </c>
      <c r="I1215">
        <v>1170</v>
      </c>
      <c r="J1215">
        <v>0</v>
      </c>
      <c r="K1215">
        <v>0</v>
      </c>
      <c r="L1215">
        <v>2</v>
      </c>
      <c r="M1215">
        <v>0</v>
      </c>
      <c r="N1215" t="s">
        <v>17</v>
      </c>
      <c r="O1215" s="1">
        <f>result[[#This Row],[n_killed_mutants_cumulativa]]/result[[#This Row],[tot_mutants]]</f>
        <v>0</v>
      </c>
    </row>
    <row r="1216" spans="1:16" hidden="1" x14ac:dyDescent="0.25">
      <c r="A1216" t="s">
        <v>191</v>
      </c>
      <c r="B1216" t="s">
        <v>20</v>
      </c>
      <c r="C1216" t="s">
        <v>16</v>
      </c>
      <c r="D1216">
        <v>5141</v>
      </c>
      <c r="E1216">
        <v>218</v>
      </c>
      <c r="F1216">
        <v>40</v>
      </c>
      <c r="G1216">
        <v>1600</v>
      </c>
      <c r="H1216">
        <v>0</v>
      </c>
      <c r="I1216">
        <v>1960</v>
      </c>
      <c r="J1216">
        <v>0</v>
      </c>
      <c r="K1216">
        <v>0</v>
      </c>
      <c r="L1216">
        <v>2</v>
      </c>
      <c r="M1216">
        <v>0</v>
      </c>
      <c r="N1216" t="s">
        <v>17</v>
      </c>
      <c r="O1216" s="1">
        <f>result[[#This Row],[n_killed_mutants_cumulativa]]/result[[#This Row],[tot_mutants]]</f>
        <v>0</v>
      </c>
    </row>
    <row r="1217" spans="1:15" hidden="1" x14ac:dyDescent="0.25">
      <c r="A1217" t="s">
        <v>191</v>
      </c>
      <c r="B1217" t="s">
        <v>21</v>
      </c>
      <c r="C1217" t="s">
        <v>16</v>
      </c>
      <c r="D1217">
        <v>6889</v>
      </c>
      <c r="E1217">
        <v>324</v>
      </c>
      <c r="F1217">
        <v>50</v>
      </c>
      <c r="G1217">
        <v>2500</v>
      </c>
      <c r="H1217">
        <v>0</v>
      </c>
      <c r="I1217">
        <v>2950</v>
      </c>
      <c r="J1217">
        <v>0</v>
      </c>
      <c r="K1217">
        <v>0</v>
      </c>
      <c r="L1217">
        <v>2</v>
      </c>
      <c r="M1217">
        <v>0</v>
      </c>
      <c r="N1217" t="s">
        <v>17</v>
      </c>
      <c r="O1217" s="1">
        <f>result[[#This Row],[n_killed_mutants_cumulativa]]/result[[#This Row],[tot_mutants]]</f>
        <v>0</v>
      </c>
    </row>
    <row r="1218" spans="1:15" hidden="1" x14ac:dyDescent="0.25">
      <c r="A1218" t="s">
        <v>191</v>
      </c>
      <c r="B1218" t="s">
        <v>24</v>
      </c>
      <c r="C1218" t="s">
        <v>16</v>
      </c>
      <c r="D1218">
        <v>8834</v>
      </c>
      <c r="E1218">
        <v>455</v>
      </c>
      <c r="F1218">
        <v>60</v>
      </c>
      <c r="G1218">
        <v>3600</v>
      </c>
      <c r="H1218">
        <v>0</v>
      </c>
      <c r="I1218">
        <v>4140</v>
      </c>
      <c r="J1218">
        <v>0</v>
      </c>
      <c r="K1218">
        <v>0</v>
      </c>
      <c r="L1218">
        <v>2</v>
      </c>
      <c r="M1218">
        <v>0</v>
      </c>
      <c r="N1218" t="s">
        <v>17</v>
      </c>
      <c r="O1218" s="1">
        <f>result[[#This Row],[n_killed_mutants_cumulativa]]/result[[#This Row],[tot_mutants]]</f>
        <v>0</v>
      </c>
    </row>
    <row r="1219" spans="1:15" hidden="1" x14ac:dyDescent="0.25">
      <c r="A1219" t="s">
        <v>191</v>
      </c>
      <c r="B1219" t="s">
        <v>25</v>
      </c>
      <c r="C1219" t="s">
        <v>16</v>
      </c>
      <c r="D1219">
        <v>11579</v>
      </c>
      <c r="E1219">
        <v>620</v>
      </c>
      <c r="F1219">
        <v>70</v>
      </c>
      <c r="G1219">
        <v>4900</v>
      </c>
      <c r="H1219">
        <v>0</v>
      </c>
      <c r="I1219">
        <v>5530</v>
      </c>
      <c r="J1219">
        <v>0</v>
      </c>
      <c r="K1219">
        <v>0</v>
      </c>
      <c r="L1219">
        <v>2</v>
      </c>
      <c r="M1219">
        <v>0</v>
      </c>
      <c r="N1219" t="s">
        <v>17</v>
      </c>
      <c r="O1219" s="1">
        <f>result[[#This Row],[n_killed_mutants_cumulativa]]/result[[#This Row],[tot_mutants]]</f>
        <v>0</v>
      </c>
    </row>
    <row r="1220" spans="1:15" hidden="1" x14ac:dyDescent="0.25">
      <c r="A1220" t="s">
        <v>191</v>
      </c>
      <c r="B1220" t="s">
        <v>26</v>
      </c>
      <c r="C1220" t="s">
        <v>16</v>
      </c>
      <c r="D1220">
        <v>14406</v>
      </c>
      <c r="E1220">
        <v>808</v>
      </c>
      <c r="F1220">
        <v>80</v>
      </c>
      <c r="G1220">
        <v>6400</v>
      </c>
      <c r="H1220">
        <v>0</v>
      </c>
      <c r="I1220">
        <v>7120</v>
      </c>
      <c r="J1220">
        <v>0</v>
      </c>
      <c r="K1220">
        <v>0</v>
      </c>
      <c r="L1220">
        <v>2</v>
      </c>
      <c r="M1220">
        <v>0</v>
      </c>
      <c r="N1220" t="s">
        <v>17</v>
      </c>
      <c r="O1220" s="1">
        <f>result[[#This Row],[n_killed_mutants_cumulativa]]/result[[#This Row],[tot_mutants]]</f>
        <v>0</v>
      </c>
    </row>
    <row r="1221" spans="1:15" hidden="1" x14ac:dyDescent="0.25">
      <c r="A1221" t="s">
        <v>191</v>
      </c>
      <c r="B1221" t="s">
        <v>27</v>
      </c>
      <c r="C1221" t="s">
        <v>16</v>
      </c>
      <c r="D1221">
        <v>17564</v>
      </c>
      <c r="E1221">
        <v>1021</v>
      </c>
      <c r="F1221">
        <v>90</v>
      </c>
      <c r="G1221">
        <v>8100</v>
      </c>
      <c r="H1221">
        <v>0</v>
      </c>
      <c r="I1221">
        <v>8910</v>
      </c>
      <c r="J1221">
        <v>0</v>
      </c>
      <c r="K1221">
        <v>0</v>
      </c>
      <c r="L1221">
        <v>2</v>
      </c>
      <c r="M1221">
        <v>0</v>
      </c>
      <c r="N1221" t="s">
        <v>17</v>
      </c>
      <c r="O1221" s="1">
        <f>result[[#This Row],[n_killed_mutants_cumulativa]]/result[[#This Row],[tot_mutants]]</f>
        <v>0</v>
      </c>
    </row>
    <row r="1222" spans="1:15" hidden="1" x14ac:dyDescent="0.25">
      <c r="A1222" t="s">
        <v>191</v>
      </c>
      <c r="B1222" t="s">
        <v>30</v>
      </c>
      <c r="C1222" t="s">
        <v>16</v>
      </c>
      <c r="D1222">
        <v>21674</v>
      </c>
      <c r="E1222">
        <v>1254</v>
      </c>
      <c r="F1222">
        <v>100</v>
      </c>
      <c r="G1222">
        <v>10000</v>
      </c>
      <c r="H1222">
        <v>0</v>
      </c>
      <c r="I1222">
        <v>10900</v>
      </c>
      <c r="J1222">
        <v>0</v>
      </c>
      <c r="K1222">
        <v>0</v>
      </c>
      <c r="L1222">
        <v>2</v>
      </c>
      <c r="M1222">
        <v>0</v>
      </c>
      <c r="N1222" t="s">
        <v>17</v>
      </c>
      <c r="O1222" s="1">
        <f>result[[#This Row],[n_killed_mutants_cumulativa]]/result[[#This Row],[tot_mutants]]</f>
        <v>0</v>
      </c>
    </row>
    <row r="1223" spans="1:15" hidden="1" x14ac:dyDescent="0.25">
      <c r="A1223" t="s">
        <v>191</v>
      </c>
      <c r="B1223" t="s">
        <v>31</v>
      </c>
      <c r="C1223" t="s">
        <v>16</v>
      </c>
      <c r="D1223">
        <v>26290</v>
      </c>
      <c r="E1223">
        <v>1539</v>
      </c>
      <c r="F1223">
        <v>110</v>
      </c>
      <c r="G1223">
        <v>12100</v>
      </c>
      <c r="H1223">
        <v>0</v>
      </c>
      <c r="I1223">
        <v>13090</v>
      </c>
      <c r="J1223">
        <v>0</v>
      </c>
      <c r="K1223">
        <v>0</v>
      </c>
      <c r="L1223">
        <v>2</v>
      </c>
      <c r="M1223">
        <v>0</v>
      </c>
      <c r="N1223" t="s">
        <v>17</v>
      </c>
      <c r="O1223" s="1">
        <f>result[[#This Row],[n_killed_mutants_cumulativa]]/result[[#This Row],[tot_mutants]]</f>
        <v>0</v>
      </c>
    </row>
    <row r="1224" spans="1:15" hidden="1" x14ac:dyDescent="0.25">
      <c r="A1224" t="s">
        <v>191</v>
      </c>
      <c r="B1224" t="s">
        <v>36</v>
      </c>
      <c r="C1224" t="s">
        <v>16</v>
      </c>
      <c r="D1224">
        <v>31243</v>
      </c>
      <c r="E1224">
        <v>1809</v>
      </c>
      <c r="F1224">
        <v>120</v>
      </c>
      <c r="G1224">
        <v>14400</v>
      </c>
      <c r="H1224">
        <v>0</v>
      </c>
      <c r="I1224">
        <v>15480</v>
      </c>
      <c r="J1224">
        <v>0</v>
      </c>
      <c r="K1224">
        <v>0</v>
      </c>
      <c r="L1224">
        <v>2</v>
      </c>
      <c r="M1224">
        <v>0</v>
      </c>
      <c r="N1224" t="s">
        <v>17</v>
      </c>
      <c r="O1224" s="1">
        <f>result[[#This Row],[n_killed_mutants_cumulativa]]/result[[#This Row],[tot_mutants]]</f>
        <v>0</v>
      </c>
    </row>
    <row r="1225" spans="1:15" hidden="1" x14ac:dyDescent="0.25">
      <c r="A1225" t="s">
        <v>191</v>
      </c>
      <c r="B1225" t="s">
        <v>40</v>
      </c>
      <c r="C1225" t="s">
        <v>16</v>
      </c>
      <c r="D1225">
        <v>37686</v>
      </c>
      <c r="E1225">
        <v>2101</v>
      </c>
      <c r="F1225">
        <v>130</v>
      </c>
      <c r="G1225">
        <v>16900</v>
      </c>
      <c r="H1225">
        <v>0</v>
      </c>
      <c r="I1225">
        <v>18070</v>
      </c>
      <c r="J1225">
        <v>0</v>
      </c>
      <c r="K1225">
        <v>0</v>
      </c>
      <c r="L1225">
        <v>2</v>
      </c>
      <c r="M1225">
        <v>0</v>
      </c>
      <c r="N1225" t="s">
        <v>17</v>
      </c>
      <c r="O1225" s="1">
        <f>result[[#This Row],[n_killed_mutants_cumulativa]]/result[[#This Row],[tot_mutants]]</f>
        <v>0</v>
      </c>
    </row>
    <row r="1226" spans="1:15" hidden="1" x14ac:dyDescent="0.25">
      <c r="A1226" t="s">
        <v>191</v>
      </c>
      <c r="B1226" t="s">
        <v>47</v>
      </c>
      <c r="C1226" t="s">
        <v>16</v>
      </c>
      <c r="D1226">
        <v>42914</v>
      </c>
      <c r="E1226">
        <v>2440</v>
      </c>
      <c r="F1226">
        <v>140</v>
      </c>
      <c r="G1226">
        <v>19600</v>
      </c>
      <c r="H1226">
        <v>0</v>
      </c>
      <c r="I1226">
        <v>20860</v>
      </c>
      <c r="J1226">
        <v>0</v>
      </c>
      <c r="K1226">
        <v>0</v>
      </c>
      <c r="L1226">
        <v>2</v>
      </c>
      <c r="M1226">
        <v>0</v>
      </c>
      <c r="N1226" t="s">
        <v>17</v>
      </c>
      <c r="O1226" s="1">
        <f>result[[#This Row],[n_killed_mutants_cumulativa]]/result[[#This Row],[tot_mutants]]</f>
        <v>0</v>
      </c>
    </row>
    <row r="1227" spans="1:15" hidden="1" x14ac:dyDescent="0.25">
      <c r="A1227" t="s">
        <v>191</v>
      </c>
      <c r="B1227" t="s">
        <v>48</v>
      </c>
      <c r="C1227" t="s">
        <v>16</v>
      </c>
      <c r="D1227">
        <v>49672</v>
      </c>
      <c r="E1227">
        <v>2800</v>
      </c>
      <c r="F1227">
        <v>150</v>
      </c>
      <c r="G1227">
        <v>22500</v>
      </c>
      <c r="H1227">
        <v>0</v>
      </c>
      <c r="I1227">
        <v>23850</v>
      </c>
      <c r="J1227">
        <v>0</v>
      </c>
      <c r="K1227">
        <v>0</v>
      </c>
      <c r="L1227">
        <v>2</v>
      </c>
      <c r="M1227">
        <v>0</v>
      </c>
      <c r="N1227" t="s">
        <v>17</v>
      </c>
      <c r="O1227" s="1">
        <f>result[[#This Row],[n_killed_mutants_cumulativa]]/result[[#This Row],[tot_mutants]]</f>
        <v>0</v>
      </c>
    </row>
    <row r="1228" spans="1:15" hidden="1" x14ac:dyDescent="0.25">
      <c r="A1228" t="s">
        <v>191</v>
      </c>
      <c r="B1228" t="s">
        <v>49</v>
      </c>
      <c r="C1228" t="s">
        <v>16</v>
      </c>
      <c r="D1228">
        <v>56892</v>
      </c>
      <c r="E1228">
        <v>3188</v>
      </c>
      <c r="F1228">
        <v>160</v>
      </c>
      <c r="G1228">
        <v>25600</v>
      </c>
      <c r="H1228">
        <v>0</v>
      </c>
      <c r="I1228">
        <v>27040</v>
      </c>
      <c r="J1228">
        <v>0</v>
      </c>
      <c r="K1228">
        <v>0</v>
      </c>
      <c r="L1228">
        <v>2</v>
      </c>
      <c r="M1228">
        <v>0</v>
      </c>
      <c r="N1228" t="s">
        <v>17</v>
      </c>
      <c r="O1228" s="1">
        <f>result[[#This Row],[n_killed_mutants_cumulativa]]/result[[#This Row],[tot_mutants]]</f>
        <v>0</v>
      </c>
    </row>
    <row r="1229" spans="1:15" hidden="1" x14ac:dyDescent="0.25">
      <c r="A1229" t="s">
        <v>191</v>
      </c>
      <c r="B1229" t="s">
        <v>50</v>
      </c>
      <c r="C1229" t="s">
        <v>16</v>
      </c>
      <c r="D1229">
        <v>64907</v>
      </c>
      <c r="E1229">
        <v>3588</v>
      </c>
      <c r="F1229">
        <v>170</v>
      </c>
      <c r="G1229">
        <v>28900</v>
      </c>
      <c r="H1229">
        <v>0</v>
      </c>
      <c r="I1229">
        <v>30430</v>
      </c>
      <c r="J1229">
        <v>0</v>
      </c>
      <c r="K1229">
        <v>0</v>
      </c>
      <c r="L1229">
        <v>2</v>
      </c>
      <c r="M1229">
        <v>0</v>
      </c>
      <c r="N1229" t="s">
        <v>17</v>
      </c>
      <c r="O1229" s="1">
        <f>result[[#This Row],[n_killed_mutants_cumulativa]]/result[[#This Row],[tot_mutants]]</f>
        <v>0</v>
      </c>
    </row>
    <row r="1230" spans="1:15" hidden="1" x14ac:dyDescent="0.25">
      <c r="A1230" t="s">
        <v>191</v>
      </c>
      <c r="B1230" t="s">
        <v>51</v>
      </c>
      <c r="C1230" t="s">
        <v>16</v>
      </c>
      <c r="D1230">
        <v>73522</v>
      </c>
      <c r="E1230">
        <v>4014</v>
      </c>
      <c r="F1230">
        <v>180</v>
      </c>
      <c r="G1230">
        <v>32400</v>
      </c>
      <c r="H1230">
        <v>0</v>
      </c>
      <c r="I1230">
        <v>34020</v>
      </c>
      <c r="J1230">
        <v>0</v>
      </c>
      <c r="K1230">
        <v>0</v>
      </c>
      <c r="L1230">
        <v>2</v>
      </c>
      <c r="M1230">
        <v>0</v>
      </c>
      <c r="N1230" t="s">
        <v>17</v>
      </c>
      <c r="O1230" s="1">
        <f>result[[#This Row],[n_killed_mutants_cumulativa]]/result[[#This Row],[tot_mutants]]</f>
        <v>0</v>
      </c>
    </row>
    <row r="1231" spans="1:15" hidden="1" x14ac:dyDescent="0.25">
      <c r="A1231" t="s">
        <v>191</v>
      </c>
      <c r="B1231" t="s">
        <v>52</v>
      </c>
      <c r="C1231" t="s">
        <v>16</v>
      </c>
      <c r="D1231">
        <v>85121</v>
      </c>
      <c r="E1231">
        <v>4472</v>
      </c>
      <c r="F1231">
        <v>190</v>
      </c>
      <c r="G1231">
        <v>36100</v>
      </c>
      <c r="H1231">
        <v>0</v>
      </c>
      <c r="I1231">
        <v>37810</v>
      </c>
      <c r="J1231">
        <v>0</v>
      </c>
      <c r="K1231">
        <v>0</v>
      </c>
      <c r="L1231">
        <v>2</v>
      </c>
      <c r="M1231">
        <v>0</v>
      </c>
      <c r="N1231" t="s">
        <v>17</v>
      </c>
      <c r="O1231" s="1">
        <f>result[[#This Row],[n_killed_mutants_cumulativa]]/result[[#This Row],[tot_mutants]]</f>
        <v>0</v>
      </c>
    </row>
    <row r="1232" spans="1:15" hidden="1" x14ac:dyDescent="0.25">
      <c r="A1232" t="s">
        <v>191</v>
      </c>
      <c r="B1232" t="s">
        <v>53</v>
      </c>
      <c r="C1232" t="s">
        <v>16</v>
      </c>
      <c r="D1232">
        <v>95395</v>
      </c>
      <c r="E1232">
        <v>4945</v>
      </c>
      <c r="F1232">
        <v>200</v>
      </c>
      <c r="G1232">
        <v>40000</v>
      </c>
      <c r="H1232">
        <v>0</v>
      </c>
      <c r="I1232">
        <v>41800</v>
      </c>
      <c r="J1232">
        <v>0</v>
      </c>
      <c r="K1232">
        <v>0</v>
      </c>
      <c r="L1232">
        <v>2</v>
      </c>
      <c r="M1232">
        <v>0</v>
      </c>
      <c r="N1232" t="s">
        <v>17</v>
      </c>
      <c r="O1232" s="1">
        <f>result[[#This Row],[n_killed_mutants_cumulativa]]/result[[#This Row],[tot_mutants]]</f>
        <v>0</v>
      </c>
    </row>
    <row r="1233" spans="1:16" hidden="1" x14ac:dyDescent="0.25">
      <c r="A1233" t="s">
        <v>191</v>
      </c>
      <c r="B1233" t="s">
        <v>22</v>
      </c>
      <c r="C1233" t="s">
        <v>16</v>
      </c>
      <c r="D1233">
        <v>660431</v>
      </c>
      <c r="E1233">
        <v>36108</v>
      </c>
      <c r="F1233">
        <v>2100</v>
      </c>
      <c r="G1233">
        <v>287000</v>
      </c>
      <c r="H1233">
        <v>0</v>
      </c>
      <c r="I1233">
        <v>305900</v>
      </c>
      <c r="J1233">
        <v>0</v>
      </c>
      <c r="K1233">
        <v>0</v>
      </c>
      <c r="L1233">
        <v>2</v>
      </c>
      <c r="M1233">
        <v>0</v>
      </c>
      <c r="N1233" t="s">
        <v>17</v>
      </c>
      <c r="O1233" s="1">
        <f>result[[#This Row],[n_killed_mutants_cumulativa]]/result[[#This Row],[tot_mutants]]</f>
        <v>0</v>
      </c>
      <c r="P1233" s="9" t="s">
        <v>346</v>
      </c>
    </row>
    <row r="1234" spans="1:16" hidden="1" x14ac:dyDescent="0.25">
      <c r="A1234" t="s">
        <v>192</v>
      </c>
      <c r="B1234" t="s">
        <v>15</v>
      </c>
      <c r="C1234" t="s">
        <v>16</v>
      </c>
      <c r="D1234">
        <v>5768</v>
      </c>
      <c r="E1234">
        <v>348</v>
      </c>
      <c r="F1234">
        <v>10</v>
      </c>
      <c r="G1234">
        <v>100</v>
      </c>
      <c r="H1234">
        <v>61</v>
      </c>
      <c r="I1234">
        <v>214</v>
      </c>
      <c r="J1234">
        <v>0</v>
      </c>
      <c r="K1234">
        <v>0</v>
      </c>
      <c r="L1234">
        <v>9</v>
      </c>
      <c r="M1234">
        <v>1</v>
      </c>
      <c r="N1234" t="s">
        <v>45</v>
      </c>
      <c r="O1234" s="1">
        <f>result[[#This Row],[n_killed_mutants_cumulativa]]/result[[#This Row],[tot_mutants]]</f>
        <v>0.1111111111111111</v>
      </c>
    </row>
    <row r="1235" spans="1:16" hidden="1" x14ac:dyDescent="0.25">
      <c r="A1235" t="s">
        <v>192</v>
      </c>
      <c r="B1235" t="s">
        <v>18</v>
      </c>
      <c r="C1235" t="s">
        <v>16</v>
      </c>
      <c r="D1235">
        <v>6997</v>
      </c>
      <c r="E1235">
        <v>573</v>
      </c>
      <c r="F1235">
        <v>20</v>
      </c>
      <c r="G1235">
        <v>400</v>
      </c>
      <c r="H1235">
        <v>229</v>
      </c>
      <c r="I1235">
        <v>887</v>
      </c>
      <c r="J1235">
        <v>0</v>
      </c>
      <c r="K1235">
        <v>0</v>
      </c>
      <c r="L1235">
        <v>9</v>
      </c>
      <c r="M1235">
        <v>1</v>
      </c>
      <c r="N1235" t="s">
        <v>45</v>
      </c>
      <c r="O1235" s="1">
        <f>result[[#This Row],[n_killed_mutants_cumulativa]]/result[[#This Row],[tot_mutants]]</f>
        <v>0.1111111111111111</v>
      </c>
    </row>
    <row r="1236" spans="1:16" hidden="1" x14ac:dyDescent="0.25">
      <c r="A1236" t="s">
        <v>192</v>
      </c>
      <c r="B1236" t="s">
        <v>19</v>
      </c>
      <c r="C1236" t="s">
        <v>16</v>
      </c>
      <c r="D1236">
        <v>11448</v>
      </c>
      <c r="E1236">
        <v>872</v>
      </c>
      <c r="F1236">
        <v>30</v>
      </c>
      <c r="G1236">
        <v>900</v>
      </c>
      <c r="H1236">
        <v>466</v>
      </c>
      <c r="I1236">
        <v>1911</v>
      </c>
      <c r="J1236">
        <v>0</v>
      </c>
      <c r="K1236">
        <v>0</v>
      </c>
      <c r="L1236">
        <v>9</v>
      </c>
      <c r="M1236">
        <v>1</v>
      </c>
      <c r="N1236" t="s">
        <v>45</v>
      </c>
      <c r="O1236" s="1">
        <f>result[[#This Row],[n_killed_mutants_cumulativa]]/result[[#This Row],[tot_mutants]]</f>
        <v>0.1111111111111111</v>
      </c>
    </row>
    <row r="1237" spans="1:16" hidden="1" x14ac:dyDescent="0.25">
      <c r="A1237" t="s">
        <v>192</v>
      </c>
      <c r="B1237" t="s">
        <v>20</v>
      </c>
      <c r="C1237" t="s">
        <v>16</v>
      </c>
      <c r="D1237">
        <v>17356</v>
      </c>
      <c r="E1237">
        <v>1490</v>
      </c>
      <c r="F1237">
        <v>40</v>
      </c>
      <c r="G1237">
        <v>1600</v>
      </c>
      <c r="H1237">
        <v>836</v>
      </c>
      <c r="I1237">
        <v>3352</v>
      </c>
      <c r="J1237">
        <v>0</v>
      </c>
      <c r="K1237">
        <v>0</v>
      </c>
      <c r="L1237">
        <v>9</v>
      </c>
      <c r="M1237">
        <v>1</v>
      </c>
      <c r="N1237" t="s">
        <v>45</v>
      </c>
      <c r="O1237" s="1">
        <f>result[[#This Row],[n_killed_mutants_cumulativa]]/result[[#This Row],[tot_mutants]]</f>
        <v>0.1111111111111111</v>
      </c>
    </row>
    <row r="1238" spans="1:16" hidden="1" x14ac:dyDescent="0.25">
      <c r="A1238" t="s">
        <v>192</v>
      </c>
      <c r="B1238" t="s">
        <v>21</v>
      </c>
      <c r="C1238" t="s">
        <v>16</v>
      </c>
      <c r="D1238">
        <v>25197</v>
      </c>
      <c r="E1238">
        <v>3003</v>
      </c>
      <c r="F1238">
        <v>50</v>
      </c>
      <c r="G1238">
        <v>2500</v>
      </c>
      <c r="H1238">
        <v>1256</v>
      </c>
      <c r="I1238">
        <v>5124</v>
      </c>
      <c r="J1238">
        <v>0</v>
      </c>
      <c r="K1238">
        <v>0</v>
      </c>
      <c r="L1238">
        <v>9</v>
      </c>
      <c r="M1238">
        <v>1</v>
      </c>
      <c r="N1238" t="s">
        <v>45</v>
      </c>
      <c r="O1238" s="1">
        <f>result[[#This Row],[n_killed_mutants_cumulativa]]/result[[#This Row],[tot_mutants]]</f>
        <v>0.1111111111111111</v>
      </c>
    </row>
    <row r="1239" spans="1:16" hidden="1" x14ac:dyDescent="0.25">
      <c r="A1239" t="s">
        <v>192</v>
      </c>
      <c r="B1239" t="s">
        <v>24</v>
      </c>
      <c r="C1239" t="s">
        <v>16</v>
      </c>
      <c r="D1239">
        <v>34659</v>
      </c>
      <c r="E1239">
        <v>4583</v>
      </c>
      <c r="F1239">
        <v>60</v>
      </c>
      <c r="G1239">
        <v>3600</v>
      </c>
      <c r="H1239">
        <v>1833</v>
      </c>
      <c r="I1239">
        <v>7435</v>
      </c>
      <c r="J1239">
        <v>0</v>
      </c>
      <c r="K1239">
        <v>0</v>
      </c>
      <c r="L1239">
        <v>9</v>
      </c>
      <c r="M1239">
        <v>1</v>
      </c>
      <c r="N1239" t="s">
        <v>45</v>
      </c>
      <c r="O1239" s="1">
        <f>result[[#This Row],[n_killed_mutants_cumulativa]]/result[[#This Row],[tot_mutants]]</f>
        <v>0.1111111111111111</v>
      </c>
    </row>
    <row r="1240" spans="1:16" hidden="1" x14ac:dyDescent="0.25">
      <c r="A1240" t="s">
        <v>192</v>
      </c>
      <c r="B1240" t="s">
        <v>25</v>
      </c>
      <c r="C1240" t="s">
        <v>16</v>
      </c>
      <c r="D1240">
        <v>47043</v>
      </c>
      <c r="E1240">
        <v>7195</v>
      </c>
      <c r="F1240">
        <v>70</v>
      </c>
      <c r="G1240">
        <v>4900</v>
      </c>
      <c r="H1240">
        <v>2566</v>
      </c>
      <c r="I1240">
        <v>10090</v>
      </c>
      <c r="J1240">
        <v>0</v>
      </c>
      <c r="K1240">
        <v>0</v>
      </c>
      <c r="L1240">
        <v>9</v>
      </c>
      <c r="M1240">
        <v>1</v>
      </c>
      <c r="N1240" t="s">
        <v>45</v>
      </c>
      <c r="O1240" s="1">
        <f>result[[#This Row],[n_killed_mutants_cumulativa]]/result[[#This Row],[tot_mutants]]</f>
        <v>0.1111111111111111</v>
      </c>
    </row>
    <row r="1241" spans="1:16" hidden="1" x14ac:dyDescent="0.25">
      <c r="A1241" t="s">
        <v>192</v>
      </c>
      <c r="B1241" t="s">
        <v>26</v>
      </c>
      <c r="C1241" t="s">
        <v>16</v>
      </c>
      <c r="D1241">
        <v>60217</v>
      </c>
      <c r="E1241">
        <v>10074</v>
      </c>
      <c r="F1241">
        <v>80</v>
      </c>
      <c r="G1241">
        <v>6400</v>
      </c>
      <c r="H1241">
        <v>3291</v>
      </c>
      <c r="I1241">
        <v>12894</v>
      </c>
      <c r="J1241">
        <v>0</v>
      </c>
      <c r="K1241">
        <v>0</v>
      </c>
      <c r="L1241">
        <v>9</v>
      </c>
      <c r="M1241">
        <v>1</v>
      </c>
      <c r="N1241" t="s">
        <v>45</v>
      </c>
      <c r="O1241" s="1">
        <f>result[[#This Row],[n_killed_mutants_cumulativa]]/result[[#This Row],[tot_mutants]]</f>
        <v>0.1111111111111111</v>
      </c>
    </row>
    <row r="1242" spans="1:16" hidden="1" x14ac:dyDescent="0.25">
      <c r="A1242" t="s">
        <v>192</v>
      </c>
      <c r="B1242" t="s">
        <v>27</v>
      </c>
      <c r="C1242" t="s">
        <v>16</v>
      </c>
      <c r="D1242">
        <v>77907</v>
      </c>
      <c r="E1242">
        <v>14491</v>
      </c>
      <c r="F1242">
        <v>90</v>
      </c>
      <c r="G1242">
        <v>8100</v>
      </c>
      <c r="H1242">
        <v>4185</v>
      </c>
      <c r="I1242">
        <v>16589</v>
      </c>
      <c r="J1242">
        <v>0</v>
      </c>
      <c r="K1242">
        <v>0</v>
      </c>
      <c r="L1242">
        <v>9</v>
      </c>
      <c r="M1242">
        <v>1</v>
      </c>
      <c r="N1242" t="s">
        <v>45</v>
      </c>
      <c r="O1242" s="1">
        <f>result[[#This Row],[n_killed_mutants_cumulativa]]/result[[#This Row],[tot_mutants]]</f>
        <v>0.1111111111111111</v>
      </c>
    </row>
    <row r="1243" spans="1:16" hidden="1" x14ac:dyDescent="0.25">
      <c r="A1243" t="s">
        <v>192</v>
      </c>
      <c r="B1243" t="s">
        <v>30</v>
      </c>
      <c r="C1243" t="s">
        <v>16</v>
      </c>
      <c r="D1243">
        <v>99029</v>
      </c>
      <c r="E1243">
        <v>19344</v>
      </c>
      <c r="F1243">
        <v>100</v>
      </c>
      <c r="G1243">
        <v>10000</v>
      </c>
      <c r="H1243">
        <v>5029</v>
      </c>
      <c r="I1243">
        <v>20439</v>
      </c>
      <c r="J1243">
        <v>0</v>
      </c>
      <c r="K1243">
        <v>0</v>
      </c>
      <c r="L1243">
        <v>9</v>
      </c>
      <c r="M1243">
        <v>1</v>
      </c>
      <c r="N1243" t="s">
        <v>45</v>
      </c>
      <c r="O1243" s="1">
        <f>result[[#This Row],[n_killed_mutants_cumulativa]]/result[[#This Row],[tot_mutants]]</f>
        <v>0.1111111111111111</v>
      </c>
    </row>
    <row r="1244" spans="1:16" hidden="1" x14ac:dyDescent="0.25">
      <c r="A1244" t="s">
        <v>192</v>
      </c>
      <c r="B1244" t="s">
        <v>31</v>
      </c>
      <c r="C1244" t="s">
        <v>16</v>
      </c>
      <c r="D1244">
        <v>122410</v>
      </c>
      <c r="E1244">
        <v>25548</v>
      </c>
      <c r="F1244">
        <v>110</v>
      </c>
      <c r="G1244">
        <v>12100</v>
      </c>
      <c r="H1244">
        <v>6248</v>
      </c>
      <c r="I1244">
        <v>24536</v>
      </c>
      <c r="J1244">
        <v>0</v>
      </c>
      <c r="K1244">
        <v>0</v>
      </c>
      <c r="L1244">
        <v>9</v>
      </c>
      <c r="M1244">
        <v>1</v>
      </c>
      <c r="N1244" t="s">
        <v>45</v>
      </c>
      <c r="O1244" s="1">
        <f>result[[#This Row],[n_killed_mutants_cumulativa]]/result[[#This Row],[tot_mutants]]</f>
        <v>0.1111111111111111</v>
      </c>
    </row>
    <row r="1245" spans="1:16" hidden="1" x14ac:dyDescent="0.25">
      <c r="A1245" t="s">
        <v>192</v>
      </c>
      <c r="B1245" t="s">
        <v>36</v>
      </c>
      <c r="C1245" t="s">
        <v>16</v>
      </c>
      <c r="D1245">
        <v>156455</v>
      </c>
      <c r="E1245">
        <v>33818</v>
      </c>
      <c r="F1245">
        <v>120</v>
      </c>
      <c r="G1245">
        <v>14400</v>
      </c>
      <c r="H1245">
        <v>7336</v>
      </c>
      <c r="I1245">
        <v>29092</v>
      </c>
      <c r="J1245">
        <v>0</v>
      </c>
      <c r="K1245">
        <v>0</v>
      </c>
      <c r="L1245">
        <v>9</v>
      </c>
      <c r="M1245">
        <v>1</v>
      </c>
      <c r="N1245" t="s">
        <v>45</v>
      </c>
      <c r="O1245" s="1">
        <f>result[[#This Row],[n_killed_mutants_cumulativa]]/result[[#This Row],[tot_mutants]]</f>
        <v>0.1111111111111111</v>
      </c>
    </row>
    <row r="1246" spans="1:16" x14ac:dyDescent="0.25">
      <c r="A1246" t="s">
        <v>192</v>
      </c>
      <c r="B1246" t="s">
        <v>22</v>
      </c>
      <c r="C1246" t="s">
        <v>16</v>
      </c>
      <c r="D1246">
        <v>664486</v>
      </c>
      <c r="E1246">
        <v>121339</v>
      </c>
      <c r="F1246">
        <v>780</v>
      </c>
      <c r="G1246">
        <v>65000</v>
      </c>
      <c r="H1246">
        <v>33336</v>
      </c>
      <c r="I1246">
        <v>132563</v>
      </c>
      <c r="J1246">
        <v>0</v>
      </c>
      <c r="K1246">
        <v>0</v>
      </c>
      <c r="L1246">
        <v>9</v>
      </c>
      <c r="M1246">
        <v>1</v>
      </c>
      <c r="N1246" t="s">
        <v>45</v>
      </c>
      <c r="O1246" s="1">
        <f>result[[#This Row],[n_killed_mutants_cumulativa]]/result[[#This Row],[tot_mutants]]</f>
        <v>0.1111111111111111</v>
      </c>
      <c r="P1246" s="9" t="s">
        <v>359</v>
      </c>
    </row>
    <row r="1247" spans="1:16" hidden="1" x14ac:dyDescent="0.25">
      <c r="A1247" t="s">
        <v>193</v>
      </c>
      <c r="B1247" t="s">
        <v>15</v>
      </c>
      <c r="C1247" t="s">
        <v>16</v>
      </c>
      <c r="D1247">
        <v>3547</v>
      </c>
      <c r="E1247">
        <v>3353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49</v>
      </c>
      <c r="M1247">
        <v>0</v>
      </c>
      <c r="N1247" t="s">
        <v>17</v>
      </c>
      <c r="O1247" s="1">
        <f>result[[#This Row],[n_killed_mutants_cumulativa]]/result[[#This Row],[tot_mutants]]</f>
        <v>0</v>
      </c>
    </row>
    <row r="1248" spans="1:16" hidden="1" x14ac:dyDescent="0.25">
      <c r="A1248" t="s">
        <v>193</v>
      </c>
      <c r="B1248" t="s">
        <v>18</v>
      </c>
      <c r="C1248" t="s">
        <v>16</v>
      </c>
      <c r="D1248">
        <v>3958</v>
      </c>
      <c r="E1248">
        <v>3879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49</v>
      </c>
      <c r="M1248">
        <v>0</v>
      </c>
      <c r="N1248" t="s">
        <v>17</v>
      </c>
      <c r="O1248" s="1">
        <f>result[[#This Row],[n_killed_mutants_cumulativa]]/result[[#This Row],[tot_mutants]]</f>
        <v>0</v>
      </c>
    </row>
    <row r="1249" spans="1:16" hidden="1" x14ac:dyDescent="0.25">
      <c r="A1249" t="s">
        <v>193</v>
      </c>
      <c r="B1249" t="s">
        <v>19</v>
      </c>
      <c r="C1249" t="s">
        <v>16</v>
      </c>
      <c r="D1249">
        <v>9663</v>
      </c>
      <c r="E1249">
        <v>9608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49</v>
      </c>
      <c r="M1249">
        <v>0</v>
      </c>
      <c r="N1249" t="s">
        <v>17</v>
      </c>
      <c r="O1249" s="1">
        <f>result[[#This Row],[n_killed_mutants_cumulativa]]/result[[#This Row],[tot_mutants]]</f>
        <v>0</v>
      </c>
    </row>
    <row r="1250" spans="1:16" hidden="1" x14ac:dyDescent="0.25">
      <c r="A1250" t="s">
        <v>193</v>
      </c>
      <c r="B1250" t="s">
        <v>20</v>
      </c>
      <c r="C1250" t="s">
        <v>16</v>
      </c>
      <c r="D1250">
        <v>14701</v>
      </c>
      <c r="E1250">
        <v>14644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49</v>
      </c>
      <c r="M1250">
        <v>0</v>
      </c>
      <c r="N1250" t="s">
        <v>17</v>
      </c>
      <c r="O1250" s="1">
        <f>result[[#This Row],[n_killed_mutants_cumulativa]]/result[[#This Row],[tot_mutants]]</f>
        <v>0</v>
      </c>
    </row>
    <row r="1251" spans="1:16" hidden="1" x14ac:dyDescent="0.25">
      <c r="A1251" t="s">
        <v>193</v>
      </c>
      <c r="B1251" t="s">
        <v>21</v>
      </c>
      <c r="C1251" t="s">
        <v>16</v>
      </c>
      <c r="D1251">
        <v>10440</v>
      </c>
      <c r="E1251">
        <v>10381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49</v>
      </c>
      <c r="M1251">
        <v>0</v>
      </c>
      <c r="N1251" t="s">
        <v>17</v>
      </c>
      <c r="O1251" s="1">
        <f>result[[#This Row],[n_killed_mutants_cumulativa]]/result[[#This Row],[tot_mutants]]</f>
        <v>0</v>
      </c>
    </row>
    <row r="1252" spans="1:16" hidden="1" x14ac:dyDescent="0.25">
      <c r="A1252" t="s">
        <v>193</v>
      </c>
      <c r="B1252" t="s">
        <v>22</v>
      </c>
      <c r="C1252" t="s">
        <v>16</v>
      </c>
      <c r="D1252">
        <v>42309</v>
      </c>
      <c r="E1252">
        <v>41865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49</v>
      </c>
      <c r="M1252">
        <v>0</v>
      </c>
      <c r="N1252" t="s">
        <v>17</v>
      </c>
      <c r="O1252" s="1">
        <f>result[[#This Row],[n_killed_mutants_cumulativa]]/result[[#This Row],[tot_mutants]]</f>
        <v>0</v>
      </c>
    </row>
    <row r="1253" spans="1:16" hidden="1" x14ac:dyDescent="0.25">
      <c r="A1253" t="s">
        <v>194</v>
      </c>
      <c r="B1253" t="s">
        <v>15</v>
      </c>
      <c r="C1253" t="s">
        <v>16</v>
      </c>
      <c r="D1253">
        <v>1836</v>
      </c>
      <c r="E1253">
        <v>97</v>
      </c>
      <c r="F1253">
        <v>10</v>
      </c>
      <c r="G1253">
        <v>100</v>
      </c>
      <c r="H1253">
        <v>0</v>
      </c>
      <c r="I1253">
        <v>110</v>
      </c>
      <c r="J1253">
        <v>0</v>
      </c>
      <c r="K1253">
        <v>0</v>
      </c>
      <c r="L1253">
        <v>1</v>
      </c>
      <c r="M1253">
        <v>1</v>
      </c>
      <c r="N1253" t="s">
        <v>55</v>
      </c>
      <c r="O1253" s="1">
        <f>result[[#This Row],[n_killed_mutants_cumulativa]]/result[[#This Row],[tot_mutants]]</f>
        <v>1</v>
      </c>
    </row>
    <row r="1254" spans="1:16" x14ac:dyDescent="0.25">
      <c r="A1254" t="s">
        <v>194</v>
      </c>
      <c r="B1254" t="s">
        <v>22</v>
      </c>
      <c r="C1254" t="s">
        <v>16</v>
      </c>
      <c r="D1254">
        <v>1836</v>
      </c>
      <c r="E1254">
        <v>97</v>
      </c>
      <c r="F1254">
        <v>10</v>
      </c>
      <c r="G1254">
        <v>100</v>
      </c>
      <c r="H1254">
        <v>0</v>
      </c>
      <c r="I1254">
        <v>110</v>
      </c>
      <c r="J1254">
        <v>0</v>
      </c>
      <c r="K1254">
        <v>0</v>
      </c>
      <c r="L1254">
        <v>1</v>
      </c>
      <c r="M1254">
        <v>1</v>
      </c>
      <c r="N1254" t="s">
        <v>55</v>
      </c>
      <c r="O1254" s="1">
        <f>result[[#This Row],[n_killed_mutants_cumulativa]]/result[[#This Row],[tot_mutants]]</f>
        <v>1</v>
      </c>
      <c r="P1254" s="9" t="s">
        <v>359</v>
      </c>
    </row>
    <row r="1255" spans="1:16" hidden="1" x14ac:dyDescent="0.25">
      <c r="A1255" t="s">
        <v>195</v>
      </c>
      <c r="B1255" t="s">
        <v>15</v>
      </c>
      <c r="C1255" t="s">
        <v>16</v>
      </c>
      <c r="D1255">
        <v>66972</v>
      </c>
      <c r="E1255">
        <v>433</v>
      </c>
      <c r="F1255">
        <v>10</v>
      </c>
      <c r="G1255">
        <v>100</v>
      </c>
      <c r="H1255">
        <v>46</v>
      </c>
      <c r="I1255">
        <v>775</v>
      </c>
      <c r="J1255">
        <v>0</v>
      </c>
      <c r="K1255">
        <v>0</v>
      </c>
      <c r="L1255">
        <v>73</v>
      </c>
      <c r="M1255">
        <v>2</v>
      </c>
      <c r="N1255" t="s">
        <v>196</v>
      </c>
      <c r="O1255" s="1">
        <f>result[[#This Row],[n_killed_mutants_cumulativa]]/result[[#This Row],[tot_mutants]]</f>
        <v>2.7397260273972601E-2</v>
      </c>
    </row>
    <row r="1256" spans="1:16" hidden="1" x14ac:dyDescent="0.25">
      <c r="A1256" t="s">
        <v>195</v>
      </c>
      <c r="B1256" t="s">
        <v>18</v>
      </c>
      <c r="C1256" t="s">
        <v>16</v>
      </c>
      <c r="D1256">
        <v>134523</v>
      </c>
      <c r="E1256">
        <v>345</v>
      </c>
      <c r="F1256">
        <v>20</v>
      </c>
      <c r="G1256">
        <v>400</v>
      </c>
      <c r="H1256">
        <v>287</v>
      </c>
      <c r="I1256">
        <v>2398</v>
      </c>
      <c r="J1256">
        <v>0</v>
      </c>
      <c r="K1256">
        <v>0</v>
      </c>
      <c r="L1256">
        <v>73</v>
      </c>
      <c r="M1256">
        <v>3</v>
      </c>
      <c r="N1256" t="s">
        <v>197</v>
      </c>
      <c r="O1256" s="1">
        <f>result[[#This Row],[n_killed_mutants_cumulativa]]/result[[#This Row],[tot_mutants]]</f>
        <v>4.1095890410958902E-2</v>
      </c>
    </row>
    <row r="1257" spans="1:16" hidden="1" x14ac:dyDescent="0.25">
      <c r="A1257" t="s">
        <v>195</v>
      </c>
      <c r="B1257" t="s">
        <v>19</v>
      </c>
      <c r="C1257" t="s">
        <v>16</v>
      </c>
      <c r="D1257">
        <v>224444</v>
      </c>
      <c r="E1257">
        <v>661</v>
      </c>
      <c r="F1257">
        <v>30</v>
      </c>
      <c r="G1257">
        <v>900</v>
      </c>
      <c r="H1257">
        <v>782</v>
      </c>
      <c r="I1257">
        <v>5206</v>
      </c>
      <c r="J1257">
        <v>0</v>
      </c>
      <c r="K1257">
        <v>0</v>
      </c>
      <c r="L1257">
        <v>73</v>
      </c>
      <c r="M1257">
        <v>4</v>
      </c>
      <c r="N1257" t="s">
        <v>198</v>
      </c>
      <c r="O1257" s="1">
        <f>result[[#This Row],[n_killed_mutants_cumulativa]]/result[[#This Row],[tot_mutants]]</f>
        <v>5.4794520547945202E-2</v>
      </c>
    </row>
    <row r="1258" spans="1:16" hidden="1" x14ac:dyDescent="0.25">
      <c r="A1258" t="s">
        <v>195</v>
      </c>
      <c r="B1258" t="s">
        <v>20</v>
      </c>
      <c r="C1258" t="s">
        <v>16</v>
      </c>
      <c r="D1258">
        <v>337565</v>
      </c>
      <c r="E1258">
        <v>1149</v>
      </c>
      <c r="F1258">
        <v>40</v>
      </c>
      <c r="G1258">
        <v>1600</v>
      </c>
      <c r="H1258">
        <v>925</v>
      </c>
      <c r="I1258">
        <v>9293</v>
      </c>
      <c r="J1258">
        <v>0</v>
      </c>
      <c r="K1258">
        <v>0</v>
      </c>
      <c r="L1258">
        <v>73</v>
      </c>
      <c r="M1258">
        <v>4</v>
      </c>
      <c r="N1258" t="s">
        <v>198</v>
      </c>
      <c r="O1258" s="1">
        <f>result[[#This Row],[n_killed_mutants_cumulativa]]/result[[#This Row],[tot_mutants]]</f>
        <v>5.4794520547945202E-2</v>
      </c>
    </row>
    <row r="1259" spans="1:16" x14ac:dyDescent="0.25">
      <c r="A1259" t="s">
        <v>195</v>
      </c>
      <c r="B1259" t="s">
        <v>22</v>
      </c>
      <c r="C1259" t="s">
        <v>16</v>
      </c>
      <c r="D1259">
        <v>763504</v>
      </c>
      <c r="E1259">
        <v>2588</v>
      </c>
      <c r="F1259">
        <v>100</v>
      </c>
      <c r="G1259">
        <v>3000</v>
      </c>
      <c r="H1259">
        <v>2040</v>
      </c>
      <c r="I1259">
        <v>17672</v>
      </c>
      <c r="J1259">
        <v>0</v>
      </c>
      <c r="K1259">
        <v>0</v>
      </c>
      <c r="L1259">
        <v>73</v>
      </c>
      <c r="M1259">
        <v>4</v>
      </c>
      <c r="N1259" t="s">
        <v>198</v>
      </c>
      <c r="O1259" s="1">
        <f>result[[#This Row],[n_killed_mutants_cumulativa]]/result[[#This Row],[tot_mutants]]</f>
        <v>5.4794520547945202E-2</v>
      </c>
      <c r="P1259" s="9" t="s">
        <v>361</v>
      </c>
    </row>
    <row r="1260" spans="1:16" hidden="1" x14ac:dyDescent="0.25">
      <c r="A1260" t="s">
        <v>199</v>
      </c>
      <c r="B1260" t="s">
        <v>15</v>
      </c>
      <c r="C1260" t="s">
        <v>16</v>
      </c>
      <c r="D1260">
        <v>5646</v>
      </c>
      <c r="E1260">
        <v>99</v>
      </c>
      <c r="F1260">
        <v>10</v>
      </c>
      <c r="G1260">
        <v>100</v>
      </c>
      <c r="H1260">
        <v>30</v>
      </c>
      <c r="I1260">
        <v>666</v>
      </c>
      <c r="J1260">
        <v>0</v>
      </c>
      <c r="K1260">
        <v>0</v>
      </c>
      <c r="L1260">
        <v>7</v>
      </c>
      <c r="M1260">
        <v>0</v>
      </c>
      <c r="N1260" t="s">
        <v>17</v>
      </c>
      <c r="O1260" s="1">
        <f>result[[#This Row],[n_killed_mutants_cumulativa]]/result[[#This Row],[tot_mutants]]</f>
        <v>0</v>
      </c>
    </row>
    <row r="1261" spans="1:16" hidden="1" x14ac:dyDescent="0.25">
      <c r="A1261" t="s">
        <v>199</v>
      </c>
      <c r="B1261" t="s">
        <v>18</v>
      </c>
      <c r="C1261" t="s">
        <v>16</v>
      </c>
      <c r="D1261">
        <v>7823</v>
      </c>
      <c r="E1261">
        <v>32</v>
      </c>
      <c r="F1261">
        <v>20</v>
      </c>
      <c r="G1261">
        <v>400</v>
      </c>
      <c r="H1261">
        <v>65</v>
      </c>
      <c r="I1261">
        <v>2888</v>
      </c>
      <c r="J1261">
        <v>0</v>
      </c>
      <c r="K1261">
        <v>0</v>
      </c>
      <c r="L1261">
        <v>7</v>
      </c>
      <c r="M1261">
        <v>0</v>
      </c>
      <c r="N1261" t="s">
        <v>17</v>
      </c>
      <c r="O1261" s="1">
        <f>result[[#This Row],[n_killed_mutants_cumulativa]]/result[[#This Row],[tot_mutants]]</f>
        <v>0</v>
      </c>
    </row>
    <row r="1262" spans="1:16" hidden="1" x14ac:dyDescent="0.25">
      <c r="A1262" t="s">
        <v>199</v>
      </c>
      <c r="B1262" t="s">
        <v>19</v>
      </c>
      <c r="C1262" t="s">
        <v>16</v>
      </c>
      <c r="D1262">
        <v>13478</v>
      </c>
      <c r="E1262">
        <v>37</v>
      </c>
      <c r="F1262">
        <v>30</v>
      </c>
      <c r="G1262">
        <v>900</v>
      </c>
      <c r="H1262">
        <v>107</v>
      </c>
      <c r="I1262">
        <v>6391</v>
      </c>
      <c r="J1262">
        <v>0</v>
      </c>
      <c r="K1262">
        <v>0</v>
      </c>
      <c r="L1262">
        <v>7</v>
      </c>
      <c r="M1262">
        <v>0</v>
      </c>
      <c r="N1262" t="s">
        <v>17</v>
      </c>
      <c r="O1262" s="1">
        <f>result[[#This Row],[n_killed_mutants_cumulativa]]/result[[#This Row],[tot_mutants]]</f>
        <v>0</v>
      </c>
    </row>
    <row r="1263" spans="1:16" hidden="1" x14ac:dyDescent="0.25">
      <c r="A1263" t="s">
        <v>199</v>
      </c>
      <c r="B1263" t="s">
        <v>20</v>
      </c>
      <c r="C1263" t="s">
        <v>16</v>
      </c>
      <c r="D1263">
        <v>19698</v>
      </c>
      <c r="E1263">
        <v>47</v>
      </c>
      <c r="F1263">
        <v>40</v>
      </c>
      <c r="G1263">
        <v>1600</v>
      </c>
      <c r="H1263">
        <v>109</v>
      </c>
      <c r="I1263">
        <v>10261</v>
      </c>
      <c r="J1263">
        <v>0</v>
      </c>
      <c r="K1263">
        <v>0</v>
      </c>
      <c r="L1263">
        <v>7</v>
      </c>
      <c r="M1263">
        <v>0</v>
      </c>
      <c r="N1263" t="s">
        <v>17</v>
      </c>
      <c r="O1263" s="1">
        <f>result[[#This Row],[n_killed_mutants_cumulativa]]/result[[#This Row],[tot_mutants]]</f>
        <v>0</v>
      </c>
    </row>
    <row r="1264" spans="1:16" hidden="1" x14ac:dyDescent="0.25">
      <c r="A1264" t="s">
        <v>199</v>
      </c>
      <c r="B1264" t="s">
        <v>21</v>
      </c>
      <c r="C1264" t="s">
        <v>16</v>
      </c>
      <c r="D1264">
        <v>29550</v>
      </c>
      <c r="E1264">
        <v>58</v>
      </c>
      <c r="F1264">
        <v>50</v>
      </c>
      <c r="G1264">
        <v>2500</v>
      </c>
      <c r="H1264">
        <v>158</v>
      </c>
      <c r="I1264">
        <v>16692</v>
      </c>
      <c r="J1264">
        <v>0</v>
      </c>
      <c r="K1264">
        <v>0</v>
      </c>
      <c r="L1264">
        <v>7</v>
      </c>
      <c r="M1264">
        <v>0</v>
      </c>
      <c r="N1264" t="s">
        <v>17</v>
      </c>
      <c r="O1264" s="1">
        <f>result[[#This Row],[n_killed_mutants_cumulativa]]/result[[#This Row],[tot_mutants]]</f>
        <v>0</v>
      </c>
    </row>
    <row r="1265" spans="1:16" hidden="1" x14ac:dyDescent="0.25">
      <c r="A1265" t="s">
        <v>199</v>
      </c>
      <c r="B1265" t="s">
        <v>24</v>
      </c>
      <c r="C1265" t="s">
        <v>16</v>
      </c>
      <c r="D1265">
        <v>39478</v>
      </c>
      <c r="E1265">
        <v>89</v>
      </c>
      <c r="F1265">
        <v>60</v>
      </c>
      <c r="G1265">
        <v>3600</v>
      </c>
      <c r="H1265">
        <v>178</v>
      </c>
      <c r="I1265">
        <v>23425</v>
      </c>
      <c r="J1265">
        <v>0</v>
      </c>
      <c r="K1265">
        <v>0</v>
      </c>
      <c r="L1265">
        <v>7</v>
      </c>
      <c r="M1265">
        <v>0</v>
      </c>
      <c r="N1265" t="s">
        <v>17</v>
      </c>
      <c r="O1265" s="1">
        <f>result[[#This Row],[n_killed_mutants_cumulativa]]/result[[#This Row],[tot_mutants]]</f>
        <v>0</v>
      </c>
    </row>
    <row r="1266" spans="1:16" hidden="1" x14ac:dyDescent="0.25">
      <c r="A1266" t="s">
        <v>199</v>
      </c>
      <c r="B1266" t="s">
        <v>25</v>
      </c>
      <c r="C1266" t="s">
        <v>16</v>
      </c>
      <c r="D1266">
        <v>54701</v>
      </c>
      <c r="E1266">
        <v>91</v>
      </c>
      <c r="F1266">
        <v>70</v>
      </c>
      <c r="G1266">
        <v>4900</v>
      </c>
      <c r="H1266">
        <v>235</v>
      </c>
      <c r="I1266">
        <v>33653</v>
      </c>
      <c r="J1266">
        <v>0</v>
      </c>
      <c r="K1266">
        <v>0</v>
      </c>
      <c r="L1266">
        <v>7</v>
      </c>
      <c r="M1266">
        <v>0</v>
      </c>
      <c r="N1266" t="s">
        <v>17</v>
      </c>
      <c r="O1266" s="1">
        <f>result[[#This Row],[n_killed_mutants_cumulativa]]/result[[#This Row],[tot_mutants]]</f>
        <v>0</v>
      </c>
    </row>
    <row r="1267" spans="1:16" hidden="1" x14ac:dyDescent="0.25">
      <c r="A1267" t="s">
        <v>199</v>
      </c>
      <c r="B1267" t="s">
        <v>26</v>
      </c>
      <c r="C1267" t="s">
        <v>16</v>
      </c>
      <c r="D1267">
        <v>69679</v>
      </c>
      <c r="E1267">
        <v>101</v>
      </c>
      <c r="F1267">
        <v>80</v>
      </c>
      <c r="G1267">
        <v>6400</v>
      </c>
      <c r="H1267">
        <v>224</v>
      </c>
      <c r="I1267">
        <v>42279</v>
      </c>
      <c r="J1267">
        <v>0</v>
      </c>
      <c r="K1267">
        <v>0</v>
      </c>
      <c r="L1267">
        <v>7</v>
      </c>
      <c r="M1267">
        <v>0</v>
      </c>
      <c r="N1267" t="s">
        <v>17</v>
      </c>
      <c r="O1267" s="1">
        <f>result[[#This Row],[n_killed_mutants_cumulativa]]/result[[#This Row],[tot_mutants]]</f>
        <v>0</v>
      </c>
    </row>
    <row r="1268" spans="1:16" hidden="1" x14ac:dyDescent="0.25">
      <c r="A1268" t="s">
        <v>199</v>
      </c>
      <c r="B1268" t="s">
        <v>27</v>
      </c>
      <c r="C1268" t="s">
        <v>16</v>
      </c>
      <c r="D1268">
        <v>93428</v>
      </c>
      <c r="E1268">
        <v>132</v>
      </c>
      <c r="F1268">
        <v>90</v>
      </c>
      <c r="G1268">
        <v>8100</v>
      </c>
      <c r="H1268">
        <v>313</v>
      </c>
      <c r="I1268">
        <v>56855</v>
      </c>
      <c r="J1268">
        <v>0</v>
      </c>
      <c r="K1268">
        <v>0</v>
      </c>
      <c r="L1268">
        <v>7</v>
      </c>
      <c r="M1268">
        <v>0</v>
      </c>
      <c r="N1268" t="s">
        <v>17</v>
      </c>
      <c r="O1268" s="1">
        <f>result[[#This Row],[n_killed_mutants_cumulativa]]/result[[#This Row],[tot_mutants]]</f>
        <v>0</v>
      </c>
    </row>
    <row r="1269" spans="1:16" hidden="1" x14ac:dyDescent="0.25">
      <c r="A1269" t="s">
        <v>199</v>
      </c>
      <c r="B1269" t="s">
        <v>30</v>
      </c>
      <c r="C1269" t="s">
        <v>16</v>
      </c>
      <c r="D1269">
        <v>119289</v>
      </c>
      <c r="E1269">
        <v>155</v>
      </c>
      <c r="F1269">
        <v>100</v>
      </c>
      <c r="G1269">
        <v>10000</v>
      </c>
      <c r="H1269">
        <v>305</v>
      </c>
      <c r="I1269">
        <v>67318</v>
      </c>
      <c r="J1269">
        <v>0</v>
      </c>
      <c r="K1269">
        <v>0</v>
      </c>
      <c r="L1269">
        <v>7</v>
      </c>
      <c r="M1269">
        <v>0</v>
      </c>
      <c r="N1269" t="s">
        <v>17</v>
      </c>
      <c r="O1269" s="1">
        <f>result[[#This Row],[n_killed_mutants_cumulativa]]/result[[#This Row],[tot_mutants]]</f>
        <v>0</v>
      </c>
    </row>
    <row r="1270" spans="1:16" hidden="1" x14ac:dyDescent="0.25">
      <c r="A1270" t="s">
        <v>199</v>
      </c>
      <c r="B1270" t="s">
        <v>31</v>
      </c>
      <c r="C1270" t="s">
        <v>16</v>
      </c>
      <c r="D1270">
        <v>145043</v>
      </c>
      <c r="E1270">
        <v>426</v>
      </c>
      <c r="F1270">
        <v>110</v>
      </c>
      <c r="G1270">
        <v>12100</v>
      </c>
      <c r="H1270">
        <v>314</v>
      </c>
      <c r="I1270">
        <v>80766</v>
      </c>
      <c r="J1270">
        <v>0</v>
      </c>
      <c r="K1270">
        <v>0</v>
      </c>
      <c r="L1270">
        <v>7</v>
      </c>
      <c r="M1270">
        <v>0</v>
      </c>
      <c r="N1270" t="s">
        <v>17</v>
      </c>
      <c r="O1270" s="1">
        <f>result[[#This Row],[n_killed_mutants_cumulativa]]/result[[#This Row],[tot_mutants]]</f>
        <v>0</v>
      </c>
    </row>
    <row r="1271" spans="1:16" hidden="1" x14ac:dyDescent="0.25">
      <c r="A1271" t="s">
        <v>199</v>
      </c>
      <c r="B1271" t="s">
        <v>36</v>
      </c>
      <c r="C1271" t="s">
        <v>16</v>
      </c>
      <c r="D1271">
        <v>173228</v>
      </c>
      <c r="E1271">
        <v>226</v>
      </c>
      <c r="F1271">
        <v>120</v>
      </c>
      <c r="G1271">
        <v>14400</v>
      </c>
      <c r="H1271">
        <v>385</v>
      </c>
      <c r="I1271">
        <v>95722</v>
      </c>
      <c r="J1271">
        <v>0</v>
      </c>
      <c r="K1271">
        <v>0</v>
      </c>
      <c r="L1271">
        <v>7</v>
      </c>
      <c r="M1271">
        <v>0</v>
      </c>
      <c r="N1271" t="s">
        <v>17</v>
      </c>
      <c r="O1271" s="1">
        <f>result[[#This Row],[n_killed_mutants_cumulativa]]/result[[#This Row],[tot_mutants]]</f>
        <v>0</v>
      </c>
    </row>
    <row r="1272" spans="1:16" hidden="1" x14ac:dyDescent="0.25">
      <c r="A1272" t="s">
        <v>199</v>
      </c>
      <c r="B1272" t="s">
        <v>22</v>
      </c>
      <c r="C1272" t="s">
        <v>16</v>
      </c>
      <c r="D1272">
        <v>771041</v>
      </c>
      <c r="E1272">
        <v>1493</v>
      </c>
      <c r="F1272">
        <v>780</v>
      </c>
      <c r="G1272">
        <v>65000</v>
      </c>
      <c r="H1272">
        <v>2423</v>
      </c>
      <c r="I1272">
        <v>436916</v>
      </c>
      <c r="J1272">
        <v>0</v>
      </c>
      <c r="K1272">
        <v>0</v>
      </c>
      <c r="L1272">
        <v>7</v>
      </c>
      <c r="M1272">
        <v>0</v>
      </c>
      <c r="N1272" t="s">
        <v>17</v>
      </c>
      <c r="O1272" s="1">
        <f>result[[#This Row],[n_killed_mutants_cumulativa]]/result[[#This Row],[tot_mutants]]</f>
        <v>0</v>
      </c>
      <c r="P1272" s="9" t="s">
        <v>354</v>
      </c>
    </row>
    <row r="1273" spans="1:16" hidden="1" x14ac:dyDescent="0.25">
      <c r="A1273" t="s">
        <v>200</v>
      </c>
      <c r="B1273" t="s">
        <v>15</v>
      </c>
      <c r="C1273" t="s">
        <v>16</v>
      </c>
      <c r="D1273">
        <v>3223</v>
      </c>
      <c r="E1273">
        <v>810</v>
      </c>
      <c r="F1273">
        <v>0</v>
      </c>
      <c r="G1273">
        <v>0</v>
      </c>
      <c r="H1273">
        <v>0</v>
      </c>
      <c r="I1273">
        <v>0</v>
      </c>
      <c r="J1273">
        <v>10</v>
      </c>
      <c r="K1273">
        <v>0</v>
      </c>
      <c r="L1273">
        <v>24</v>
      </c>
      <c r="M1273">
        <v>0</v>
      </c>
      <c r="N1273" t="s">
        <v>17</v>
      </c>
      <c r="O1273" s="1">
        <f>result[[#This Row],[n_killed_mutants_cumulativa]]/result[[#This Row],[tot_mutants]]</f>
        <v>0</v>
      </c>
    </row>
    <row r="1274" spans="1:16" hidden="1" x14ac:dyDescent="0.25">
      <c r="A1274" t="s">
        <v>200</v>
      </c>
      <c r="B1274" t="s">
        <v>18</v>
      </c>
      <c r="C1274" t="s">
        <v>16</v>
      </c>
      <c r="D1274">
        <v>3333</v>
      </c>
      <c r="E1274">
        <v>1415</v>
      </c>
      <c r="F1274">
        <v>0</v>
      </c>
      <c r="G1274">
        <v>0</v>
      </c>
      <c r="H1274">
        <v>0</v>
      </c>
      <c r="I1274">
        <v>0</v>
      </c>
      <c r="J1274">
        <v>15</v>
      </c>
      <c r="K1274">
        <v>5</v>
      </c>
      <c r="L1274">
        <v>24</v>
      </c>
      <c r="M1274">
        <v>0</v>
      </c>
      <c r="N1274" t="s">
        <v>17</v>
      </c>
      <c r="O1274" s="1">
        <f>result[[#This Row],[n_killed_mutants_cumulativa]]/result[[#This Row],[tot_mutants]]</f>
        <v>0</v>
      </c>
    </row>
    <row r="1275" spans="1:16" hidden="1" x14ac:dyDescent="0.25">
      <c r="A1275" t="s">
        <v>200</v>
      </c>
      <c r="B1275" t="s">
        <v>19</v>
      </c>
      <c r="C1275" t="s">
        <v>16</v>
      </c>
      <c r="D1275">
        <v>4190</v>
      </c>
      <c r="E1275">
        <v>2194</v>
      </c>
      <c r="F1275">
        <v>0</v>
      </c>
      <c r="G1275">
        <v>0</v>
      </c>
      <c r="H1275">
        <v>0</v>
      </c>
      <c r="I1275">
        <v>0</v>
      </c>
      <c r="J1275">
        <v>19</v>
      </c>
      <c r="K1275">
        <v>11</v>
      </c>
      <c r="L1275">
        <v>24</v>
      </c>
      <c r="M1275">
        <v>0</v>
      </c>
      <c r="N1275" t="s">
        <v>17</v>
      </c>
      <c r="O1275" s="1">
        <f>result[[#This Row],[n_killed_mutants_cumulativa]]/result[[#This Row],[tot_mutants]]</f>
        <v>0</v>
      </c>
    </row>
    <row r="1276" spans="1:16" hidden="1" x14ac:dyDescent="0.25">
      <c r="A1276" t="s">
        <v>200</v>
      </c>
      <c r="B1276" t="s">
        <v>20</v>
      </c>
      <c r="C1276" t="s">
        <v>16</v>
      </c>
      <c r="D1276">
        <v>6936</v>
      </c>
      <c r="E1276">
        <v>4100</v>
      </c>
      <c r="F1276">
        <v>0</v>
      </c>
      <c r="G1276">
        <v>0</v>
      </c>
      <c r="H1276">
        <v>0</v>
      </c>
      <c r="I1276">
        <v>0</v>
      </c>
      <c r="J1276">
        <v>27</v>
      </c>
      <c r="K1276">
        <v>13</v>
      </c>
      <c r="L1276">
        <v>24</v>
      </c>
      <c r="M1276">
        <v>0</v>
      </c>
      <c r="N1276" t="s">
        <v>17</v>
      </c>
      <c r="O1276" s="1">
        <f>result[[#This Row],[n_killed_mutants_cumulativa]]/result[[#This Row],[tot_mutants]]</f>
        <v>0</v>
      </c>
    </row>
    <row r="1277" spans="1:16" hidden="1" x14ac:dyDescent="0.25">
      <c r="A1277" t="s">
        <v>200</v>
      </c>
      <c r="B1277" t="s">
        <v>21</v>
      </c>
      <c r="C1277" t="s">
        <v>16</v>
      </c>
      <c r="D1277">
        <v>10233</v>
      </c>
      <c r="E1277">
        <v>6786</v>
      </c>
      <c r="F1277">
        <v>0</v>
      </c>
      <c r="G1277">
        <v>0</v>
      </c>
      <c r="H1277">
        <v>0</v>
      </c>
      <c r="I1277">
        <v>0</v>
      </c>
      <c r="J1277">
        <v>26</v>
      </c>
      <c r="K1277">
        <v>24</v>
      </c>
      <c r="L1277">
        <v>24</v>
      </c>
      <c r="M1277">
        <v>0</v>
      </c>
      <c r="N1277" t="s">
        <v>17</v>
      </c>
      <c r="O1277" s="1">
        <f>result[[#This Row],[n_killed_mutants_cumulativa]]/result[[#This Row],[tot_mutants]]</f>
        <v>0</v>
      </c>
    </row>
    <row r="1278" spans="1:16" hidden="1" x14ac:dyDescent="0.25">
      <c r="A1278" t="s">
        <v>200</v>
      </c>
      <c r="B1278" t="s">
        <v>22</v>
      </c>
      <c r="C1278" t="s">
        <v>16</v>
      </c>
      <c r="D1278">
        <v>27915</v>
      </c>
      <c r="E1278">
        <v>15305</v>
      </c>
      <c r="F1278">
        <v>0</v>
      </c>
      <c r="G1278">
        <v>0</v>
      </c>
      <c r="H1278">
        <v>0</v>
      </c>
      <c r="I1278">
        <v>0</v>
      </c>
      <c r="J1278">
        <v>97</v>
      </c>
      <c r="K1278">
        <v>53</v>
      </c>
      <c r="L1278">
        <v>24</v>
      </c>
      <c r="M1278">
        <v>0</v>
      </c>
      <c r="N1278" t="s">
        <v>17</v>
      </c>
      <c r="O1278" s="1">
        <f>result[[#This Row],[n_killed_mutants_cumulativa]]/result[[#This Row],[tot_mutants]]</f>
        <v>0</v>
      </c>
    </row>
    <row r="1279" spans="1:16" hidden="1" x14ac:dyDescent="0.25">
      <c r="A1279" t="s">
        <v>201</v>
      </c>
      <c r="B1279" t="s">
        <v>22</v>
      </c>
      <c r="C1279" t="s">
        <v>99</v>
      </c>
      <c r="D1279">
        <v>0</v>
      </c>
      <c r="E1279">
        <v>162</v>
      </c>
      <c r="F1279">
        <v>10</v>
      </c>
      <c r="G1279">
        <v>100</v>
      </c>
      <c r="H1279">
        <v>100</v>
      </c>
      <c r="I1279">
        <v>180</v>
      </c>
      <c r="J1279">
        <v>0</v>
      </c>
      <c r="K1279">
        <v>0</v>
      </c>
      <c r="L1279">
        <v>9</v>
      </c>
      <c r="M1279">
        <v>0</v>
      </c>
      <c r="N1279" t="s">
        <v>17</v>
      </c>
      <c r="O1279" s="1">
        <f>result[[#This Row],[n_killed_mutants_cumulativa]]/result[[#This Row],[tot_mutants]]</f>
        <v>0</v>
      </c>
    </row>
    <row r="1280" spans="1:16" hidden="1" x14ac:dyDescent="0.25">
      <c r="A1280" t="s">
        <v>202</v>
      </c>
      <c r="B1280" t="s">
        <v>15</v>
      </c>
      <c r="C1280" t="s">
        <v>16</v>
      </c>
      <c r="D1280">
        <v>2604</v>
      </c>
      <c r="E1280">
        <v>83</v>
      </c>
      <c r="F1280">
        <v>10</v>
      </c>
      <c r="G1280">
        <v>100</v>
      </c>
      <c r="H1280">
        <v>100</v>
      </c>
      <c r="I1280">
        <v>147</v>
      </c>
      <c r="J1280">
        <v>0</v>
      </c>
      <c r="K1280">
        <v>0</v>
      </c>
      <c r="L1280">
        <v>2</v>
      </c>
      <c r="M1280">
        <v>0</v>
      </c>
      <c r="N1280" t="s">
        <v>17</v>
      </c>
      <c r="O1280" s="1">
        <f>result[[#This Row],[n_killed_mutants_cumulativa]]/result[[#This Row],[tot_mutants]]</f>
        <v>0</v>
      </c>
    </row>
    <row r="1281" spans="1:15" hidden="1" x14ac:dyDescent="0.25">
      <c r="A1281" t="s">
        <v>202</v>
      </c>
      <c r="B1281" t="s">
        <v>18</v>
      </c>
      <c r="C1281" t="s">
        <v>16</v>
      </c>
      <c r="D1281">
        <v>2288</v>
      </c>
      <c r="E1281">
        <v>56</v>
      </c>
      <c r="F1281">
        <v>20</v>
      </c>
      <c r="G1281">
        <v>400</v>
      </c>
      <c r="H1281">
        <v>400</v>
      </c>
      <c r="I1281">
        <v>795</v>
      </c>
      <c r="J1281">
        <v>0</v>
      </c>
      <c r="K1281">
        <v>0</v>
      </c>
      <c r="L1281">
        <v>2</v>
      </c>
      <c r="M1281">
        <v>0</v>
      </c>
      <c r="N1281" t="s">
        <v>17</v>
      </c>
      <c r="O1281" s="1">
        <f>result[[#This Row],[n_killed_mutants_cumulativa]]/result[[#This Row],[tot_mutants]]</f>
        <v>0</v>
      </c>
    </row>
    <row r="1282" spans="1:15" hidden="1" x14ac:dyDescent="0.25">
      <c r="A1282" t="s">
        <v>202</v>
      </c>
      <c r="B1282" t="s">
        <v>19</v>
      </c>
      <c r="C1282" t="s">
        <v>16</v>
      </c>
      <c r="D1282">
        <v>3436</v>
      </c>
      <c r="E1282">
        <v>46</v>
      </c>
      <c r="F1282">
        <v>30</v>
      </c>
      <c r="G1282">
        <v>900</v>
      </c>
      <c r="H1282">
        <v>900</v>
      </c>
      <c r="I1282">
        <v>2085</v>
      </c>
      <c r="J1282">
        <v>0</v>
      </c>
      <c r="K1282">
        <v>0</v>
      </c>
      <c r="L1282">
        <v>2</v>
      </c>
      <c r="M1282">
        <v>0</v>
      </c>
      <c r="N1282" t="s">
        <v>17</v>
      </c>
      <c r="O1282" s="1">
        <f>result[[#This Row],[n_killed_mutants_cumulativa]]/result[[#This Row],[tot_mutants]]</f>
        <v>0</v>
      </c>
    </row>
    <row r="1283" spans="1:15" hidden="1" x14ac:dyDescent="0.25">
      <c r="A1283" t="s">
        <v>202</v>
      </c>
      <c r="B1283" t="s">
        <v>20</v>
      </c>
      <c r="C1283" t="s">
        <v>16</v>
      </c>
      <c r="D1283">
        <v>4297</v>
      </c>
      <c r="E1283">
        <v>59</v>
      </c>
      <c r="F1283">
        <v>40</v>
      </c>
      <c r="G1283">
        <v>1600</v>
      </c>
      <c r="H1283">
        <v>1600</v>
      </c>
      <c r="I1283">
        <v>3947</v>
      </c>
      <c r="J1283">
        <v>0</v>
      </c>
      <c r="K1283">
        <v>0</v>
      </c>
      <c r="L1283">
        <v>2</v>
      </c>
      <c r="M1283">
        <v>0</v>
      </c>
      <c r="N1283" t="s">
        <v>17</v>
      </c>
      <c r="O1283" s="1">
        <f>result[[#This Row],[n_killed_mutants_cumulativa]]/result[[#This Row],[tot_mutants]]</f>
        <v>0</v>
      </c>
    </row>
    <row r="1284" spans="1:15" hidden="1" x14ac:dyDescent="0.25">
      <c r="A1284" t="s">
        <v>202</v>
      </c>
      <c r="B1284" t="s">
        <v>21</v>
      </c>
      <c r="C1284" t="s">
        <v>16</v>
      </c>
      <c r="D1284">
        <v>6428</v>
      </c>
      <c r="E1284">
        <v>65</v>
      </c>
      <c r="F1284">
        <v>50</v>
      </c>
      <c r="G1284">
        <v>2500</v>
      </c>
      <c r="H1284">
        <v>2500</v>
      </c>
      <c r="I1284">
        <v>6484</v>
      </c>
      <c r="J1284">
        <v>0</v>
      </c>
      <c r="K1284">
        <v>0</v>
      </c>
      <c r="L1284">
        <v>2</v>
      </c>
      <c r="M1284">
        <v>0</v>
      </c>
      <c r="N1284" t="s">
        <v>17</v>
      </c>
      <c r="O1284" s="1">
        <f>result[[#This Row],[n_killed_mutants_cumulativa]]/result[[#This Row],[tot_mutants]]</f>
        <v>0</v>
      </c>
    </row>
    <row r="1285" spans="1:15" hidden="1" x14ac:dyDescent="0.25">
      <c r="A1285" t="s">
        <v>202</v>
      </c>
      <c r="B1285" t="s">
        <v>24</v>
      </c>
      <c r="C1285" t="s">
        <v>16</v>
      </c>
      <c r="D1285">
        <v>8681</v>
      </c>
      <c r="E1285">
        <v>87</v>
      </c>
      <c r="F1285">
        <v>60</v>
      </c>
      <c r="G1285">
        <v>3600</v>
      </c>
      <c r="H1285">
        <v>3600</v>
      </c>
      <c r="I1285">
        <v>9631</v>
      </c>
      <c r="J1285">
        <v>0</v>
      </c>
      <c r="K1285">
        <v>0</v>
      </c>
      <c r="L1285">
        <v>2</v>
      </c>
      <c r="M1285">
        <v>0</v>
      </c>
      <c r="N1285" t="s">
        <v>17</v>
      </c>
      <c r="O1285" s="1">
        <f>result[[#This Row],[n_killed_mutants_cumulativa]]/result[[#This Row],[tot_mutants]]</f>
        <v>0</v>
      </c>
    </row>
    <row r="1286" spans="1:15" hidden="1" x14ac:dyDescent="0.25">
      <c r="A1286" t="s">
        <v>202</v>
      </c>
      <c r="B1286" t="s">
        <v>25</v>
      </c>
      <c r="C1286" t="s">
        <v>16</v>
      </c>
      <c r="D1286">
        <v>11490</v>
      </c>
      <c r="E1286">
        <v>101</v>
      </c>
      <c r="F1286">
        <v>70</v>
      </c>
      <c r="G1286">
        <v>4900</v>
      </c>
      <c r="H1286">
        <v>4900</v>
      </c>
      <c r="I1286">
        <v>13254</v>
      </c>
      <c r="J1286">
        <v>0</v>
      </c>
      <c r="K1286">
        <v>0</v>
      </c>
      <c r="L1286">
        <v>2</v>
      </c>
      <c r="M1286">
        <v>0</v>
      </c>
      <c r="N1286" t="s">
        <v>17</v>
      </c>
      <c r="O1286" s="1">
        <f>result[[#This Row],[n_killed_mutants_cumulativa]]/result[[#This Row],[tot_mutants]]</f>
        <v>0</v>
      </c>
    </row>
    <row r="1287" spans="1:15" hidden="1" x14ac:dyDescent="0.25">
      <c r="A1287" t="s">
        <v>202</v>
      </c>
      <c r="B1287" t="s">
        <v>26</v>
      </c>
      <c r="C1287" t="s">
        <v>16</v>
      </c>
      <c r="D1287">
        <v>15142</v>
      </c>
      <c r="E1287">
        <v>139</v>
      </c>
      <c r="F1287">
        <v>80</v>
      </c>
      <c r="G1287">
        <v>6400</v>
      </c>
      <c r="H1287">
        <v>6400</v>
      </c>
      <c r="I1287">
        <v>17623</v>
      </c>
      <c r="J1287">
        <v>0</v>
      </c>
      <c r="K1287">
        <v>0</v>
      </c>
      <c r="L1287">
        <v>2</v>
      </c>
      <c r="M1287">
        <v>0</v>
      </c>
      <c r="N1287" t="s">
        <v>17</v>
      </c>
      <c r="O1287" s="1">
        <f>result[[#This Row],[n_killed_mutants_cumulativa]]/result[[#This Row],[tot_mutants]]</f>
        <v>0</v>
      </c>
    </row>
    <row r="1288" spans="1:15" hidden="1" x14ac:dyDescent="0.25">
      <c r="A1288" t="s">
        <v>202</v>
      </c>
      <c r="B1288" t="s">
        <v>27</v>
      </c>
      <c r="C1288" t="s">
        <v>16</v>
      </c>
      <c r="D1288">
        <v>19067</v>
      </c>
      <c r="E1288">
        <v>168</v>
      </c>
      <c r="F1288">
        <v>90</v>
      </c>
      <c r="G1288">
        <v>8100</v>
      </c>
      <c r="H1288">
        <v>8100</v>
      </c>
      <c r="I1288">
        <v>22407</v>
      </c>
      <c r="J1288">
        <v>0</v>
      </c>
      <c r="K1288">
        <v>0</v>
      </c>
      <c r="L1288">
        <v>2</v>
      </c>
      <c r="M1288">
        <v>0</v>
      </c>
      <c r="N1288" t="s">
        <v>17</v>
      </c>
      <c r="O1288" s="1">
        <f>result[[#This Row],[n_killed_mutants_cumulativa]]/result[[#This Row],[tot_mutants]]</f>
        <v>0</v>
      </c>
    </row>
    <row r="1289" spans="1:15" hidden="1" x14ac:dyDescent="0.25">
      <c r="A1289" t="s">
        <v>202</v>
      </c>
      <c r="B1289" t="s">
        <v>30</v>
      </c>
      <c r="C1289" t="s">
        <v>16</v>
      </c>
      <c r="D1289">
        <v>24117</v>
      </c>
      <c r="E1289">
        <v>203</v>
      </c>
      <c r="F1289">
        <v>100</v>
      </c>
      <c r="G1289">
        <v>10000</v>
      </c>
      <c r="H1289">
        <v>10000</v>
      </c>
      <c r="I1289">
        <v>27867</v>
      </c>
      <c r="J1289">
        <v>0</v>
      </c>
      <c r="K1289">
        <v>0</v>
      </c>
      <c r="L1289">
        <v>2</v>
      </c>
      <c r="M1289">
        <v>0</v>
      </c>
      <c r="N1289" t="s">
        <v>17</v>
      </c>
      <c r="O1289" s="1">
        <f>result[[#This Row],[n_killed_mutants_cumulativa]]/result[[#This Row],[tot_mutants]]</f>
        <v>0</v>
      </c>
    </row>
    <row r="1290" spans="1:15" hidden="1" x14ac:dyDescent="0.25">
      <c r="A1290" t="s">
        <v>202</v>
      </c>
      <c r="B1290" t="s">
        <v>31</v>
      </c>
      <c r="C1290" t="s">
        <v>16</v>
      </c>
      <c r="D1290">
        <v>29395</v>
      </c>
      <c r="E1290">
        <v>252</v>
      </c>
      <c r="F1290">
        <v>110</v>
      </c>
      <c r="G1290">
        <v>12100</v>
      </c>
      <c r="H1290">
        <v>12100</v>
      </c>
      <c r="I1290">
        <v>34125</v>
      </c>
      <c r="J1290">
        <v>0</v>
      </c>
      <c r="K1290">
        <v>0</v>
      </c>
      <c r="L1290">
        <v>2</v>
      </c>
      <c r="M1290">
        <v>0</v>
      </c>
      <c r="N1290" t="s">
        <v>17</v>
      </c>
      <c r="O1290" s="1">
        <f>result[[#This Row],[n_killed_mutants_cumulativa]]/result[[#This Row],[tot_mutants]]</f>
        <v>0</v>
      </c>
    </row>
    <row r="1291" spans="1:15" hidden="1" x14ac:dyDescent="0.25">
      <c r="A1291" t="s">
        <v>202</v>
      </c>
      <c r="B1291" t="s">
        <v>36</v>
      </c>
      <c r="C1291" t="s">
        <v>16</v>
      </c>
      <c r="D1291">
        <v>35180</v>
      </c>
      <c r="E1291">
        <v>307</v>
      </c>
      <c r="F1291">
        <v>120</v>
      </c>
      <c r="G1291">
        <v>14400</v>
      </c>
      <c r="H1291">
        <v>14400</v>
      </c>
      <c r="I1291">
        <v>40686</v>
      </c>
      <c r="J1291">
        <v>0</v>
      </c>
      <c r="K1291">
        <v>0</v>
      </c>
      <c r="L1291">
        <v>2</v>
      </c>
      <c r="M1291">
        <v>0</v>
      </c>
      <c r="N1291" t="s">
        <v>17</v>
      </c>
      <c r="O1291" s="1">
        <f>result[[#This Row],[n_killed_mutants_cumulativa]]/result[[#This Row],[tot_mutants]]</f>
        <v>0</v>
      </c>
    </row>
    <row r="1292" spans="1:15" hidden="1" x14ac:dyDescent="0.25">
      <c r="A1292" t="s">
        <v>202</v>
      </c>
      <c r="B1292" t="s">
        <v>40</v>
      </c>
      <c r="C1292" t="s">
        <v>16</v>
      </c>
      <c r="D1292">
        <v>42469</v>
      </c>
      <c r="E1292">
        <v>425</v>
      </c>
      <c r="F1292">
        <v>130</v>
      </c>
      <c r="G1292">
        <v>16900</v>
      </c>
      <c r="H1292">
        <v>16900</v>
      </c>
      <c r="I1292">
        <v>48151</v>
      </c>
      <c r="J1292">
        <v>0</v>
      </c>
      <c r="K1292">
        <v>0</v>
      </c>
      <c r="L1292">
        <v>2</v>
      </c>
      <c r="M1292">
        <v>0</v>
      </c>
      <c r="N1292" t="s">
        <v>17</v>
      </c>
      <c r="O1292" s="1">
        <f>result[[#This Row],[n_killed_mutants_cumulativa]]/result[[#This Row],[tot_mutants]]</f>
        <v>0</v>
      </c>
    </row>
    <row r="1293" spans="1:15" hidden="1" x14ac:dyDescent="0.25">
      <c r="A1293" t="s">
        <v>202</v>
      </c>
      <c r="B1293" t="s">
        <v>47</v>
      </c>
      <c r="C1293" t="s">
        <v>16</v>
      </c>
      <c r="D1293">
        <v>49540</v>
      </c>
      <c r="E1293">
        <v>434</v>
      </c>
      <c r="F1293">
        <v>140</v>
      </c>
      <c r="G1293">
        <v>19600</v>
      </c>
      <c r="H1293">
        <v>19600</v>
      </c>
      <c r="I1293">
        <v>55913</v>
      </c>
      <c r="J1293">
        <v>0</v>
      </c>
      <c r="K1293">
        <v>0</v>
      </c>
      <c r="L1293">
        <v>2</v>
      </c>
      <c r="M1293">
        <v>0</v>
      </c>
      <c r="N1293" t="s">
        <v>17</v>
      </c>
      <c r="O1293" s="1">
        <f>result[[#This Row],[n_killed_mutants_cumulativa]]/result[[#This Row],[tot_mutants]]</f>
        <v>0</v>
      </c>
    </row>
    <row r="1294" spans="1:15" hidden="1" x14ac:dyDescent="0.25">
      <c r="A1294" t="s">
        <v>202</v>
      </c>
      <c r="B1294" t="s">
        <v>48</v>
      </c>
      <c r="C1294" t="s">
        <v>16</v>
      </c>
      <c r="D1294">
        <v>58396</v>
      </c>
      <c r="E1294">
        <v>459</v>
      </c>
      <c r="F1294">
        <v>150</v>
      </c>
      <c r="G1294">
        <v>22500</v>
      </c>
      <c r="H1294">
        <v>22500</v>
      </c>
      <c r="I1294">
        <v>64557</v>
      </c>
      <c r="J1294">
        <v>0</v>
      </c>
      <c r="K1294">
        <v>0</v>
      </c>
      <c r="L1294">
        <v>2</v>
      </c>
      <c r="M1294">
        <v>0</v>
      </c>
      <c r="N1294" t="s">
        <v>17</v>
      </c>
      <c r="O1294" s="1">
        <f>result[[#This Row],[n_killed_mutants_cumulativa]]/result[[#This Row],[tot_mutants]]</f>
        <v>0</v>
      </c>
    </row>
    <row r="1295" spans="1:15" hidden="1" x14ac:dyDescent="0.25">
      <c r="A1295" t="s">
        <v>202</v>
      </c>
      <c r="B1295" t="s">
        <v>49</v>
      </c>
      <c r="C1295" t="s">
        <v>16</v>
      </c>
      <c r="D1295">
        <v>68590</v>
      </c>
      <c r="E1295">
        <v>511</v>
      </c>
      <c r="F1295">
        <v>160</v>
      </c>
      <c r="G1295">
        <v>25600</v>
      </c>
      <c r="H1295">
        <v>25600</v>
      </c>
      <c r="I1295">
        <v>73523</v>
      </c>
      <c r="J1295">
        <v>0</v>
      </c>
      <c r="K1295">
        <v>0</v>
      </c>
      <c r="L1295">
        <v>2</v>
      </c>
      <c r="M1295">
        <v>0</v>
      </c>
      <c r="N1295" t="s">
        <v>17</v>
      </c>
      <c r="O1295" s="1">
        <f>result[[#This Row],[n_killed_mutants_cumulativa]]/result[[#This Row],[tot_mutants]]</f>
        <v>0</v>
      </c>
    </row>
    <row r="1296" spans="1:15" hidden="1" x14ac:dyDescent="0.25">
      <c r="A1296" t="s">
        <v>202</v>
      </c>
      <c r="B1296" t="s">
        <v>50</v>
      </c>
      <c r="C1296" t="s">
        <v>16</v>
      </c>
      <c r="D1296">
        <v>79350</v>
      </c>
      <c r="E1296">
        <v>582</v>
      </c>
      <c r="F1296">
        <v>170</v>
      </c>
      <c r="G1296">
        <v>28900</v>
      </c>
      <c r="H1296">
        <v>28900</v>
      </c>
      <c r="I1296">
        <v>83372</v>
      </c>
      <c r="J1296">
        <v>0</v>
      </c>
      <c r="K1296">
        <v>0</v>
      </c>
      <c r="L1296">
        <v>2</v>
      </c>
      <c r="M1296">
        <v>0</v>
      </c>
      <c r="N1296" t="s">
        <v>17</v>
      </c>
      <c r="O1296" s="1">
        <f>result[[#This Row],[n_killed_mutants_cumulativa]]/result[[#This Row],[tot_mutants]]</f>
        <v>0</v>
      </c>
    </row>
    <row r="1297" spans="1:16" hidden="1" x14ac:dyDescent="0.25">
      <c r="A1297" t="s">
        <v>202</v>
      </c>
      <c r="B1297" t="s">
        <v>51</v>
      </c>
      <c r="C1297" t="s">
        <v>16</v>
      </c>
      <c r="D1297">
        <v>90622</v>
      </c>
      <c r="E1297">
        <v>650</v>
      </c>
      <c r="F1297">
        <v>180</v>
      </c>
      <c r="G1297">
        <v>32400</v>
      </c>
      <c r="H1297">
        <v>32400</v>
      </c>
      <c r="I1297">
        <v>93564</v>
      </c>
      <c r="J1297">
        <v>0</v>
      </c>
      <c r="K1297">
        <v>0</v>
      </c>
      <c r="L1297">
        <v>2</v>
      </c>
      <c r="M1297">
        <v>0</v>
      </c>
      <c r="N1297" t="s">
        <v>17</v>
      </c>
      <c r="O1297" s="1">
        <f>result[[#This Row],[n_killed_mutants_cumulativa]]/result[[#This Row],[tot_mutants]]</f>
        <v>0</v>
      </c>
    </row>
    <row r="1298" spans="1:16" hidden="1" x14ac:dyDescent="0.25">
      <c r="A1298" t="s">
        <v>202</v>
      </c>
      <c r="B1298" t="s">
        <v>52</v>
      </c>
      <c r="C1298" t="s">
        <v>16</v>
      </c>
      <c r="D1298">
        <v>104828</v>
      </c>
      <c r="E1298">
        <v>734</v>
      </c>
      <c r="F1298">
        <v>190</v>
      </c>
      <c r="G1298">
        <v>36100</v>
      </c>
      <c r="H1298">
        <v>36100</v>
      </c>
      <c r="I1298">
        <v>104560</v>
      </c>
      <c r="J1298">
        <v>0</v>
      </c>
      <c r="K1298">
        <v>0</v>
      </c>
      <c r="L1298">
        <v>2</v>
      </c>
      <c r="M1298">
        <v>0</v>
      </c>
      <c r="N1298" t="s">
        <v>17</v>
      </c>
      <c r="O1298" s="1">
        <f>result[[#This Row],[n_killed_mutants_cumulativa]]/result[[#This Row],[tot_mutants]]</f>
        <v>0</v>
      </c>
    </row>
    <row r="1299" spans="1:16" hidden="1" x14ac:dyDescent="0.25">
      <c r="A1299" t="s">
        <v>202</v>
      </c>
      <c r="B1299" t="s">
        <v>22</v>
      </c>
      <c r="C1299" t="s">
        <v>16</v>
      </c>
      <c r="D1299">
        <v>655920</v>
      </c>
      <c r="E1299">
        <v>5361</v>
      </c>
      <c r="F1299">
        <v>1900</v>
      </c>
      <c r="G1299">
        <v>247000</v>
      </c>
      <c r="H1299">
        <v>247000</v>
      </c>
      <c r="I1299">
        <v>702691</v>
      </c>
      <c r="J1299">
        <v>0</v>
      </c>
      <c r="K1299">
        <v>0</v>
      </c>
      <c r="L1299">
        <v>2</v>
      </c>
      <c r="M1299">
        <v>0</v>
      </c>
      <c r="N1299" t="s">
        <v>17</v>
      </c>
      <c r="O1299" s="1">
        <f>result[[#This Row],[n_killed_mutants_cumulativa]]/result[[#This Row],[tot_mutants]]</f>
        <v>0</v>
      </c>
      <c r="P1299" s="9" t="s">
        <v>351</v>
      </c>
    </row>
    <row r="1300" spans="1:16" hidden="1" x14ac:dyDescent="0.25">
      <c r="A1300" t="s">
        <v>203</v>
      </c>
      <c r="B1300" t="s">
        <v>15</v>
      </c>
      <c r="C1300" t="s">
        <v>16</v>
      </c>
      <c r="D1300">
        <v>3703</v>
      </c>
      <c r="E1300">
        <v>3501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54</v>
      </c>
      <c r="M1300">
        <v>0</v>
      </c>
      <c r="N1300" t="s">
        <v>17</v>
      </c>
      <c r="O1300" s="1">
        <f>result[[#This Row],[n_killed_mutants_cumulativa]]/result[[#This Row],[tot_mutants]]</f>
        <v>0</v>
      </c>
    </row>
    <row r="1301" spans="1:16" hidden="1" x14ac:dyDescent="0.25">
      <c r="A1301" t="s">
        <v>203</v>
      </c>
      <c r="B1301" t="s">
        <v>18</v>
      </c>
      <c r="C1301" t="s">
        <v>16</v>
      </c>
      <c r="D1301">
        <v>9300</v>
      </c>
      <c r="E1301">
        <v>9208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54</v>
      </c>
      <c r="M1301">
        <v>0</v>
      </c>
      <c r="N1301" t="s">
        <v>17</v>
      </c>
      <c r="O1301" s="1">
        <f>result[[#This Row],[n_killed_mutants_cumulativa]]/result[[#This Row],[tot_mutants]]</f>
        <v>0</v>
      </c>
    </row>
    <row r="1302" spans="1:16" hidden="1" x14ac:dyDescent="0.25">
      <c r="A1302" t="s">
        <v>203</v>
      </c>
      <c r="B1302" t="s">
        <v>19</v>
      </c>
      <c r="C1302" t="s">
        <v>16</v>
      </c>
      <c r="D1302">
        <v>7609</v>
      </c>
      <c r="E1302">
        <v>7544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54</v>
      </c>
      <c r="M1302">
        <v>0</v>
      </c>
      <c r="N1302" t="s">
        <v>17</v>
      </c>
      <c r="O1302" s="1">
        <f>result[[#This Row],[n_killed_mutants_cumulativa]]/result[[#This Row],[tot_mutants]]</f>
        <v>0</v>
      </c>
    </row>
    <row r="1303" spans="1:16" hidden="1" x14ac:dyDescent="0.25">
      <c r="A1303" t="s">
        <v>203</v>
      </c>
      <c r="B1303" t="s">
        <v>20</v>
      </c>
      <c r="C1303" t="s">
        <v>16</v>
      </c>
      <c r="D1303">
        <v>16271</v>
      </c>
      <c r="E1303">
        <v>16213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54</v>
      </c>
      <c r="M1303">
        <v>0</v>
      </c>
      <c r="N1303" t="s">
        <v>17</v>
      </c>
      <c r="O1303" s="1">
        <f>result[[#This Row],[n_killed_mutants_cumulativa]]/result[[#This Row],[tot_mutants]]</f>
        <v>0</v>
      </c>
    </row>
    <row r="1304" spans="1:16" hidden="1" x14ac:dyDescent="0.25">
      <c r="A1304" t="s">
        <v>203</v>
      </c>
      <c r="B1304" t="s">
        <v>21</v>
      </c>
      <c r="C1304" t="s">
        <v>16</v>
      </c>
      <c r="D1304">
        <v>15515</v>
      </c>
      <c r="E1304">
        <v>15459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54</v>
      </c>
      <c r="M1304">
        <v>0</v>
      </c>
      <c r="N1304" t="s">
        <v>17</v>
      </c>
      <c r="O1304" s="1">
        <f>result[[#This Row],[n_killed_mutants_cumulativa]]/result[[#This Row],[tot_mutants]]</f>
        <v>0</v>
      </c>
    </row>
    <row r="1305" spans="1:16" hidden="1" x14ac:dyDescent="0.25">
      <c r="A1305" t="s">
        <v>203</v>
      </c>
      <c r="B1305" t="s">
        <v>22</v>
      </c>
      <c r="C1305" t="s">
        <v>16</v>
      </c>
      <c r="D1305">
        <v>52398</v>
      </c>
      <c r="E1305">
        <v>51925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54</v>
      </c>
      <c r="M1305">
        <v>0</v>
      </c>
      <c r="N1305" t="s">
        <v>17</v>
      </c>
      <c r="O1305" s="1">
        <f>result[[#This Row],[n_killed_mutants_cumulativa]]/result[[#This Row],[tot_mutants]]</f>
        <v>0</v>
      </c>
    </row>
    <row r="1306" spans="1:16" hidden="1" x14ac:dyDescent="0.25">
      <c r="A1306" t="s">
        <v>204</v>
      </c>
      <c r="B1306" t="s">
        <v>15</v>
      </c>
      <c r="C1306" t="s">
        <v>16</v>
      </c>
      <c r="D1306">
        <v>5601</v>
      </c>
      <c r="E1306">
        <v>4186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10</v>
      </c>
      <c r="L1306">
        <v>6</v>
      </c>
      <c r="M1306">
        <v>0</v>
      </c>
      <c r="N1306" t="s">
        <v>17</v>
      </c>
      <c r="O1306" s="1">
        <f>result[[#This Row],[n_killed_mutants_cumulativa]]/result[[#This Row],[tot_mutants]]</f>
        <v>0</v>
      </c>
    </row>
    <row r="1307" spans="1:16" hidden="1" x14ac:dyDescent="0.25">
      <c r="A1307" t="s">
        <v>204</v>
      </c>
      <c r="B1307" t="s">
        <v>18</v>
      </c>
      <c r="C1307" t="s">
        <v>16</v>
      </c>
      <c r="D1307">
        <v>10547</v>
      </c>
      <c r="E1307">
        <v>10525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6</v>
      </c>
      <c r="M1307">
        <v>0</v>
      </c>
      <c r="N1307" t="s">
        <v>17</v>
      </c>
      <c r="O1307" s="1">
        <f>result[[#This Row],[n_killed_mutants_cumulativa]]/result[[#This Row],[tot_mutants]]</f>
        <v>0</v>
      </c>
    </row>
    <row r="1308" spans="1:16" hidden="1" x14ac:dyDescent="0.25">
      <c r="A1308" t="s">
        <v>204</v>
      </c>
      <c r="B1308" t="s">
        <v>19</v>
      </c>
      <c r="C1308" t="s">
        <v>16</v>
      </c>
      <c r="D1308">
        <v>13251</v>
      </c>
      <c r="E1308">
        <v>13233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6</v>
      </c>
      <c r="M1308">
        <v>0</v>
      </c>
      <c r="N1308" t="s">
        <v>17</v>
      </c>
      <c r="O1308" s="1">
        <f>result[[#This Row],[n_killed_mutants_cumulativa]]/result[[#This Row],[tot_mutants]]</f>
        <v>0</v>
      </c>
    </row>
    <row r="1309" spans="1:16" hidden="1" x14ac:dyDescent="0.25">
      <c r="A1309" t="s">
        <v>204</v>
      </c>
      <c r="B1309" t="s">
        <v>20</v>
      </c>
      <c r="C1309" t="s">
        <v>16</v>
      </c>
      <c r="D1309">
        <v>17334</v>
      </c>
      <c r="E1309">
        <v>17315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6</v>
      </c>
      <c r="M1309">
        <v>0</v>
      </c>
      <c r="N1309" t="s">
        <v>17</v>
      </c>
      <c r="O1309" s="1">
        <f>result[[#This Row],[n_killed_mutants_cumulativa]]/result[[#This Row],[tot_mutants]]</f>
        <v>0</v>
      </c>
    </row>
    <row r="1310" spans="1:16" hidden="1" x14ac:dyDescent="0.25">
      <c r="A1310" t="s">
        <v>204</v>
      </c>
      <c r="B1310" t="s">
        <v>21</v>
      </c>
      <c r="C1310" t="s">
        <v>16</v>
      </c>
      <c r="D1310">
        <v>21397</v>
      </c>
      <c r="E1310">
        <v>21379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6</v>
      </c>
      <c r="M1310">
        <v>0</v>
      </c>
      <c r="N1310" t="s">
        <v>17</v>
      </c>
      <c r="O1310" s="1">
        <f>result[[#This Row],[n_killed_mutants_cumulativa]]/result[[#This Row],[tot_mutants]]</f>
        <v>0</v>
      </c>
    </row>
    <row r="1311" spans="1:16" hidden="1" x14ac:dyDescent="0.25">
      <c r="A1311" t="s">
        <v>204</v>
      </c>
      <c r="B1311" t="s">
        <v>22</v>
      </c>
      <c r="C1311" t="s">
        <v>16</v>
      </c>
      <c r="D1311">
        <v>68130</v>
      </c>
      <c r="E1311">
        <v>66638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10</v>
      </c>
      <c r="L1311">
        <v>6</v>
      </c>
      <c r="M1311">
        <v>0</v>
      </c>
      <c r="N1311" t="s">
        <v>17</v>
      </c>
      <c r="O1311" s="1">
        <f>result[[#This Row],[n_killed_mutants_cumulativa]]/result[[#This Row],[tot_mutants]]</f>
        <v>0</v>
      </c>
    </row>
    <row r="1312" spans="1:16" hidden="1" x14ac:dyDescent="0.25">
      <c r="A1312" t="s">
        <v>205</v>
      </c>
      <c r="B1312" t="s">
        <v>15</v>
      </c>
      <c r="C1312" t="s">
        <v>16</v>
      </c>
      <c r="D1312">
        <v>2885</v>
      </c>
      <c r="E1312">
        <v>96</v>
      </c>
      <c r="F1312">
        <v>10</v>
      </c>
      <c r="G1312">
        <v>100</v>
      </c>
      <c r="H1312">
        <v>133</v>
      </c>
      <c r="I1312">
        <v>100</v>
      </c>
      <c r="J1312">
        <v>0</v>
      </c>
      <c r="K1312">
        <v>0</v>
      </c>
      <c r="L1312">
        <v>2</v>
      </c>
      <c r="M1312">
        <v>0</v>
      </c>
      <c r="N1312" t="s">
        <v>17</v>
      </c>
      <c r="O1312" s="1">
        <f>result[[#This Row],[n_killed_mutants_cumulativa]]/result[[#This Row],[tot_mutants]]</f>
        <v>0</v>
      </c>
    </row>
    <row r="1313" spans="1:15" hidden="1" x14ac:dyDescent="0.25">
      <c r="A1313" t="s">
        <v>205</v>
      </c>
      <c r="B1313" t="s">
        <v>18</v>
      </c>
      <c r="C1313" t="s">
        <v>16</v>
      </c>
      <c r="D1313">
        <v>2544</v>
      </c>
      <c r="E1313">
        <v>84</v>
      </c>
      <c r="F1313">
        <v>20</v>
      </c>
      <c r="G1313">
        <v>400</v>
      </c>
      <c r="H1313">
        <v>548</v>
      </c>
      <c r="I1313">
        <v>400</v>
      </c>
      <c r="J1313">
        <v>0</v>
      </c>
      <c r="K1313">
        <v>0</v>
      </c>
      <c r="L1313">
        <v>2</v>
      </c>
      <c r="M1313">
        <v>0</v>
      </c>
      <c r="N1313" t="s">
        <v>17</v>
      </c>
      <c r="O1313" s="1">
        <f>result[[#This Row],[n_killed_mutants_cumulativa]]/result[[#This Row],[tot_mutants]]</f>
        <v>0</v>
      </c>
    </row>
    <row r="1314" spans="1:15" hidden="1" x14ac:dyDescent="0.25">
      <c r="A1314" t="s">
        <v>205</v>
      </c>
      <c r="B1314" t="s">
        <v>19</v>
      </c>
      <c r="C1314" t="s">
        <v>16</v>
      </c>
      <c r="D1314">
        <v>3528</v>
      </c>
      <c r="E1314">
        <v>51</v>
      </c>
      <c r="F1314">
        <v>30</v>
      </c>
      <c r="G1314">
        <v>900</v>
      </c>
      <c r="H1314">
        <v>1196</v>
      </c>
      <c r="I1314">
        <v>900</v>
      </c>
      <c r="J1314">
        <v>0</v>
      </c>
      <c r="K1314">
        <v>0</v>
      </c>
      <c r="L1314">
        <v>2</v>
      </c>
      <c r="M1314">
        <v>0</v>
      </c>
      <c r="N1314" t="s">
        <v>17</v>
      </c>
      <c r="O1314" s="1">
        <f>result[[#This Row],[n_killed_mutants_cumulativa]]/result[[#This Row],[tot_mutants]]</f>
        <v>0</v>
      </c>
    </row>
    <row r="1315" spans="1:15" hidden="1" x14ac:dyDescent="0.25">
      <c r="A1315" t="s">
        <v>205</v>
      </c>
      <c r="B1315" t="s">
        <v>20</v>
      </c>
      <c r="C1315" t="s">
        <v>16</v>
      </c>
      <c r="D1315">
        <v>4098</v>
      </c>
      <c r="E1315">
        <v>73</v>
      </c>
      <c r="F1315">
        <v>40</v>
      </c>
      <c r="G1315">
        <v>1600</v>
      </c>
      <c r="H1315">
        <v>2172</v>
      </c>
      <c r="I1315">
        <v>1600</v>
      </c>
      <c r="J1315">
        <v>0</v>
      </c>
      <c r="K1315">
        <v>0</v>
      </c>
      <c r="L1315">
        <v>2</v>
      </c>
      <c r="M1315">
        <v>0</v>
      </c>
      <c r="N1315" t="s">
        <v>17</v>
      </c>
      <c r="O1315" s="1">
        <f>result[[#This Row],[n_killed_mutants_cumulativa]]/result[[#This Row],[tot_mutants]]</f>
        <v>0</v>
      </c>
    </row>
    <row r="1316" spans="1:15" hidden="1" x14ac:dyDescent="0.25">
      <c r="A1316" t="s">
        <v>205</v>
      </c>
      <c r="B1316" t="s">
        <v>21</v>
      </c>
      <c r="C1316" t="s">
        <v>16</v>
      </c>
      <c r="D1316">
        <v>5672</v>
      </c>
      <c r="E1316">
        <v>127</v>
      </c>
      <c r="F1316">
        <v>50</v>
      </c>
      <c r="G1316">
        <v>2500</v>
      </c>
      <c r="H1316">
        <v>3400</v>
      </c>
      <c r="I1316">
        <v>2500</v>
      </c>
      <c r="J1316">
        <v>0</v>
      </c>
      <c r="K1316">
        <v>0</v>
      </c>
      <c r="L1316">
        <v>2</v>
      </c>
      <c r="M1316">
        <v>0</v>
      </c>
      <c r="N1316" t="s">
        <v>17</v>
      </c>
      <c r="O1316" s="1">
        <f>result[[#This Row],[n_killed_mutants_cumulativa]]/result[[#This Row],[tot_mutants]]</f>
        <v>0</v>
      </c>
    </row>
    <row r="1317" spans="1:15" hidden="1" x14ac:dyDescent="0.25">
      <c r="A1317" t="s">
        <v>205</v>
      </c>
      <c r="B1317" t="s">
        <v>24</v>
      </c>
      <c r="C1317" t="s">
        <v>16</v>
      </c>
      <c r="D1317">
        <v>7467</v>
      </c>
      <c r="E1317">
        <v>131</v>
      </c>
      <c r="F1317">
        <v>60</v>
      </c>
      <c r="G1317">
        <v>3600</v>
      </c>
      <c r="H1317">
        <v>4843</v>
      </c>
      <c r="I1317">
        <v>3600</v>
      </c>
      <c r="J1317">
        <v>0</v>
      </c>
      <c r="K1317">
        <v>0</v>
      </c>
      <c r="L1317">
        <v>2</v>
      </c>
      <c r="M1317">
        <v>0</v>
      </c>
      <c r="N1317" t="s">
        <v>17</v>
      </c>
      <c r="O1317" s="1">
        <f>result[[#This Row],[n_killed_mutants_cumulativa]]/result[[#This Row],[tot_mutants]]</f>
        <v>0</v>
      </c>
    </row>
    <row r="1318" spans="1:15" hidden="1" x14ac:dyDescent="0.25">
      <c r="A1318" t="s">
        <v>205</v>
      </c>
      <c r="B1318" t="s">
        <v>25</v>
      </c>
      <c r="C1318" t="s">
        <v>16</v>
      </c>
      <c r="D1318">
        <v>9704</v>
      </c>
      <c r="E1318">
        <v>166</v>
      </c>
      <c r="F1318">
        <v>70</v>
      </c>
      <c r="G1318">
        <v>4900</v>
      </c>
      <c r="H1318">
        <v>6559</v>
      </c>
      <c r="I1318">
        <v>4900</v>
      </c>
      <c r="J1318">
        <v>0</v>
      </c>
      <c r="K1318">
        <v>0</v>
      </c>
      <c r="L1318">
        <v>2</v>
      </c>
      <c r="M1318">
        <v>0</v>
      </c>
      <c r="N1318" t="s">
        <v>17</v>
      </c>
      <c r="O1318" s="1">
        <f>result[[#This Row],[n_killed_mutants_cumulativa]]/result[[#This Row],[tot_mutants]]</f>
        <v>0</v>
      </c>
    </row>
    <row r="1319" spans="1:15" hidden="1" x14ac:dyDescent="0.25">
      <c r="A1319" t="s">
        <v>205</v>
      </c>
      <c r="B1319" t="s">
        <v>26</v>
      </c>
      <c r="C1319" t="s">
        <v>16</v>
      </c>
      <c r="D1319">
        <v>11937</v>
      </c>
      <c r="E1319">
        <v>210</v>
      </c>
      <c r="F1319">
        <v>80</v>
      </c>
      <c r="G1319">
        <v>6400</v>
      </c>
      <c r="H1319">
        <v>8517</v>
      </c>
      <c r="I1319">
        <v>6400</v>
      </c>
      <c r="J1319">
        <v>0</v>
      </c>
      <c r="K1319">
        <v>0</v>
      </c>
      <c r="L1319">
        <v>2</v>
      </c>
      <c r="M1319">
        <v>0</v>
      </c>
      <c r="N1319" t="s">
        <v>17</v>
      </c>
      <c r="O1319" s="1">
        <f>result[[#This Row],[n_killed_mutants_cumulativa]]/result[[#This Row],[tot_mutants]]</f>
        <v>0</v>
      </c>
    </row>
    <row r="1320" spans="1:15" hidden="1" x14ac:dyDescent="0.25">
      <c r="A1320" t="s">
        <v>205</v>
      </c>
      <c r="B1320" t="s">
        <v>27</v>
      </c>
      <c r="C1320" t="s">
        <v>16</v>
      </c>
      <c r="D1320">
        <v>14803</v>
      </c>
      <c r="E1320">
        <v>265</v>
      </c>
      <c r="F1320">
        <v>90</v>
      </c>
      <c r="G1320">
        <v>8100</v>
      </c>
      <c r="H1320">
        <v>10762</v>
      </c>
      <c r="I1320">
        <v>8100</v>
      </c>
      <c r="J1320">
        <v>0</v>
      </c>
      <c r="K1320">
        <v>0</v>
      </c>
      <c r="L1320">
        <v>2</v>
      </c>
      <c r="M1320">
        <v>0</v>
      </c>
      <c r="N1320" t="s">
        <v>17</v>
      </c>
      <c r="O1320" s="1">
        <f>result[[#This Row],[n_killed_mutants_cumulativa]]/result[[#This Row],[tot_mutants]]</f>
        <v>0</v>
      </c>
    </row>
    <row r="1321" spans="1:15" hidden="1" x14ac:dyDescent="0.25">
      <c r="A1321" t="s">
        <v>205</v>
      </c>
      <c r="B1321" t="s">
        <v>30</v>
      </c>
      <c r="C1321" t="s">
        <v>16</v>
      </c>
      <c r="D1321">
        <v>18671</v>
      </c>
      <c r="E1321">
        <v>328</v>
      </c>
      <c r="F1321">
        <v>100</v>
      </c>
      <c r="G1321">
        <v>10000</v>
      </c>
      <c r="H1321">
        <v>13345</v>
      </c>
      <c r="I1321">
        <v>10000</v>
      </c>
      <c r="J1321">
        <v>0</v>
      </c>
      <c r="K1321">
        <v>0</v>
      </c>
      <c r="L1321">
        <v>2</v>
      </c>
      <c r="M1321">
        <v>0</v>
      </c>
      <c r="N1321" t="s">
        <v>17</v>
      </c>
      <c r="O1321" s="1">
        <f>result[[#This Row],[n_killed_mutants_cumulativa]]/result[[#This Row],[tot_mutants]]</f>
        <v>0</v>
      </c>
    </row>
    <row r="1322" spans="1:15" hidden="1" x14ac:dyDescent="0.25">
      <c r="A1322" t="s">
        <v>205</v>
      </c>
      <c r="B1322" t="s">
        <v>31</v>
      </c>
      <c r="C1322" t="s">
        <v>16</v>
      </c>
      <c r="D1322">
        <v>22715</v>
      </c>
      <c r="E1322">
        <v>402</v>
      </c>
      <c r="F1322">
        <v>110</v>
      </c>
      <c r="G1322">
        <v>12100</v>
      </c>
      <c r="H1322">
        <v>16183</v>
      </c>
      <c r="I1322">
        <v>12100</v>
      </c>
      <c r="J1322">
        <v>0</v>
      </c>
      <c r="K1322">
        <v>0</v>
      </c>
      <c r="L1322">
        <v>2</v>
      </c>
      <c r="M1322">
        <v>0</v>
      </c>
      <c r="N1322" t="s">
        <v>17</v>
      </c>
      <c r="O1322" s="1">
        <f>result[[#This Row],[n_killed_mutants_cumulativa]]/result[[#This Row],[tot_mutants]]</f>
        <v>0</v>
      </c>
    </row>
    <row r="1323" spans="1:15" hidden="1" x14ac:dyDescent="0.25">
      <c r="A1323" t="s">
        <v>205</v>
      </c>
      <c r="B1323" t="s">
        <v>36</v>
      </c>
      <c r="C1323" t="s">
        <v>16</v>
      </c>
      <c r="D1323">
        <v>27376</v>
      </c>
      <c r="E1323">
        <v>478</v>
      </c>
      <c r="F1323">
        <v>120</v>
      </c>
      <c r="G1323">
        <v>14400</v>
      </c>
      <c r="H1323">
        <v>19127</v>
      </c>
      <c r="I1323">
        <v>14400</v>
      </c>
      <c r="J1323">
        <v>0</v>
      </c>
      <c r="K1323">
        <v>0</v>
      </c>
      <c r="L1323">
        <v>2</v>
      </c>
      <c r="M1323">
        <v>0</v>
      </c>
      <c r="N1323" t="s">
        <v>17</v>
      </c>
      <c r="O1323" s="1">
        <f>result[[#This Row],[n_killed_mutants_cumulativa]]/result[[#This Row],[tot_mutants]]</f>
        <v>0</v>
      </c>
    </row>
    <row r="1324" spans="1:15" hidden="1" x14ac:dyDescent="0.25">
      <c r="A1324" t="s">
        <v>205</v>
      </c>
      <c r="B1324" t="s">
        <v>40</v>
      </c>
      <c r="C1324" t="s">
        <v>16</v>
      </c>
      <c r="D1324">
        <v>32449</v>
      </c>
      <c r="E1324">
        <v>546</v>
      </c>
      <c r="F1324">
        <v>130</v>
      </c>
      <c r="G1324">
        <v>16900</v>
      </c>
      <c r="H1324">
        <v>22555</v>
      </c>
      <c r="I1324">
        <v>16900</v>
      </c>
      <c r="J1324">
        <v>0</v>
      </c>
      <c r="K1324">
        <v>0</v>
      </c>
      <c r="L1324">
        <v>2</v>
      </c>
      <c r="M1324">
        <v>0</v>
      </c>
      <c r="N1324" t="s">
        <v>17</v>
      </c>
      <c r="O1324" s="1">
        <f>result[[#This Row],[n_killed_mutants_cumulativa]]/result[[#This Row],[tot_mutants]]</f>
        <v>0</v>
      </c>
    </row>
    <row r="1325" spans="1:15" hidden="1" x14ac:dyDescent="0.25">
      <c r="A1325" t="s">
        <v>205</v>
      </c>
      <c r="B1325" t="s">
        <v>47</v>
      </c>
      <c r="C1325" t="s">
        <v>16</v>
      </c>
      <c r="D1325">
        <v>38113</v>
      </c>
      <c r="E1325">
        <v>630</v>
      </c>
      <c r="F1325">
        <v>140</v>
      </c>
      <c r="G1325">
        <v>19600</v>
      </c>
      <c r="H1325">
        <v>26166</v>
      </c>
      <c r="I1325">
        <v>19600</v>
      </c>
      <c r="J1325">
        <v>0</v>
      </c>
      <c r="K1325">
        <v>0</v>
      </c>
      <c r="L1325">
        <v>2</v>
      </c>
      <c r="M1325">
        <v>0</v>
      </c>
      <c r="N1325" t="s">
        <v>17</v>
      </c>
      <c r="O1325" s="1">
        <f>result[[#This Row],[n_killed_mutants_cumulativa]]/result[[#This Row],[tot_mutants]]</f>
        <v>0</v>
      </c>
    </row>
    <row r="1326" spans="1:15" hidden="1" x14ac:dyDescent="0.25">
      <c r="A1326" t="s">
        <v>205</v>
      </c>
      <c r="B1326" t="s">
        <v>48</v>
      </c>
      <c r="C1326" t="s">
        <v>16</v>
      </c>
      <c r="D1326">
        <v>44214</v>
      </c>
      <c r="E1326">
        <v>725</v>
      </c>
      <c r="F1326">
        <v>150</v>
      </c>
      <c r="G1326">
        <v>22500</v>
      </c>
      <c r="H1326">
        <v>30167</v>
      </c>
      <c r="I1326">
        <v>22500</v>
      </c>
      <c r="J1326">
        <v>0</v>
      </c>
      <c r="K1326">
        <v>0</v>
      </c>
      <c r="L1326">
        <v>2</v>
      </c>
      <c r="M1326">
        <v>0</v>
      </c>
      <c r="N1326" t="s">
        <v>17</v>
      </c>
      <c r="O1326" s="1">
        <f>result[[#This Row],[n_killed_mutants_cumulativa]]/result[[#This Row],[tot_mutants]]</f>
        <v>0</v>
      </c>
    </row>
    <row r="1327" spans="1:15" hidden="1" x14ac:dyDescent="0.25">
      <c r="A1327" t="s">
        <v>205</v>
      </c>
      <c r="B1327" t="s">
        <v>49</v>
      </c>
      <c r="C1327" t="s">
        <v>16</v>
      </c>
      <c r="D1327">
        <v>51547</v>
      </c>
      <c r="E1327">
        <v>818</v>
      </c>
      <c r="F1327">
        <v>160</v>
      </c>
      <c r="G1327">
        <v>25600</v>
      </c>
      <c r="H1327">
        <v>34030</v>
      </c>
      <c r="I1327">
        <v>25600</v>
      </c>
      <c r="J1327">
        <v>0</v>
      </c>
      <c r="K1327">
        <v>0</v>
      </c>
      <c r="L1327">
        <v>2</v>
      </c>
      <c r="M1327">
        <v>0</v>
      </c>
      <c r="N1327" t="s">
        <v>17</v>
      </c>
      <c r="O1327" s="1">
        <f>result[[#This Row],[n_killed_mutants_cumulativa]]/result[[#This Row],[tot_mutants]]</f>
        <v>0</v>
      </c>
    </row>
    <row r="1328" spans="1:15" hidden="1" x14ac:dyDescent="0.25">
      <c r="A1328" t="s">
        <v>205</v>
      </c>
      <c r="B1328" t="s">
        <v>50</v>
      </c>
      <c r="C1328" t="s">
        <v>16</v>
      </c>
      <c r="D1328">
        <v>59160</v>
      </c>
      <c r="E1328">
        <v>938</v>
      </c>
      <c r="F1328">
        <v>170</v>
      </c>
      <c r="G1328">
        <v>28900</v>
      </c>
      <c r="H1328">
        <v>38543</v>
      </c>
      <c r="I1328">
        <v>28900</v>
      </c>
      <c r="J1328">
        <v>0</v>
      </c>
      <c r="K1328">
        <v>0</v>
      </c>
      <c r="L1328">
        <v>2</v>
      </c>
      <c r="M1328">
        <v>0</v>
      </c>
      <c r="N1328" t="s">
        <v>17</v>
      </c>
      <c r="O1328" s="1">
        <f>result[[#This Row],[n_killed_mutants_cumulativa]]/result[[#This Row],[tot_mutants]]</f>
        <v>0</v>
      </c>
    </row>
    <row r="1329" spans="1:16" hidden="1" x14ac:dyDescent="0.25">
      <c r="A1329" t="s">
        <v>205</v>
      </c>
      <c r="B1329" t="s">
        <v>51</v>
      </c>
      <c r="C1329" t="s">
        <v>16</v>
      </c>
      <c r="D1329">
        <v>67774</v>
      </c>
      <c r="E1329">
        <v>1037</v>
      </c>
      <c r="F1329">
        <v>180</v>
      </c>
      <c r="G1329">
        <v>32400</v>
      </c>
      <c r="H1329">
        <v>43329</v>
      </c>
      <c r="I1329">
        <v>32400</v>
      </c>
      <c r="J1329">
        <v>0</v>
      </c>
      <c r="K1329">
        <v>0</v>
      </c>
      <c r="L1329">
        <v>2</v>
      </c>
      <c r="M1329">
        <v>0</v>
      </c>
      <c r="N1329" t="s">
        <v>17</v>
      </c>
      <c r="O1329" s="1">
        <f>result[[#This Row],[n_killed_mutants_cumulativa]]/result[[#This Row],[tot_mutants]]</f>
        <v>0</v>
      </c>
    </row>
    <row r="1330" spans="1:16" hidden="1" x14ac:dyDescent="0.25">
      <c r="A1330" t="s">
        <v>205</v>
      </c>
      <c r="B1330" t="s">
        <v>52</v>
      </c>
      <c r="C1330" t="s">
        <v>16</v>
      </c>
      <c r="D1330">
        <v>77046</v>
      </c>
      <c r="E1330">
        <v>1155</v>
      </c>
      <c r="F1330">
        <v>190</v>
      </c>
      <c r="G1330">
        <v>36100</v>
      </c>
      <c r="H1330">
        <v>48384</v>
      </c>
      <c r="I1330">
        <v>36100</v>
      </c>
      <c r="J1330">
        <v>0</v>
      </c>
      <c r="K1330">
        <v>0</v>
      </c>
      <c r="L1330">
        <v>2</v>
      </c>
      <c r="M1330">
        <v>0</v>
      </c>
      <c r="N1330" t="s">
        <v>17</v>
      </c>
      <c r="O1330" s="1">
        <f>result[[#This Row],[n_killed_mutants_cumulativa]]/result[[#This Row],[tot_mutants]]</f>
        <v>0</v>
      </c>
    </row>
    <row r="1331" spans="1:16" hidden="1" x14ac:dyDescent="0.25">
      <c r="A1331" t="s">
        <v>205</v>
      </c>
      <c r="B1331" t="s">
        <v>53</v>
      </c>
      <c r="C1331" t="s">
        <v>16</v>
      </c>
      <c r="D1331">
        <v>88834</v>
      </c>
      <c r="E1331">
        <v>1276</v>
      </c>
      <c r="F1331">
        <v>200</v>
      </c>
      <c r="G1331">
        <v>40000</v>
      </c>
      <c r="H1331">
        <v>53317</v>
      </c>
      <c r="I1331">
        <v>40000</v>
      </c>
      <c r="J1331">
        <v>0</v>
      </c>
      <c r="K1331">
        <v>0</v>
      </c>
      <c r="L1331">
        <v>2</v>
      </c>
      <c r="M1331">
        <v>0</v>
      </c>
      <c r="N1331" t="s">
        <v>17</v>
      </c>
      <c r="O1331" s="1">
        <f>result[[#This Row],[n_killed_mutants_cumulativa]]/result[[#This Row],[tot_mutants]]</f>
        <v>0</v>
      </c>
    </row>
    <row r="1332" spans="1:16" hidden="1" x14ac:dyDescent="0.25">
      <c r="A1332" t="s">
        <v>205</v>
      </c>
      <c r="B1332" t="s">
        <v>22</v>
      </c>
      <c r="C1332" t="s">
        <v>16</v>
      </c>
      <c r="D1332">
        <v>590537</v>
      </c>
      <c r="E1332">
        <v>9536</v>
      </c>
      <c r="F1332">
        <v>2100</v>
      </c>
      <c r="G1332">
        <v>287000</v>
      </c>
      <c r="H1332">
        <v>383276</v>
      </c>
      <c r="I1332">
        <v>287000</v>
      </c>
      <c r="J1332">
        <v>0</v>
      </c>
      <c r="K1332">
        <v>0</v>
      </c>
      <c r="L1332">
        <v>2</v>
      </c>
      <c r="M1332">
        <v>0</v>
      </c>
      <c r="N1332" t="s">
        <v>17</v>
      </c>
      <c r="O1332" s="1">
        <f>result[[#This Row],[n_killed_mutants_cumulativa]]/result[[#This Row],[tot_mutants]]</f>
        <v>0</v>
      </c>
      <c r="P1332" s="9" t="s">
        <v>346</v>
      </c>
    </row>
    <row r="1333" spans="1:16" hidden="1" x14ac:dyDescent="0.25">
      <c r="A1333" t="s">
        <v>206</v>
      </c>
      <c r="B1333" t="s">
        <v>15</v>
      </c>
      <c r="C1333" t="s">
        <v>16</v>
      </c>
      <c r="D1333">
        <v>2824</v>
      </c>
      <c r="E1333">
        <v>557</v>
      </c>
      <c r="F1333">
        <v>0</v>
      </c>
      <c r="G1333">
        <v>0</v>
      </c>
      <c r="H1333">
        <v>0</v>
      </c>
      <c r="I1333">
        <v>0</v>
      </c>
      <c r="J1333">
        <v>10</v>
      </c>
      <c r="K1333">
        <v>0</v>
      </c>
      <c r="L1333">
        <v>32</v>
      </c>
      <c r="M1333">
        <v>0</v>
      </c>
      <c r="N1333" t="s">
        <v>17</v>
      </c>
      <c r="O1333" s="1">
        <f>result[[#This Row],[n_killed_mutants_cumulativa]]/result[[#This Row],[tot_mutants]]</f>
        <v>0</v>
      </c>
    </row>
    <row r="1334" spans="1:16" hidden="1" x14ac:dyDescent="0.25">
      <c r="A1334" t="s">
        <v>206</v>
      </c>
      <c r="B1334" t="s">
        <v>18</v>
      </c>
      <c r="C1334" t="s">
        <v>16</v>
      </c>
      <c r="D1334">
        <v>2307</v>
      </c>
      <c r="E1334">
        <v>709</v>
      </c>
      <c r="F1334">
        <v>0</v>
      </c>
      <c r="G1334">
        <v>0</v>
      </c>
      <c r="H1334">
        <v>0</v>
      </c>
      <c r="I1334">
        <v>0</v>
      </c>
      <c r="J1334">
        <v>20</v>
      </c>
      <c r="K1334">
        <v>0</v>
      </c>
      <c r="L1334">
        <v>32</v>
      </c>
      <c r="M1334">
        <v>0</v>
      </c>
      <c r="N1334" t="s">
        <v>17</v>
      </c>
      <c r="O1334" s="1">
        <f>result[[#This Row],[n_killed_mutants_cumulativa]]/result[[#This Row],[tot_mutants]]</f>
        <v>0</v>
      </c>
    </row>
    <row r="1335" spans="1:16" hidden="1" x14ac:dyDescent="0.25">
      <c r="A1335" t="s">
        <v>206</v>
      </c>
      <c r="B1335" t="s">
        <v>19</v>
      </c>
      <c r="C1335" t="s">
        <v>16</v>
      </c>
      <c r="D1335">
        <v>3206</v>
      </c>
      <c r="E1335">
        <v>1224</v>
      </c>
      <c r="F1335">
        <v>0</v>
      </c>
      <c r="G1335">
        <v>0</v>
      </c>
      <c r="H1335">
        <v>0</v>
      </c>
      <c r="I1335">
        <v>0</v>
      </c>
      <c r="J1335">
        <v>21</v>
      </c>
      <c r="K1335">
        <v>9</v>
      </c>
      <c r="L1335">
        <v>32</v>
      </c>
      <c r="M1335">
        <v>0</v>
      </c>
      <c r="N1335" t="s">
        <v>17</v>
      </c>
      <c r="O1335" s="1">
        <f>result[[#This Row],[n_killed_mutants_cumulativa]]/result[[#This Row],[tot_mutants]]</f>
        <v>0</v>
      </c>
    </row>
    <row r="1336" spans="1:16" hidden="1" x14ac:dyDescent="0.25">
      <c r="A1336" t="s">
        <v>206</v>
      </c>
      <c r="B1336" t="s">
        <v>20</v>
      </c>
      <c r="C1336" t="s">
        <v>16</v>
      </c>
      <c r="D1336">
        <v>3760</v>
      </c>
      <c r="E1336">
        <v>1394</v>
      </c>
      <c r="F1336">
        <v>0</v>
      </c>
      <c r="G1336">
        <v>0</v>
      </c>
      <c r="H1336">
        <v>0</v>
      </c>
      <c r="I1336">
        <v>0</v>
      </c>
      <c r="J1336">
        <v>28</v>
      </c>
      <c r="K1336">
        <v>12</v>
      </c>
      <c r="L1336">
        <v>32</v>
      </c>
      <c r="M1336">
        <v>0</v>
      </c>
      <c r="N1336" t="s">
        <v>17</v>
      </c>
      <c r="O1336" s="1">
        <f>result[[#This Row],[n_killed_mutants_cumulativa]]/result[[#This Row],[tot_mutants]]</f>
        <v>0</v>
      </c>
    </row>
    <row r="1337" spans="1:16" hidden="1" x14ac:dyDescent="0.25">
      <c r="A1337" t="s">
        <v>206</v>
      </c>
      <c r="B1337" t="s">
        <v>21</v>
      </c>
      <c r="C1337" t="s">
        <v>16</v>
      </c>
      <c r="D1337">
        <v>5364</v>
      </c>
      <c r="E1337">
        <v>2162</v>
      </c>
      <c r="F1337">
        <v>0</v>
      </c>
      <c r="G1337">
        <v>0</v>
      </c>
      <c r="H1337">
        <v>0</v>
      </c>
      <c r="I1337">
        <v>0</v>
      </c>
      <c r="J1337">
        <v>41</v>
      </c>
      <c r="K1337">
        <v>9</v>
      </c>
      <c r="L1337">
        <v>32</v>
      </c>
      <c r="M1337">
        <v>0</v>
      </c>
      <c r="N1337" t="s">
        <v>17</v>
      </c>
      <c r="O1337" s="1">
        <f>result[[#This Row],[n_killed_mutants_cumulativa]]/result[[#This Row],[tot_mutants]]</f>
        <v>0</v>
      </c>
    </row>
    <row r="1338" spans="1:16" hidden="1" x14ac:dyDescent="0.25">
      <c r="A1338" t="s">
        <v>206</v>
      </c>
      <c r="B1338" t="s">
        <v>22</v>
      </c>
      <c r="C1338" t="s">
        <v>16</v>
      </c>
      <c r="D1338">
        <v>17461</v>
      </c>
      <c r="E1338">
        <v>6046</v>
      </c>
      <c r="F1338">
        <v>0</v>
      </c>
      <c r="G1338">
        <v>0</v>
      </c>
      <c r="H1338">
        <v>0</v>
      </c>
      <c r="I1338">
        <v>0</v>
      </c>
      <c r="J1338">
        <v>120</v>
      </c>
      <c r="K1338">
        <v>30</v>
      </c>
      <c r="L1338">
        <v>32</v>
      </c>
      <c r="M1338">
        <v>0</v>
      </c>
      <c r="N1338" t="s">
        <v>17</v>
      </c>
      <c r="O1338" s="1">
        <f>result[[#This Row],[n_killed_mutants_cumulativa]]/result[[#This Row],[tot_mutants]]</f>
        <v>0</v>
      </c>
    </row>
    <row r="1339" spans="1:16" hidden="1" x14ac:dyDescent="0.25">
      <c r="A1339" t="s">
        <v>201</v>
      </c>
      <c r="B1339" t="s">
        <v>15</v>
      </c>
      <c r="C1339" t="s">
        <v>16</v>
      </c>
      <c r="D1339">
        <v>4789</v>
      </c>
      <c r="E1339">
        <v>182</v>
      </c>
      <c r="F1339">
        <v>10</v>
      </c>
      <c r="G1339">
        <v>100</v>
      </c>
      <c r="H1339">
        <v>100</v>
      </c>
      <c r="I1339">
        <v>180</v>
      </c>
      <c r="J1339">
        <v>0</v>
      </c>
      <c r="K1339">
        <v>0</v>
      </c>
      <c r="L1339">
        <v>9</v>
      </c>
      <c r="M1339">
        <v>0</v>
      </c>
      <c r="N1339" t="s">
        <v>17</v>
      </c>
      <c r="O1339" s="1">
        <f>result[[#This Row],[n_killed_mutants_cumulativa]]/result[[#This Row],[tot_mutants]]</f>
        <v>0</v>
      </c>
    </row>
    <row r="1340" spans="1:16" hidden="1" x14ac:dyDescent="0.25">
      <c r="A1340" t="s">
        <v>201</v>
      </c>
      <c r="B1340" t="s">
        <v>18</v>
      </c>
      <c r="C1340" t="s">
        <v>16</v>
      </c>
      <c r="D1340">
        <v>4378</v>
      </c>
      <c r="E1340">
        <v>150</v>
      </c>
      <c r="F1340">
        <v>20</v>
      </c>
      <c r="G1340">
        <v>400</v>
      </c>
      <c r="H1340">
        <v>400</v>
      </c>
      <c r="I1340">
        <v>560</v>
      </c>
      <c r="J1340">
        <v>0</v>
      </c>
      <c r="K1340">
        <v>0</v>
      </c>
      <c r="L1340">
        <v>9</v>
      </c>
      <c r="M1340">
        <v>0</v>
      </c>
      <c r="N1340" t="s">
        <v>17</v>
      </c>
      <c r="O1340" s="1">
        <f>result[[#This Row],[n_killed_mutants_cumulativa]]/result[[#This Row],[tot_mutants]]</f>
        <v>0</v>
      </c>
    </row>
    <row r="1341" spans="1:16" hidden="1" x14ac:dyDescent="0.25">
      <c r="A1341" t="s">
        <v>201</v>
      </c>
      <c r="B1341" t="s">
        <v>19</v>
      </c>
      <c r="C1341" t="s">
        <v>16</v>
      </c>
      <c r="D1341">
        <v>6312</v>
      </c>
      <c r="E1341">
        <v>204</v>
      </c>
      <c r="F1341">
        <v>30</v>
      </c>
      <c r="G1341">
        <v>900</v>
      </c>
      <c r="H1341">
        <v>900</v>
      </c>
      <c r="I1341">
        <v>1140</v>
      </c>
      <c r="J1341">
        <v>0</v>
      </c>
      <c r="K1341">
        <v>0</v>
      </c>
      <c r="L1341">
        <v>9</v>
      </c>
      <c r="M1341">
        <v>0</v>
      </c>
      <c r="N1341" t="s">
        <v>17</v>
      </c>
      <c r="O1341" s="1">
        <f>result[[#This Row],[n_killed_mutants_cumulativa]]/result[[#This Row],[tot_mutants]]</f>
        <v>0</v>
      </c>
    </row>
    <row r="1342" spans="1:16" hidden="1" x14ac:dyDescent="0.25">
      <c r="A1342" t="s">
        <v>201</v>
      </c>
      <c r="B1342" t="s">
        <v>20</v>
      </c>
      <c r="C1342" t="s">
        <v>16</v>
      </c>
      <c r="D1342">
        <v>7492</v>
      </c>
      <c r="E1342">
        <v>325</v>
      </c>
      <c r="F1342">
        <v>40</v>
      </c>
      <c r="G1342">
        <v>1600</v>
      </c>
      <c r="H1342">
        <v>1600</v>
      </c>
      <c r="I1342">
        <v>1920</v>
      </c>
      <c r="J1342">
        <v>0</v>
      </c>
      <c r="K1342">
        <v>0</v>
      </c>
      <c r="L1342">
        <v>9</v>
      </c>
      <c r="M1342">
        <v>0</v>
      </c>
      <c r="N1342" t="s">
        <v>17</v>
      </c>
      <c r="O1342" s="1">
        <f>result[[#This Row],[n_killed_mutants_cumulativa]]/result[[#This Row],[tot_mutants]]</f>
        <v>0</v>
      </c>
    </row>
    <row r="1343" spans="1:16" hidden="1" x14ac:dyDescent="0.25">
      <c r="A1343" t="s">
        <v>201</v>
      </c>
      <c r="B1343" t="s">
        <v>21</v>
      </c>
      <c r="C1343" t="s">
        <v>16</v>
      </c>
      <c r="D1343">
        <v>8944</v>
      </c>
      <c r="E1343">
        <v>365</v>
      </c>
      <c r="F1343">
        <v>50</v>
      </c>
      <c r="G1343">
        <v>2500</v>
      </c>
      <c r="H1343">
        <v>2500</v>
      </c>
      <c r="I1343">
        <v>2900</v>
      </c>
      <c r="J1343">
        <v>0</v>
      </c>
      <c r="K1343">
        <v>0</v>
      </c>
      <c r="L1343">
        <v>9</v>
      </c>
      <c r="M1343">
        <v>0</v>
      </c>
      <c r="N1343" t="s">
        <v>17</v>
      </c>
      <c r="O1343" s="1">
        <f>result[[#This Row],[n_killed_mutants_cumulativa]]/result[[#This Row],[tot_mutants]]</f>
        <v>0</v>
      </c>
    </row>
    <row r="1344" spans="1:16" hidden="1" x14ac:dyDescent="0.25">
      <c r="A1344" t="s">
        <v>201</v>
      </c>
      <c r="B1344" t="s">
        <v>24</v>
      </c>
      <c r="C1344" t="s">
        <v>16</v>
      </c>
      <c r="D1344">
        <v>3696</v>
      </c>
      <c r="E1344">
        <v>706</v>
      </c>
      <c r="F1344">
        <v>0</v>
      </c>
      <c r="G1344">
        <v>0</v>
      </c>
      <c r="H1344">
        <v>0</v>
      </c>
      <c r="I1344">
        <v>0</v>
      </c>
      <c r="J1344">
        <v>60</v>
      </c>
      <c r="K1344">
        <v>0</v>
      </c>
      <c r="L1344">
        <v>9</v>
      </c>
      <c r="M1344">
        <v>0</v>
      </c>
      <c r="N1344" t="s">
        <v>17</v>
      </c>
      <c r="O1344" s="1">
        <f>result[[#This Row],[n_killed_mutants_cumulativa]]/result[[#This Row],[tot_mutants]]</f>
        <v>0</v>
      </c>
    </row>
    <row r="1345" spans="1:16" hidden="1" x14ac:dyDescent="0.25">
      <c r="A1345" t="s">
        <v>201</v>
      </c>
      <c r="B1345" t="s">
        <v>25</v>
      </c>
      <c r="C1345" t="s">
        <v>16</v>
      </c>
      <c r="D1345">
        <v>4144</v>
      </c>
      <c r="E1345">
        <v>712</v>
      </c>
      <c r="F1345">
        <v>0</v>
      </c>
      <c r="G1345">
        <v>0</v>
      </c>
      <c r="H1345">
        <v>0</v>
      </c>
      <c r="I1345">
        <v>0</v>
      </c>
      <c r="J1345">
        <v>70</v>
      </c>
      <c r="K1345">
        <v>0</v>
      </c>
      <c r="L1345">
        <v>9</v>
      </c>
      <c r="M1345">
        <v>0</v>
      </c>
      <c r="N1345" t="s">
        <v>17</v>
      </c>
      <c r="O1345" s="1">
        <f>result[[#This Row],[n_killed_mutants_cumulativa]]/result[[#This Row],[tot_mutants]]</f>
        <v>0</v>
      </c>
    </row>
    <row r="1346" spans="1:16" hidden="1" x14ac:dyDescent="0.25">
      <c r="A1346" t="s">
        <v>201</v>
      </c>
      <c r="B1346" t="s">
        <v>26</v>
      </c>
      <c r="C1346" t="s">
        <v>16</v>
      </c>
      <c r="D1346">
        <v>4995</v>
      </c>
      <c r="E1346">
        <v>937</v>
      </c>
      <c r="F1346">
        <v>0</v>
      </c>
      <c r="G1346">
        <v>0</v>
      </c>
      <c r="H1346">
        <v>0</v>
      </c>
      <c r="I1346">
        <v>0</v>
      </c>
      <c r="J1346">
        <v>80</v>
      </c>
      <c r="K1346">
        <v>0</v>
      </c>
      <c r="L1346">
        <v>9</v>
      </c>
      <c r="M1346">
        <v>0</v>
      </c>
      <c r="N1346" t="s">
        <v>17</v>
      </c>
      <c r="O1346" s="1">
        <f>result[[#This Row],[n_killed_mutants_cumulativa]]/result[[#This Row],[tot_mutants]]</f>
        <v>0</v>
      </c>
    </row>
    <row r="1347" spans="1:16" hidden="1" x14ac:dyDescent="0.25">
      <c r="A1347" t="s">
        <v>201</v>
      </c>
      <c r="B1347" t="s">
        <v>27</v>
      </c>
      <c r="C1347" t="s">
        <v>16</v>
      </c>
      <c r="D1347">
        <v>5991</v>
      </c>
      <c r="E1347">
        <v>1203</v>
      </c>
      <c r="F1347">
        <v>0</v>
      </c>
      <c r="G1347">
        <v>0</v>
      </c>
      <c r="H1347">
        <v>0</v>
      </c>
      <c r="I1347">
        <v>0</v>
      </c>
      <c r="J1347">
        <v>90</v>
      </c>
      <c r="K1347">
        <v>0</v>
      </c>
      <c r="L1347">
        <v>9</v>
      </c>
      <c r="M1347">
        <v>0</v>
      </c>
      <c r="N1347" t="s">
        <v>17</v>
      </c>
      <c r="O1347" s="1">
        <f>result[[#This Row],[n_killed_mutants_cumulativa]]/result[[#This Row],[tot_mutants]]</f>
        <v>0</v>
      </c>
    </row>
    <row r="1348" spans="1:16" hidden="1" x14ac:dyDescent="0.25">
      <c r="A1348" t="s">
        <v>201</v>
      </c>
      <c r="B1348" t="s">
        <v>30</v>
      </c>
      <c r="C1348" t="s">
        <v>16</v>
      </c>
      <c r="D1348">
        <v>7201</v>
      </c>
      <c r="E1348">
        <v>1507</v>
      </c>
      <c r="F1348">
        <v>0</v>
      </c>
      <c r="G1348">
        <v>0</v>
      </c>
      <c r="H1348">
        <v>0</v>
      </c>
      <c r="I1348">
        <v>0</v>
      </c>
      <c r="J1348">
        <v>100</v>
      </c>
      <c r="K1348">
        <v>0</v>
      </c>
      <c r="L1348">
        <v>9</v>
      </c>
      <c r="M1348">
        <v>0</v>
      </c>
      <c r="N1348" t="s">
        <v>17</v>
      </c>
      <c r="O1348" s="1">
        <f>result[[#This Row],[n_killed_mutants_cumulativa]]/result[[#This Row],[tot_mutants]]</f>
        <v>0</v>
      </c>
    </row>
    <row r="1349" spans="1:16" hidden="1" x14ac:dyDescent="0.25">
      <c r="A1349" t="s">
        <v>201</v>
      </c>
      <c r="B1349" t="s">
        <v>31</v>
      </c>
      <c r="C1349" t="s">
        <v>16</v>
      </c>
      <c r="D1349">
        <v>8112</v>
      </c>
      <c r="E1349">
        <v>1835</v>
      </c>
      <c r="F1349">
        <v>0</v>
      </c>
      <c r="G1349">
        <v>0</v>
      </c>
      <c r="H1349">
        <v>0</v>
      </c>
      <c r="I1349">
        <v>0</v>
      </c>
      <c r="J1349">
        <v>110</v>
      </c>
      <c r="K1349">
        <v>0</v>
      </c>
      <c r="L1349">
        <v>9</v>
      </c>
      <c r="M1349">
        <v>0</v>
      </c>
      <c r="N1349" t="s">
        <v>17</v>
      </c>
      <c r="O1349" s="1">
        <f>result[[#This Row],[n_killed_mutants_cumulativa]]/result[[#This Row],[tot_mutants]]</f>
        <v>0</v>
      </c>
    </row>
    <row r="1350" spans="1:16" hidden="1" x14ac:dyDescent="0.25">
      <c r="A1350" t="s">
        <v>201</v>
      </c>
      <c r="B1350" t="s">
        <v>36</v>
      </c>
      <c r="C1350" t="s">
        <v>16</v>
      </c>
      <c r="D1350">
        <v>9435</v>
      </c>
      <c r="E1350">
        <v>2186</v>
      </c>
      <c r="F1350">
        <v>0</v>
      </c>
      <c r="G1350">
        <v>0</v>
      </c>
      <c r="H1350">
        <v>0</v>
      </c>
      <c r="I1350">
        <v>0</v>
      </c>
      <c r="J1350">
        <v>120</v>
      </c>
      <c r="K1350">
        <v>0</v>
      </c>
      <c r="L1350">
        <v>9</v>
      </c>
      <c r="M1350">
        <v>0</v>
      </c>
      <c r="N1350" t="s">
        <v>17</v>
      </c>
      <c r="O1350" s="1">
        <f>result[[#This Row],[n_killed_mutants_cumulativa]]/result[[#This Row],[tot_mutants]]</f>
        <v>0</v>
      </c>
    </row>
    <row r="1351" spans="1:16" hidden="1" x14ac:dyDescent="0.25">
      <c r="A1351" t="s">
        <v>201</v>
      </c>
      <c r="B1351" t="s">
        <v>40</v>
      </c>
      <c r="C1351" t="s">
        <v>16</v>
      </c>
      <c r="D1351">
        <v>10534</v>
      </c>
      <c r="E1351">
        <v>2611</v>
      </c>
      <c r="F1351">
        <v>0</v>
      </c>
      <c r="G1351">
        <v>0</v>
      </c>
      <c r="H1351">
        <v>0</v>
      </c>
      <c r="I1351">
        <v>0</v>
      </c>
      <c r="J1351">
        <v>130</v>
      </c>
      <c r="K1351">
        <v>0</v>
      </c>
      <c r="L1351">
        <v>9</v>
      </c>
      <c r="M1351">
        <v>0</v>
      </c>
      <c r="N1351" t="s">
        <v>17</v>
      </c>
      <c r="O1351" s="1">
        <f>result[[#This Row],[n_killed_mutants_cumulativa]]/result[[#This Row],[tot_mutants]]</f>
        <v>0</v>
      </c>
    </row>
    <row r="1352" spans="1:16" hidden="1" x14ac:dyDescent="0.25">
      <c r="A1352" t="s">
        <v>201</v>
      </c>
      <c r="B1352" t="s">
        <v>47</v>
      </c>
      <c r="C1352" t="s">
        <v>16</v>
      </c>
      <c r="D1352">
        <v>11791</v>
      </c>
      <c r="E1352">
        <v>2996</v>
      </c>
      <c r="F1352">
        <v>0</v>
      </c>
      <c r="G1352">
        <v>0</v>
      </c>
      <c r="H1352">
        <v>0</v>
      </c>
      <c r="I1352">
        <v>0</v>
      </c>
      <c r="J1352">
        <v>140</v>
      </c>
      <c r="K1352">
        <v>0</v>
      </c>
      <c r="L1352">
        <v>9</v>
      </c>
      <c r="M1352">
        <v>0</v>
      </c>
      <c r="N1352" t="s">
        <v>17</v>
      </c>
      <c r="O1352" s="1">
        <f>result[[#This Row],[n_killed_mutants_cumulativa]]/result[[#This Row],[tot_mutants]]</f>
        <v>0</v>
      </c>
    </row>
    <row r="1353" spans="1:16" hidden="1" x14ac:dyDescent="0.25">
      <c r="A1353" t="s">
        <v>201</v>
      </c>
      <c r="B1353" t="s">
        <v>48</v>
      </c>
      <c r="C1353" t="s">
        <v>16</v>
      </c>
      <c r="D1353">
        <v>13476</v>
      </c>
      <c r="E1353">
        <v>3462</v>
      </c>
      <c r="F1353">
        <v>0</v>
      </c>
      <c r="G1353">
        <v>0</v>
      </c>
      <c r="H1353">
        <v>0</v>
      </c>
      <c r="I1353">
        <v>0</v>
      </c>
      <c r="J1353">
        <v>150</v>
      </c>
      <c r="K1353">
        <v>0</v>
      </c>
      <c r="L1353">
        <v>9</v>
      </c>
      <c r="M1353">
        <v>0</v>
      </c>
      <c r="N1353" t="s">
        <v>17</v>
      </c>
      <c r="O1353" s="1">
        <f>result[[#This Row],[n_killed_mutants_cumulativa]]/result[[#This Row],[tot_mutants]]</f>
        <v>0</v>
      </c>
    </row>
    <row r="1354" spans="1:16" hidden="1" x14ac:dyDescent="0.25">
      <c r="A1354" t="s">
        <v>201</v>
      </c>
      <c r="B1354" t="s">
        <v>49</v>
      </c>
      <c r="C1354" t="s">
        <v>16</v>
      </c>
      <c r="D1354">
        <v>14679</v>
      </c>
      <c r="E1354">
        <v>3946</v>
      </c>
      <c r="F1354">
        <v>0</v>
      </c>
      <c r="G1354">
        <v>0</v>
      </c>
      <c r="H1354">
        <v>0</v>
      </c>
      <c r="I1354">
        <v>0</v>
      </c>
      <c r="J1354">
        <v>160</v>
      </c>
      <c r="K1354">
        <v>0</v>
      </c>
      <c r="L1354">
        <v>9</v>
      </c>
      <c r="M1354">
        <v>0</v>
      </c>
      <c r="N1354" t="s">
        <v>17</v>
      </c>
      <c r="O1354" s="1">
        <f>result[[#This Row],[n_killed_mutants_cumulativa]]/result[[#This Row],[tot_mutants]]</f>
        <v>0</v>
      </c>
    </row>
    <row r="1355" spans="1:16" hidden="1" x14ac:dyDescent="0.25">
      <c r="A1355" t="s">
        <v>201</v>
      </c>
      <c r="B1355" t="s">
        <v>50</v>
      </c>
      <c r="C1355" t="s">
        <v>16</v>
      </c>
      <c r="D1355">
        <v>16362</v>
      </c>
      <c r="E1355">
        <v>4467</v>
      </c>
      <c r="F1355">
        <v>0</v>
      </c>
      <c r="G1355">
        <v>0</v>
      </c>
      <c r="H1355">
        <v>0</v>
      </c>
      <c r="I1355">
        <v>0</v>
      </c>
      <c r="J1355">
        <v>170</v>
      </c>
      <c r="K1355">
        <v>0</v>
      </c>
      <c r="L1355">
        <v>9</v>
      </c>
      <c r="M1355">
        <v>0</v>
      </c>
      <c r="N1355" t="s">
        <v>17</v>
      </c>
      <c r="O1355" s="1">
        <f>result[[#This Row],[n_killed_mutants_cumulativa]]/result[[#This Row],[tot_mutants]]</f>
        <v>0</v>
      </c>
    </row>
    <row r="1356" spans="1:16" hidden="1" x14ac:dyDescent="0.25">
      <c r="A1356" t="s">
        <v>201</v>
      </c>
      <c r="B1356" t="s">
        <v>51</v>
      </c>
      <c r="C1356" t="s">
        <v>16</v>
      </c>
      <c r="D1356">
        <v>18089</v>
      </c>
      <c r="E1356">
        <v>5043</v>
      </c>
      <c r="F1356">
        <v>0</v>
      </c>
      <c r="G1356">
        <v>0</v>
      </c>
      <c r="H1356">
        <v>0</v>
      </c>
      <c r="I1356">
        <v>0</v>
      </c>
      <c r="J1356">
        <v>180</v>
      </c>
      <c r="K1356">
        <v>0</v>
      </c>
      <c r="L1356">
        <v>9</v>
      </c>
      <c r="M1356">
        <v>0</v>
      </c>
      <c r="N1356" t="s">
        <v>17</v>
      </c>
      <c r="O1356" s="1">
        <f>result[[#This Row],[n_killed_mutants_cumulativa]]/result[[#This Row],[tot_mutants]]</f>
        <v>0</v>
      </c>
    </row>
    <row r="1357" spans="1:16" hidden="1" x14ac:dyDescent="0.25">
      <c r="A1357" t="s">
        <v>201</v>
      </c>
      <c r="B1357" t="s">
        <v>52</v>
      </c>
      <c r="C1357" t="s">
        <v>16</v>
      </c>
      <c r="D1357">
        <v>20014</v>
      </c>
      <c r="E1357">
        <v>5643</v>
      </c>
      <c r="F1357">
        <v>0</v>
      </c>
      <c r="G1357">
        <v>0</v>
      </c>
      <c r="H1357">
        <v>0</v>
      </c>
      <c r="I1357">
        <v>0</v>
      </c>
      <c r="J1357">
        <v>190</v>
      </c>
      <c r="K1357">
        <v>0</v>
      </c>
      <c r="L1357">
        <v>9</v>
      </c>
      <c r="M1357">
        <v>0</v>
      </c>
      <c r="N1357" t="s">
        <v>17</v>
      </c>
      <c r="O1357" s="1">
        <f>result[[#This Row],[n_killed_mutants_cumulativa]]/result[[#This Row],[tot_mutants]]</f>
        <v>0</v>
      </c>
    </row>
    <row r="1358" spans="1:16" hidden="1" x14ac:dyDescent="0.25">
      <c r="A1358" t="s">
        <v>201</v>
      </c>
      <c r="B1358" t="s">
        <v>53</v>
      </c>
      <c r="C1358" t="s">
        <v>16</v>
      </c>
      <c r="D1358">
        <v>21653</v>
      </c>
      <c r="E1358">
        <v>6317</v>
      </c>
      <c r="F1358">
        <v>0</v>
      </c>
      <c r="G1358">
        <v>0</v>
      </c>
      <c r="H1358">
        <v>0</v>
      </c>
      <c r="I1358">
        <v>0</v>
      </c>
      <c r="J1358">
        <v>200</v>
      </c>
      <c r="K1358">
        <v>0</v>
      </c>
      <c r="L1358">
        <v>9</v>
      </c>
      <c r="M1358">
        <v>0</v>
      </c>
      <c r="N1358" t="s">
        <v>17</v>
      </c>
      <c r="O1358" s="1">
        <f>result[[#This Row],[n_killed_mutants_cumulativa]]/result[[#This Row],[tot_mutants]]</f>
        <v>0</v>
      </c>
    </row>
    <row r="1359" spans="1:16" hidden="1" x14ac:dyDescent="0.25">
      <c r="A1359" t="s">
        <v>201</v>
      </c>
      <c r="B1359" t="s">
        <v>22</v>
      </c>
      <c r="C1359" t="s">
        <v>16</v>
      </c>
      <c r="D1359">
        <v>202087</v>
      </c>
      <c r="E1359">
        <v>44797</v>
      </c>
      <c r="F1359">
        <v>150</v>
      </c>
      <c r="G1359">
        <v>5500</v>
      </c>
      <c r="H1359">
        <v>5500</v>
      </c>
      <c r="I1359">
        <v>6700</v>
      </c>
      <c r="J1359">
        <v>1950</v>
      </c>
      <c r="K1359">
        <v>0</v>
      </c>
      <c r="L1359">
        <v>9</v>
      </c>
      <c r="M1359">
        <v>0</v>
      </c>
      <c r="N1359" t="s">
        <v>17</v>
      </c>
      <c r="O1359" s="1">
        <f>result[[#This Row],[n_killed_mutants_cumulativa]]/result[[#This Row],[tot_mutants]]</f>
        <v>0</v>
      </c>
      <c r="P1359" s="9" t="s">
        <v>353</v>
      </c>
    </row>
    <row r="1360" spans="1:16" hidden="1" x14ac:dyDescent="0.25">
      <c r="A1360" t="s">
        <v>207</v>
      </c>
      <c r="B1360" t="s">
        <v>15</v>
      </c>
      <c r="C1360" t="s">
        <v>16</v>
      </c>
      <c r="D1360">
        <v>161</v>
      </c>
      <c r="E1360">
        <v>49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1</v>
      </c>
      <c r="M1360">
        <v>0</v>
      </c>
      <c r="N1360" t="s">
        <v>17</v>
      </c>
      <c r="O1360" s="1">
        <f>result[[#This Row],[n_killed_mutants_cumulativa]]/result[[#This Row],[tot_mutants]]</f>
        <v>0</v>
      </c>
    </row>
    <row r="1361" spans="1:15" hidden="1" x14ac:dyDescent="0.25">
      <c r="A1361" t="s">
        <v>207</v>
      </c>
      <c r="B1361" t="s">
        <v>18</v>
      </c>
      <c r="C1361" t="s">
        <v>16</v>
      </c>
      <c r="D1361">
        <v>37</v>
      </c>
      <c r="E1361">
        <v>23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1</v>
      </c>
      <c r="M1361">
        <v>0</v>
      </c>
      <c r="N1361" t="s">
        <v>17</v>
      </c>
      <c r="O1361" s="1">
        <f>result[[#This Row],[n_killed_mutants_cumulativa]]/result[[#This Row],[tot_mutants]]</f>
        <v>0</v>
      </c>
    </row>
    <row r="1362" spans="1:15" hidden="1" x14ac:dyDescent="0.25">
      <c r="A1362" t="s">
        <v>207</v>
      </c>
      <c r="B1362" t="s">
        <v>19</v>
      </c>
      <c r="C1362" t="s">
        <v>16</v>
      </c>
      <c r="D1362">
        <v>33</v>
      </c>
      <c r="E1362">
        <v>21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0</v>
      </c>
      <c r="N1362" t="s">
        <v>17</v>
      </c>
      <c r="O1362" s="1">
        <f>result[[#This Row],[n_killed_mutants_cumulativa]]/result[[#This Row],[tot_mutants]]</f>
        <v>0</v>
      </c>
    </row>
    <row r="1363" spans="1:15" hidden="1" x14ac:dyDescent="0.25">
      <c r="A1363" t="s">
        <v>207</v>
      </c>
      <c r="B1363" t="s">
        <v>20</v>
      </c>
      <c r="C1363" t="s">
        <v>16</v>
      </c>
      <c r="D1363">
        <v>37</v>
      </c>
      <c r="E1363">
        <v>27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1</v>
      </c>
      <c r="M1363">
        <v>0</v>
      </c>
      <c r="N1363" t="s">
        <v>17</v>
      </c>
      <c r="O1363" s="1">
        <f>result[[#This Row],[n_killed_mutants_cumulativa]]/result[[#This Row],[tot_mutants]]</f>
        <v>0</v>
      </c>
    </row>
    <row r="1364" spans="1:15" hidden="1" x14ac:dyDescent="0.25">
      <c r="A1364" t="s">
        <v>207</v>
      </c>
      <c r="B1364" t="s">
        <v>21</v>
      </c>
      <c r="C1364" t="s">
        <v>16</v>
      </c>
      <c r="D1364">
        <v>38</v>
      </c>
      <c r="E1364">
        <v>28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1</v>
      </c>
      <c r="M1364">
        <v>0</v>
      </c>
      <c r="N1364" t="s">
        <v>17</v>
      </c>
      <c r="O1364" s="1">
        <f>result[[#This Row],[n_killed_mutants_cumulativa]]/result[[#This Row],[tot_mutants]]</f>
        <v>0</v>
      </c>
    </row>
    <row r="1365" spans="1:15" hidden="1" x14ac:dyDescent="0.25">
      <c r="A1365" t="s">
        <v>207</v>
      </c>
      <c r="B1365" t="s">
        <v>22</v>
      </c>
      <c r="C1365" t="s">
        <v>16</v>
      </c>
      <c r="D1365">
        <v>306</v>
      </c>
      <c r="E1365">
        <v>148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1</v>
      </c>
      <c r="M1365">
        <v>0</v>
      </c>
      <c r="N1365" t="s">
        <v>17</v>
      </c>
      <c r="O1365" s="1">
        <f>result[[#This Row],[n_killed_mutants_cumulativa]]/result[[#This Row],[tot_mutants]]</f>
        <v>0</v>
      </c>
    </row>
    <row r="1366" spans="1:15" hidden="1" x14ac:dyDescent="0.25">
      <c r="A1366" t="s">
        <v>208</v>
      </c>
      <c r="B1366" t="s">
        <v>15</v>
      </c>
      <c r="C1366" t="s">
        <v>16</v>
      </c>
      <c r="D1366">
        <v>5969</v>
      </c>
      <c r="E1366">
        <v>5809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38</v>
      </c>
      <c r="M1366">
        <v>0</v>
      </c>
      <c r="N1366" t="s">
        <v>17</v>
      </c>
      <c r="O1366" s="1">
        <f>result[[#This Row],[n_killed_mutants_cumulativa]]/result[[#This Row],[tot_mutants]]</f>
        <v>0</v>
      </c>
    </row>
    <row r="1367" spans="1:15" hidden="1" x14ac:dyDescent="0.25">
      <c r="A1367" t="s">
        <v>208</v>
      </c>
      <c r="B1367" t="s">
        <v>18</v>
      </c>
      <c r="C1367" t="s">
        <v>16</v>
      </c>
      <c r="D1367">
        <v>8932</v>
      </c>
      <c r="E1367">
        <v>8871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38</v>
      </c>
      <c r="M1367">
        <v>0</v>
      </c>
      <c r="N1367" t="s">
        <v>17</v>
      </c>
      <c r="O1367" s="1">
        <f>result[[#This Row],[n_killed_mutants_cumulativa]]/result[[#This Row],[tot_mutants]]</f>
        <v>0</v>
      </c>
    </row>
    <row r="1368" spans="1:15" hidden="1" x14ac:dyDescent="0.25">
      <c r="A1368" t="s">
        <v>208</v>
      </c>
      <c r="B1368" t="s">
        <v>19</v>
      </c>
      <c r="C1368" t="s">
        <v>16</v>
      </c>
      <c r="D1368">
        <v>16144</v>
      </c>
      <c r="E1368">
        <v>16093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38</v>
      </c>
      <c r="M1368">
        <v>0</v>
      </c>
      <c r="N1368" t="s">
        <v>17</v>
      </c>
      <c r="O1368" s="1">
        <f>result[[#This Row],[n_killed_mutants_cumulativa]]/result[[#This Row],[tot_mutants]]</f>
        <v>0</v>
      </c>
    </row>
    <row r="1369" spans="1:15" hidden="1" x14ac:dyDescent="0.25">
      <c r="A1369" t="s">
        <v>208</v>
      </c>
      <c r="B1369" t="s">
        <v>20</v>
      </c>
      <c r="C1369" t="s">
        <v>16</v>
      </c>
      <c r="D1369">
        <v>14119</v>
      </c>
      <c r="E1369">
        <v>14070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38</v>
      </c>
      <c r="M1369">
        <v>0</v>
      </c>
      <c r="N1369" t="s">
        <v>17</v>
      </c>
      <c r="O1369" s="1">
        <f>result[[#This Row],[n_killed_mutants_cumulativa]]/result[[#This Row],[tot_mutants]]</f>
        <v>0</v>
      </c>
    </row>
    <row r="1370" spans="1:15" hidden="1" x14ac:dyDescent="0.25">
      <c r="A1370" t="s">
        <v>208</v>
      </c>
      <c r="B1370" t="s">
        <v>21</v>
      </c>
      <c r="C1370" t="s">
        <v>16</v>
      </c>
      <c r="D1370">
        <v>19484</v>
      </c>
      <c r="E1370">
        <v>19439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38</v>
      </c>
      <c r="M1370">
        <v>0</v>
      </c>
      <c r="N1370" t="s">
        <v>17</v>
      </c>
      <c r="O1370" s="1">
        <f>result[[#This Row],[n_killed_mutants_cumulativa]]/result[[#This Row],[tot_mutants]]</f>
        <v>0</v>
      </c>
    </row>
    <row r="1371" spans="1:15" hidden="1" x14ac:dyDescent="0.25">
      <c r="A1371" t="s">
        <v>208</v>
      </c>
      <c r="B1371" t="s">
        <v>22</v>
      </c>
      <c r="C1371" t="s">
        <v>16</v>
      </c>
      <c r="D1371">
        <v>64648</v>
      </c>
      <c r="E1371">
        <v>64282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38</v>
      </c>
      <c r="M1371">
        <v>0</v>
      </c>
      <c r="N1371" t="s">
        <v>17</v>
      </c>
      <c r="O1371" s="1">
        <f>result[[#This Row],[n_killed_mutants_cumulativa]]/result[[#This Row],[tot_mutants]]</f>
        <v>0</v>
      </c>
    </row>
    <row r="1372" spans="1:15" hidden="1" x14ac:dyDescent="0.25">
      <c r="A1372" t="s">
        <v>209</v>
      </c>
      <c r="B1372" t="s">
        <v>15</v>
      </c>
      <c r="C1372" t="s">
        <v>16</v>
      </c>
      <c r="D1372">
        <v>32605</v>
      </c>
      <c r="E1372">
        <v>141</v>
      </c>
      <c r="F1372">
        <v>10</v>
      </c>
      <c r="G1372">
        <v>100</v>
      </c>
      <c r="H1372">
        <v>109</v>
      </c>
      <c r="I1372">
        <v>292</v>
      </c>
      <c r="J1372">
        <v>0</v>
      </c>
      <c r="K1372">
        <v>0</v>
      </c>
      <c r="L1372">
        <v>57</v>
      </c>
      <c r="M1372">
        <v>1</v>
      </c>
      <c r="N1372" t="s">
        <v>210</v>
      </c>
      <c r="O1372" s="1">
        <f>result[[#This Row],[n_killed_mutants_cumulativa]]/result[[#This Row],[tot_mutants]]</f>
        <v>1.7543859649122806E-2</v>
      </c>
    </row>
    <row r="1373" spans="1:15" hidden="1" x14ac:dyDescent="0.25">
      <c r="A1373" t="s">
        <v>209</v>
      </c>
      <c r="B1373" t="s">
        <v>18</v>
      </c>
      <c r="C1373" t="s">
        <v>16</v>
      </c>
      <c r="D1373">
        <v>62488</v>
      </c>
      <c r="E1373">
        <v>53</v>
      </c>
      <c r="F1373">
        <v>20</v>
      </c>
      <c r="G1373">
        <v>400</v>
      </c>
      <c r="H1373">
        <v>419</v>
      </c>
      <c r="I1373">
        <v>1188</v>
      </c>
      <c r="J1373">
        <v>0</v>
      </c>
      <c r="K1373">
        <v>0</v>
      </c>
      <c r="L1373">
        <v>57</v>
      </c>
      <c r="M1373">
        <v>1</v>
      </c>
      <c r="N1373" t="s">
        <v>210</v>
      </c>
      <c r="O1373" s="1">
        <f>result[[#This Row],[n_killed_mutants_cumulativa]]/result[[#This Row],[tot_mutants]]</f>
        <v>1.7543859649122806E-2</v>
      </c>
    </row>
    <row r="1374" spans="1:15" hidden="1" x14ac:dyDescent="0.25">
      <c r="A1374" t="s">
        <v>209</v>
      </c>
      <c r="B1374" t="s">
        <v>19</v>
      </c>
      <c r="C1374" t="s">
        <v>16</v>
      </c>
      <c r="D1374">
        <v>105237</v>
      </c>
      <c r="E1374">
        <v>116</v>
      </c>
      <c r="F1374">
        <v>30</v>
      </c>
      <c r="G1374">
        <v>900</v>
      </c>
      <c r="H1374">
        <v>929</v>
      </c>
      <c r="I1374">
        <v>2666</v>
      </c>
      <c r="J1374">
        <v>0</v>
      </c>
      <c r="K1374">
        <v>0</v>
      </c>
      <c r="L1374">
        <v>57</v>
      </c>
      <c r="M1374">
        <v>1</v>
      </c>
      <c r="N1374" t="s">
        <v>210</v>
      </c>
      <c r="O1374" s="1">
        <f>result[[#This Row],[n_killed_mutants_cumulativa]]/result[[#This Row],[tot_mutants]]</f>
        <v>1.7543859649122806E-2</v>
      </c>
    </row>
    <row r="1375" spans="1:15" hidden="1" x14ac:dyDescent="0.25">
      <c r="A1375" t="s">
        <v>209</v>
      </c>
      <c r="B1375" t="s">
        <v>20</v>
      </c>
      <c r="C1375" t="s">
        <v>16</v>
      </c>
      <c r="D1375">
        <v>160355</v>
      </c>
      <c r="E1375">
        <v>176</v>
      </c>
      <c r="F1375">
        <v>40</v>
      </c>
      <c r="G1375">
        <v>1600</v>
      </c>
      <c r="H1375">
        <v>1639</v>
      </c>
      <c r="I1375">
        <v>4755</v>
      </c>
      <c r="J1375">
        <v>0</v>
      </c>
      <c r="K1375">
        <v>0</v>
      </c>
      <c r="L1375">
        <v>57</v>
      </c>
      <c r="M1375">
        <v>1</v>
      </c>
      <c r="N1375" t="s">
        <v>210</v>
      </c>
      <c r="O1375" s="1">
        <f>result[[#This Row],[n_killed_mutants_cumulativa]]/result[[#This Row],[tot_mutants]]</f>
        <v>1.7543859649122806E-2</v>
      </c>
    </row>
    <row r="1376" spans="1:15" hidden="1" x14ac:dyDescent="0.25">
      <c r="A1376" t="s">
        <v>209</v>
      </c>
      <c r="B1376" t="s">
        <v>21</v>
      </c>
      <c r="C1376" t="s">
        <v>16</v>
      </c>
      <c r="D1376">
        <v>223087</v>
      </c>
      <c r="E1376">
        <v>364</v>
      </c>
      <c r="F1376">
        <v>50</v>
      </c>
      <c r="G1376">
        <v>2500</v>
      </c>
      <c r="H1376">
        <v>2549</v>
      </c>
      <c r="I1376">
        <v>7458</v>
      </c>
      <c r="J1376">
        <v>0</v>
      </c>
      <c r="K1376">
        <v>0</v>
      </c>
      <c r="L1376">
        <v>57</v>
      </c>
      <c r="M1376">
        <v>1</v>
      </c>
      <c r="N1376" t="s">
        <v>210</v>
      </c>
      <c r="O1376" s="1">
        <f>result[[#This Row],[n_killed_mutants_cumulativa]]/result[[#This Row],[tot_mutants]]</f>
        <v>1.7543859649122806E-2</v>
      </c>
    </row>
    <row r="1377" spans="1:16" hidden="1" x14ac:dyDescent="0.25">
      <c r="A1377" t="s">
        <v>209</v>
      </c>
      <c r="B1377" t="s">
        <v>24</v>
      </c>
      <c r="C1377" t="s">
        <v>16</v>
      </c>
      <c r="D1377">
        <v>297190</v>
      </c>
      <c r="E1377">
        <v>413</v>
      </c>
      <c r="F1377">
        <v>60</v>
      </c>
      <c r="G1377">
        <v>3600</v>
      </c>
      <c r="H1377">
        <v>3659</v>
      </c>
      <c r="I1377">
        <v>10748</v>
      </c>
      <c r="J1377">
        <v>0</v>
      </c>
      <c r="K1377">
        <v>0</v>
      </c>
      <c r="L1377">
        <v>57</v>
      </c>
      <c r="M1377">
        <v>1</v>
      </c>
      <c r="N1377" t="s">
        <v>210</v>
      </c>
      <c r="O1377" s="1">
        <f>result[[#This Row],[n_killed_mutants_cumulativa]]/result[[#This Row],[tot_mutants]]</f>
        <v>1.7543859649122806E-2</v>
      </c>
    </row>
    <row r="1378" spans="1:16" x14ac:dyDescent="0.25">
      <c r="A1378" t="s">
        <v>209</v>
      </c>
      <c r="B1378" t="s">
        <v>22</v>
      </c>
      <c r="C1378" t="s">
        <v>16</v>
      </c>
      <c r="D1378">
        <v>880962</v>
      </c>
      <c r="E1378">
        <v>1263</v>
      </c>
      <c r="F1378">
        <v>210</v>
      </c>
      <c r="G1378">
        <v>9100</v>
      </c>
      <c r="H1378">
        <v>9304</v>
      </c>
      <c r="I1378">
        <v>27107</v>
      </c>
      <c r="J1378">
        <v>0</v>
      </c>
      <c r="K1378">
        <v>0</v>
      </c>
      <c r="L1378">
        <v>57</v>
      </c>
      <c r="M1378">
        <v>1</v>
      </c>
      <c r="N1378" t="s">
        <v>210</v>
      </c>
      <c r="O1378" s="1">
        <f>result[[#This Row],[n_killed_mutants_cumulativa]]/result[[#This Row],[tot_mutants]]</f>
        <v>1.7543859649122806E-2</v>
      </c>
      <c r="P1378" s="9" t="s">
        <v>361</v>
      </c>
    </row>
    <row r="1379" spans="1:16" hidden="1" x14ac:dyDescent="0.25">
      <c r="A1379" t="s">
        <v>211</v>
      </c>
      <c r="B1379" t="s">
        <v>15</v>
      </c>
      <c r="C1379" t="s">
        <v>16</v>
      </c>
      <c r="D1379">
        <v>3594</v>
      </c>
      <c r="E1379">
        <v>1019</v>
      </c>
      <c r="F1379">
        <v>0</v>
      </c>
      <c r="G1379">
        <v>0</v>
      </c>
      <c r="H1379">
        <v>0</v>
      </c>
      <c r="I1379">
        <v>0</v>
      </c>
      <c r="J1379">
        <v>10</v>
      </c>
      <c r="K1379">
        <v>0</v>
      </c>
      <c r="L1379">
        <v>33</v>
      </c>
      <c r="M1379">
        <v>0</v>
      </c>
      <c r="N1379" t="s">
        <v>17</v>
      </c>
      <c r="O1379" s="1">
        <f>result[[#This Row],[n_killed_mutants_cumulativa]]/result[[#This Row],[tot_mutants]]</f>
        <v>0</v>
      </c>
    </row>
    <row r="1380" spans="1:16" hidden="1" x14ac:dyDescent="0.25">
      <c r="A1380" t="s">
        <v>211</v>
      </c>
      <c r="B1380" t="s">
        <v>18</v>
      </c>
      <c r="C1380" t="s">
        <v>16</v>
      </c>
      <c r="D1380">
        <v>3753</v>
      </c>
      <c r="E1380">
        <v>2018</v>
      </c>
      <c r="F1380">
        <v>0</v>
      </c>
      <c r="G1380">
        <v>0</v>
      </c>
      <c r="H1380">
        <v>0</v>
      </c>
      <c r="I1380">
        <v>0</v>
      </c>
      <c r="J1380">
        <v>20</v>
      </c>
      <c r="K1380">
        <v>0</v>
      </c>
      <c r="L1380">
        <v>33</v>
      </c>
      <c r="M1380">
        <v>0</v>
      </c>
      <c r="N1380" t="s">
        <v>17</v>
      </c>
      <c r="O1380" s="1">
        <f>result[[#This Row],[n_killed_mutants_cumulativa]]/result[[#This Row],[tot_mutants]]</f>
        <v>0</v>
      </c>
    </row>
    <row r="1381" spans="1:16" hidden="1" x14ac:dyDescent="0.25">
      <c r="A1381" t="s">
        <v>211</v>
      </c>
      <c r="B1381" t="s">
        <v>19</v>
      </c>
      <c r="C1381" t="s">
        <v>16</v>
      </c>
      <c r="D1381">
        <v>5623</v>
      </c>
      <c r="E1381">
        <v>3019</v>
      </c>
      <c r="F1381">
        <v>0</v>
      </c>
      <c r="G1381">
        <v>0</v>
      </c>
      <c r="H1381">
        <v>0</v>
      </c>
      <c r="I1381">
        <v>0</v>
      </c>
      <c r="J1381">
        <v>30</v>
      </c>
      <c r="K1381">
        <v>0</v>
      </c>
      <c r="L1381">
        <v>33</v>
      </c>
      <c r="M1381">
        <v>0</v>
      </c>
      <c r="N1381" t="s">
        <v>17</v>
      </c>
      <c r="O1381" s="1">
        <f>result[[#This Row],[n_killed_mutants_cumulativa]]/result[[#This Row],[tot_mutants]]</f>
        <v>0</v>
      </c>
    </row>
    <row r="1382" spans="1:16" hidden="1" x14ac:dyDescent="0.25">
      <c r="A1382" t="s">
        <v>211</v>
      </c>
      <c r="B1382" t="s">
        <v>20</v>
      </c>
      <c r="C1382" t="s">
        <v>16</v>
      </c>
      <c r="D1382">
        <v>9371</v>
      </c>
      <c r="E1382">
        <v>6051</v>
      </c>
      <c r="F1382">
        <v>0</v>
      </c>
      <c r="G1382">
        <v>0</v>
      </c>
      <c r="H1382">
        <v>0</v>
      </c>
      <c r="I1382">
        <v>0</v>
      </c>
      <c r="J1382">
        <v>40</v>
      </c>
      <c r="K1382">
        <v>0</v>
      </c>
      <c r="L1382">
        <v>33</v>
      </c>
      <c r="M1382">
        <v>0</v>
      </c>
      <c r="N1382" t="s">
        <v>17</v>
      </c>
      <c r="O1382" s="1">
        <f>result[[#This Row],[n_killed_mutants_cumulativa]]/result[[#This Row],[tot_mutants]]</f>
        <v>0</v>
      </c>
    </row>
    <row r="1383" spans="1:16" hidden="1" x14ac:dyDescent="0.25">
      <c r="A1383" t="s">
        <v>211</v>
      </c>
      <c r="B1383" t="s">
        <v>21</v>
      </c>
      <c r="C1383" t="s">
        <v>16</v>
      </c>
      <c r="D1383">
        <v>13809</v>
      </c>
      <c r="E1383">
        <v>9333</v>
      </c>
      <c r="F1383">
        <v>0</v>
      </c>
      <c r="G1383">
        <v>0</v>
      </c>
      <c r="H1383">
        <v>0</v>
      </c>
      <c r="I1383">
        <v>0</v>
      </c>
      <c r="J1383">
        <v>50</v>
      </c>
      <c r="K1383">
        <v>0</v>
      </c>
      <c r="L1383">
        <v>33</v>
      </c>
      <c r="M1383">
        <v>0</v>
      </c>
      <c r="N1383" t="s">
        <v>17</v>
      </c>
      <c r="O1383" s="1">
        <f>result[[#This Row],[n_killed_mutants_cumulativa]]/result[[#This Row],[tot_mutants]]</f>
        <v>0</v>
      </c>
    </row>
    <row r="1384" spans="1:16" hidden="1" x14ac:dyDescent="0.25">
      <c r="A1384" t="s">
        <v>211</v>
      </c>
      <c r="B1384" t="s">
        <v>22</v>
      </c>
      <c r="C1384" t="s">
        <v>16</v>
      </c>
      <c r="D1384">
        <v>36150</v>
      </c>
      <c r="E1384">
        <v>21440</v>
      </c>
      <c r="F1384">
        <v>0</v>
      </c>
      <c r="G1384">
        <v>0</v>
      </c>
      <c r="H1384">
        <v>0</v>
      </c>
      <c r="I1384">
        <v>0</v>
      </c>
      <c r="J1384">
        <v>150</v>
      </c>
      <c r="K1384">
        <v>0</v>
      </c>
      <c r="L1384">
        <v>33</v>
      </c>
      <c r="M1384">
        <v>0</v>
      </c>
      <c r="N1384" t="s">
        <v>17</v>
      </c>
      <c r="O1384" s="1">
        <f>result[[#This Row],[n_killed_mutants_cumulativa]]/result[[#This Row],[tot_mutants]]</f>
        <v>0</v>
      </c>
    </row>
    <row r="1385" spans="1:16" hidden="1" x14ac:dyDescent="0.25">
      <c r="A1385" t="s">
        <v>212</v>
      </c>
      <c r="B1385" t="s">
        <v>15</v>
      </c>
      <c r="C1385" t="s">
        <v>16</v>
      </c>
      <c r="D1385">
        <v>1682</v>
      </c>
      <c r="E1385">
        <v>185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10</v>
      </c>
      <c r="L1385">
        <v>13</v>
      </c>
      <c r="M1385">
        <v>0</v>
      </c>
      <c r="N1385" t="s">
        <v>17</v>
      </c>
      <c r="O1385" s="1">
        <f>result[[#This Row],[n_killed_mutants_cumulativa]]/result[[#This Row],[tot_mutants]]</f>
        <v>0</v>
      </c>
    </row>
    <row r="1386" spans="1:16" hidden="1" x14ac:dyDescent="0.25">
      <c r="A1386" t="s">
        <v>212</v>
      </c>
      <c r="B1386" t="s">
        <v>18</v>
      </c>
      <c r="C1386" t="s">
        <v>16</v>
      </c>
      <c r="D1386">
        <v>1319</v>
      </c>
      <c r="E1386">
        <v>285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20</v>
      </c>
      <c r="L1386">
        <v>13</v>
      </c>
      <c r="M1386">
        <v>0</v>
      </c>
      <c r="N1386" t="s">
        <v>17</v>
      </c>
      <c r="O1386" s="1">
        <f>result[[#This Row],[n_killed_mutants_cumulativa]]/result[[#This Row],[tot_mutants]]</f>
        <v>0</v>
      </c>
    </row>
    <row r="1387" spans="1:16" hidden="1" x14ac:dyDescent="0.25">
      <c r="A1387" t="s">
        <v>212</v>
      </c>
      <c r="B1387" t="s">
        <v>19</v>
      </c>
      <c r="C1387" t="s">
        <v>16</v>
      </c>
      <c r="D1387">
        <v>1568</v>
      </c>
      <c r="E1387">
        <v>369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30</v>
      </c>
      <c r="L1387">
        <v>13</v>
      </c>
      <c r="M1387">
        <v>0</v>
      </c>
      <c r="N1387" t="s">
        <v>17</v>
      </c>
      <c r="O1387" s="1">
        <f>result[[#This Row],[n_killed_mutants_cumulativa]]/result[[#This Row],[tot_mutants]]</f>
        <v>0</v>
      </c>
    </row>
    <row r="1388" spans="1:16" hidden="1" x14ac:dyDescent="0.25">
      <c r="A1388" t="s">
        <v>212</v>
      </c>
      <c r="B1388" t="s">
        <v>20</v>
      </c>
      <c r="C1388" t="s">
        <v>16</v>
      </c>
      <c r="D1388">
        <v>1439</v>
      </c>
      <c r="E1388">
        <v>351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40</v>
      </c>
      <c r="L1388">
        <v>13</v>
      </c>
      <c r="M1388">
        <v>0</v>
      </c>
      <c r="N1388" t="s">
        <v>17</v>
      </c>
      <c r="O1388" s="1">
        <f>result[[#This Row],[n_killed_mutants_cumulativa]]/result[[#This Row],[tot_mutants]]</f>
        <v>0</v>
      </c>
    </row>
    <row r="1389" spans="1:16" hidden="1" x14ac:dyDescent="0.25">
      <c r="A1389" t="s">
        <v>212</v>
      </c>
      <c r="B1389" t="s">
        <v>21</v>
      </c>
      <c r="C1389" t="s">
        <v>16</v>
      </c>
      <c r="D1389">
        <v>1909</v>
      </c>
      <c r="E1389">
        <v>471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50</v>
      </c>
      <c r="L1389">
        <v>13</v>
      </c>
      <c r="M1389">
        <v>0</v>
      </c>
      <c r="N1389" t="s">
        <v>17</v>
      </c>
      <c r="O1389" s="1">
        <f>result[[#This Row],[n_killed_mutants_cumulativa]]/result[[#This Row],[tot_mutants]]</f>
        <v>0</v>
      </c>
    </row>
    <row r="1390" spans="1:16" hidden="1" x14ac:dyDescent="0.25">
      <c r="A1390" t="s">
        <v>212</v>
      </c>
      <c r="B1390" t="s">
        <v>22</v>
      </c>
      <c r="C1390" t="s">
        <v>16</v>
      </c>
      <c r="D1390">
        <v>7917</v>
      </c>
      <c r="E1390">
        <v>1661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150</v>
      </c>
      <c r="L1390">
        <v>13</v>
      </c>
      <c r="M1390">
        <v>0</v>
      </c>
      <c r="N1390" t="s">
        <v>17</v>
      </c>
      <c r="O1390" s="1">
        <f>result[[#This Row],[n_killed_mutants_cumulativa]]/result[[#This Row],[tot_mutants]]</f>
        <v>0</v>
      </c>
    </row>
    <row r="1391" spans="1:16" hidden="1" x14ac:dyDescent="0.25">
      <c r="A1391" t="s">
        <v>213</v>
      </c>
      <c r="B1391" t="s">
        <v>15</v>
      </c>
      <c r="C1391" t="s">
        <v>16</v>
      </c>
      <c r="D1391">
        <v>3954</v>
      </c>
      <c r="E1391">
        <v>850</v>
      </c>
      <c r="F1391">
        <v>10</v>
      </c>
      <c r="G1391">
        <v>100</v>
      </c>
      <c r="H1391">
        <v>104</v>
      </c>
      <c r="I1391">
        <v>272</v>
      </c>
      <c r="J1391">
        <v>0</v>
      </c>
      <c r="K1391">
        <v>0</v>
      </c>
      <c r="L1391">
        <v>2</v>
      </c>
      <c r="M1391">
        <v>0</v>
      </c>
      <c r="N1391" t="s">
        <v>17</v>
      </c>
      <c r="O1391" s="1">
        <f>result[[#This Row],[n_killed_mutants_cumulativa]]/result[[#This Row],[tot_mutants]]</f>
        <v>0</v>
      </c>
    </row>
    <row r="1392" spans="1:16" hidden="1" x14ac:dyDescent="0.25">
      <c r="A1392" t="s">
        <v>213</v>
      </c>
      <c r="B1392" t="s">
        <v>18</v>
      </c>
      <c r="C1392" t="s">
        <v>16</v>
      </c>
      <c r="D1392">
        <v>5104</v>
      </c>
      <c r="E1392">
        <v>2245</v>
      </c>
      <c r="F1392">
        <v>20</v>
      </c>
      <c r="G1392">
        <v>400</v>
      </c>
      <c r="H1392">
        <v>342</v>
      </c>
      <c r="I1392">
        <v>763</v>
      </c>
      <c r="J1392">
        <v>0</v>
      </c>
      <c r="K1392">
        <v>0</v>
      </c>
      <c r="L1392">
        <v>2</v>
      </c>
      <c r="M1392">
        <v>0</v>
      </c>
      <c r="N1392" t="s">
        <v>17</v>
      </c>
      <c r="O1392" s="1">
        <f>result[[#This Row],[n_killed_mutants_cumulativa]]/result[[#This Row],[tot_mutants]]</f>
        <v>0</v>
      </c>
    </row>
    <row r="1393" spans="1:16" hidden="1" x14ac:dyDescent="0.25">
      <c r="A1393" t="s">
        <v>213</v>
      </c>
      <c r="B1393" t="s">
        <v>19</v>
      </c>
      <c r="C1393" t="s">
        <v>16</v>
      </c>
      <c r="D1393">
        <v>9853</v>
      </c>
      <c r="E1393">
        <v>5864</v>
      </c>
      <c r="F1393">
        <v>30</v>
      </c>
      <c r="G1393">
        <v>900</v>
      </c>
      <c r="H1393">
        <v>418</v>
      </c>
      <c r="I1393">
        <v>1407</v>
      </c>
      <c r="J1393">
        <v>0</v>
      </c>
      <c r="K1393">
        <v>0</v>
      </c>
      <c r="L1393">
        <v>2</v>
      </c>
      <c r="M1393">
        <v>0</v>
      </c>
      <c r="N1393" t="s">
        <v>17</v>
      </c>
      <c r="O1393" s="1">
        <f>result[[#This Row],[n_killed_mutants_cumulativa]]/result[[#This Row],[tot_mutants]]</f>
        <v>0</v>
      </c>
    </row>
    <row r="1394" spans="1:16" hidden="1" x14ac:dyDescent="0.25">
      <c r="A1394" t="s">
        <v>213</v>
      </c>
      <c r="B1394" t="s">
        <v>20</v>
      </c>
      <c r="C1394" t="s">
        <v>16</v>
      </c>
      <c r="D1394">
        <v>19130</v>
      </c>
      <c r="E1394">
        <v>13124</v>
      </c>
      <c r="F1394">
        <v>40</v>
      </c>
      <c r="G1394">
        <v>1600</v>
      </c>
      <c r="H1394">
        <v>706</v>
      </c>
      <c r="I1394">
        <v>2305</v>
      </c>
      <c r="J1394">
        <v>0</v>
      </c>
      <c r="K1394">
        <v>0</v>
      </c>
      <c r="L1394">
        <v>2</v>
      </c>
      <c r="M1394">
        <v>0</v>
      </c>
      <c r="N1394" t="s">
        <v>17</v>
      </c>
      <c r="O1394" s="1">
        <f>result[[#This Row],[n_killed_mutants_cumulativa]]/result[[#This Row],[tot_mutants]]</f>
        <v>0</v>
      </c>
    </row>
    <row r="1395" spans="1:16" hidden="1" x14ac:dyDescent="0.25">
      <c r="A1395" t="s">
        <v>213</v>
      </c>
      <c r="B1395" t="s">
        <v>21</v>
      </c>
      <c r="C1395" t="s">
        <v>16</v>
      </c>
      <c r="D1395">
        <v>33112</v>
      </c>
      <c r="E1395">
        <v>24907</v>
      </c>
      <c r="F1395">
        <v>50</v>
      </c>
      <c r="G1395">
        <v>2500</v>
      </c>
      <c r="H1395">
        <v>786</v>
      </c>
      <c r="I1395">
        <v>3363</v>
      </c>
      <c r="J1395">
        <v>0</v>
      </c>
      <c r="K1395">
        <v>0</v>
      </c>
      <c r="L1395">
        <v>2</v>
      </c>
      <c r="M1395">
        <v>0</v>
      </c>
      <c r="N1395" t="s">
        <v>17</v>
      </c>
      <c r="O1395" s="1">
        <f>result[[#This Row],[n_killed_mutants_cumulativa]]/result[[#This Row],[tot_mutants]]</f>
        <v>0</v>
      </c>
    </row>
    <row r="1396" spans="1:16" hidden="1" x14ac:dyDescent="0.25">
      <c r="A1396" t="s">
        <v>213</v>
      </c>
      <c r="B1396" t="s">
        <v>24</v>
      </c>
      <c r="C1396" t="s">
        <v>16</v>
      </c>
      <c r="D1396">
        <v>53969</v>
      </c>
      <c r="E1396">
        <v>42842</v>
      </c>
      <c r="F1396">
        <v>60</v>
      </c>
      <c r="G1396">
        <v>3600</v>
      </c>
      <c r="H1396">
        <v>1022</v>
      </c>
      <c r="I1396">
        <v>4660</v>
      </c>
      <c r="J1396">
        <v>0</v>
      </c>
      <c r="K1396">
        <v>0</v>
      </c>
      <c r="L1396">
        <v>2</v>
      </c>
      <c r="M1396">
        <v>0</v>
      </c>
      <c r="N1396" t="s">
        <v>17</v>
      </c>
      <c r="O1396" s="1">
        <f>result[[#This Row],[n_killed_mutants_cumulativa]]/result[[#This Row],[tot_mutants]]</f>
        <v>0</v>
      </c>
    </row>
    <row r="1397" spans="1:16" hidden="1" x14ac:dyDescent="0.25">
      <c r="A1397" t="s">
        <v>213</v>
      </c>
      <c r="B1397" t="s">
        <v>25</v>
      </c>
      <c r="C1397" t="s">
        <v>16</v>
      </c>
      <c r="D1397">
        <v>82487</v>
      </c>
      <c r="E1397">
        <v>67445</v>
      </c>
      <c r="F1397">
        <v>70</v>
      </c>
      <c r="G1397">
        <v>4900</v>
      </c>
      <c r="H1397">
        <v>1394</v>
      </c>
      <c r="I1397">
        <v>6156</v>
      </c>
      <c r="J1397">
        <v>0</v>
      </c>
      <c r="K1397">
        <v>0</v>
      </c>
      <c r="L1397">
        <v>2</v>
      </c>
      <c r="M1397">
        <v>0</v>
      </c>
      <c r="N1397" t="s">
        <v>17</v>
      </c>
      <c r="O1397" s="1">
        <f>result[[#This Row],[n_killed_mutants_cumulativa]]/result[[#This Row],[tot_mutants]]</f>
        <v>0</v>
      </c>
    </row>
    <row r="1398" spans="1:16" hidden="1" x14ac:dyDescent="0.25">
      <c r="A1398" t="s">
        <v>213</v>
      </c>
      <c r="B1398" t="s">
        <v>26</v>
      </c>
      <c r="C1398" t="s">
        <v>16</v>
      </c>
      <c r="D1398">
        <v>117014</v>
      </c>
      <c r="E1398">
        <v>98704</v>
      </c>
      <c r="F1398">
        <v>80</v>
      </c>
      <c r="G1398">
        <v>6400</v>
      </c>
      <c r="H1398">
        <v>1506</v>
      </c>
      <c r="I1398">
        <v>7794</v>
      </c>
      <c r="J1398">
        <v>0</v>
      </c>
      <c r="K1398">
        <v>0</v>
      </c>
      <c r="L1398">
        <v>2</v>
      </c>
      <c r="M1398">
        <v>0</v>
      </c>
      <c r="N1398" t="s">
        <v>17</v>
      </c>
      <c r="O1398" s="1">
        <f>result[[#This Row],[n_killed_mutants_cumulativa]]/result[[#This Row],[tot_mutants]]</f>
        <v>0</v>
      </c>
    </row>
    <row r="1399" spans="1:16" hidden="1" x14ac:dyDescent="0.25">
      <c r="A1399" t="s">
        <v>213</v>
      </c>
      <c r="B1399" t="s">
        <v>27</v>
      </c>
      <c r="C1399" t="s">
        <v>16</v>
      </c>
      <c r="D1399">
        <v>162930</v>
      </c>
      <c r="E1399">
        <v>140374</v>
      </c>
      <c r="F1399">
        <v>90</v>
      </c>
      <c r="G1399">
        <v>8100</v>
      </c>
      <c r="H1399">
        <v>1630</v>
      </c>
      <c r="I1399">
        <v>9684</v>
      </c>
      <c r="J1399">
        <v>0</v>
      </c>
      <c r="K1399">
        <v>0</v>
      </c>
      <c r="L1399">
        <v>2</v>
      </c>
      <c r="M1399">
        <v>0</v>
      </c>
      <c r="N1399" t="s">
        <v>17</v>
      </c>
      <c r="O1399" s="1">
        <f>result[[#This Row],[n_killed_mutants_cumulativa]]/result[[#This Row],[tot_mutants]]</f>
        <v>0</v>
      </c>
    </row>
    <row r="1400" spans="1:16" hidden="1" x14ac:dyDescent="0.25">
      <c r="A1400" t="s">
        <v>213</v>
      </c>
      <c r="B1400" t="s">
        <v>30</v>
      </c>
      <c r="C1400" t="s">
        <v>16</v>
      </c>
      <c r="D1400">
        <v>220035</v>
      </c>
      <c r="E1400">
        <v>191553</v>
      </c>
      <c r="F1400">
        <v>100</v>
      </c>
      <c r="G1400">
        <v>10000</v>
      </c>
      <c r="H1400">
        <v>1972</v>
      </c>
      <c r="I1400">
        <v>11764</v>
      </c>
      <c r="J1400">
        <v>0</v>
      </c>
      <c r="K1400">
        <v>0</v>
      </c>
      <c r="L1400">
        <v>2</v>
      </c>
      <c r="M1400">
        <v>0</v>
      </c>
      <c r="N1400" t="s">
        <v>17</v>
      </c>
      <c r="O1400" s="1">
        <f>result[[#This Row],[n_killed_mutants_cumulativa]]/result[[#This Row],[tot_mutants]]</f>
        <v>0</v>
      </c>
    </row>
    <row r="1401" spans="1:16" hidden="1" x14ac:dyDescent="0.25">
      <c r="A1401" t="s">
        <v>213</v>
      </c>
      <c r="B1401" t="s">
        <v>22</v>
      </c>
      <c r="C1401" t="s">
        <v>16</v>
      </c>
      <c r="D1401">
        <v>707588</v>
      </c>
      <c r="E1401">
        <v>587908</v>
      </c>
      <c r="F1401">
        <v>550</v>
      </c>
      <c r="G1401">
        <v>38500</v>
      </c>
      <c r="H1401">
        <v>9880</v>
      </c>
      <c r="I1401">
        <v>48168</v>
      </c>
      <c r="J1401">
        <v>0</v>
      </c>
      <c r="K1401">
        <v>0</v>
      </c>
      <c r="L1401">
        <v>2</v>
      </c>
      <c r="M1401">
        <v>0</v>
      </c>
      <c r="N1401" t="s">
        <v>17</v>
      </c>
      <c r="O1401" s="1">
        <f>result[[#This Row],[n_killed_mutants_cumulativa]]/result[[#This Row],[tot_mutants]]</f>
        <v>0</v>
      </c>
      <c r="P1401" s="9" t="s">
        <v>346</v>
      </c>
    </row>
    <row r="1402" spans="1:16" hidden="1" x14ac:dyDescent="0.25">
      <c r="A1402" t="s">
        <v>214</v>
      </c>
      <c r="B1402" t="s">
        <v>15</v>
      </c>
      <c r="C1402" t="s">
        <v>16</v>
      </c>
      <c r="D1402">
        <v>3953</v>
      </c>
      <c r="E1402">
        <v>202</v>
      </c>
      <c r="F1402">
        <v>10</v>
      </c>
      <c r="G1402">
        <v>100</v>
      </c>
      <c r="H1402">
        <v>200</v>
      </c>
      <c r="I1402">
        <v>200</v>
      </c>
      <c r="J1402">
        <v>0</v>
      </c>
      <c r="K1402">
        <v>0</v>
      </c>
      <c r="L1402">
        <v>4</v>
      </c>
      <c r="M1402">
        <v>0</v>
      </c>
      <c r="N1402" t="s">
        <v>17</v>
      </c>
      <c r="O1402" s="1">
        <f>result[[#This Row],[n_killed_mutants_cumulativa]]/result[[#This Row],[tot_mutants]]</f>
        <v>0</v>
      </c>
    </row>
    <row r="1403" spans="1:16" hidden="1" x14ac:dyDescent="0.25">
      <c r="A1403" t="s">
        <v>214</v>
      </c>
      <c r="B1403" t="s">
        <v>18</v>
      </c>
      <c r="C1403" t="s">
        <v>16</v>
      </c>
      <c r="D1403">
        <v>100</v>
      </c>
      <c r="E1403">
        <v>92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4</v>
      </c>
      <c r="M1403">
        <v>0</v>
      </c>
      <c r="N1403" t="s">
        <v>17</v>
      </c>
      <c r="O1403" s="1">
        <f>result[[#This Row],[n_killed_mutants_cumulativa]]/result[[#This Row],[tot_mutants]]</f>
        <v>0</v>
      </c>
    </row>
    <row r="1404" spans="1:16" hidden="1" x14ac:dyDescent="0.25">
      <c r="A1404" t="s">
        <v>214</v>
      </c>
      <c r="B1404" t="s">
        <v>19</v>
      </c>
      <c r="C1404" t="s">
        <v>16</v>
      </c>
      <c r="D1404">
        <v>100</v>
      </c>
      <c r="E1404">
        <v>92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4</v>
      </c>
      <c r="M1404">
        <v>0</v>
      </c>
      <c r="N1404" t="s">
        <v>17</v>
      </c>
      <c r="O1404" s="1">
        <f>result[[#This Row],[n_killed_mutants_cumulativa]]/result[[#This Row],[tot_mutants]]</f>
        <v>0</v>
      </c>
    </row>
    <row r="1405" spans="1:16" hidden="1" x14ac:dyDescent="0.25">
      <c r="A1405" t="s">
        <v>214</v>
      </c>
      <c r="B1405" t="s">
        <v>20</v>
      </c>
      <c r="C1405" t="s">
        <v>16</v>
      </c>
      <c r="D1405">
        <v>119</v>
      </c>
      <c r="E1405">
        <v>111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4</v>
      </c>
      <c r="M1405">
        <v>0</v>
      </c>
      <c r="N1405" t="s">
        <v>17</v>
      </c>
      <c r="O1405" s="1">
        <f>result[[#This Row],[n_killed_mutants_cumulativa]]/result[[#This Row],[tot_mutants]]</f>
        <v>0</v>
      </c>
    </row>
    <row r="1406" spans="1:16" hidden="1" x14ac:dyDescent="0.25">
      <c r="A1406" t="s">
        <v>214</v>
      </c>
      <c r="B1406" t="s">
        <v>21</v>
      </c>
      <c r="C1406" t="s">
        <v>16</v>
      </c>
      <c r="D1406">
        <v>136</v>
      </c>
      <c r="E1406">
        <v>129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4</v>
      </c>
      <c r="M1406">
        <v>0</v>
      </c>
      <c r="N1406" t="s">
        <v>17</v>
      </c>
      <c r="O1406" s="1">
        <f>result[[#This Row],[n_killed_mutants_cumulativa]]/result[[#This Row],[tot_mutants]]</f>
        <v>0</v>
      </c>
    </row>
    <row r="1407" spans="1:16" hidden="1" x14ac:dyDescent="0.25">
      <c r="A1407" t="s">
        <v>214</v>
      </c>
      <c r="B1407" t="s">
        <v>24</v>
      </c>
      <c r="C1407" t="s">
        <v>16</v>
      </c>
      <c r="D1407">
        <v>141</v>
      </c>
      <c r="E1407">
        <v>133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4</v>
      </c>
      <c r="M1407">
        <v>0</v>
      </c>
      <c r="N1407" t="s">
        <v>17</v>
      </c>
      <c r="O1407" s="1">
        <f>result[[#This Row],[n_killed_mutants_cumulativa]]/result[[#This Row],[tot_mutants]]</f>
        <v>0</v>
      </c>
    </row>
    <row r="1408" spans="1:16" hidden="1" x14ac:dyDescent="0.25">
      <c r="A1408" t="s">
        <v>214</v>
      </c>
      <c r="B1408" t="s">
        <v>25</v>
      </c>
      <c r="C1408" t="s">
        <v>16</v>
      </c>
      <c r="D1408">
        <v>150</v>
      </c>
      <c r="E1408">
        <v>143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4</v>
      </c>
      <c r="M1408">
        <v>0</v>
      </c>
      <c r="N1408" t="s">
        <v>17</v>
      </c>
      <c r="O1408" s="1">
        <f>result[[#This Row],[n_killed_mutants_cumulativa]]/result[[#This Row],[tot_mutants]]</f>
        <v>0</v>
      </c>
    </row>
    <row r="1409" spans="1:16" hidden="1" x14ac:dyDescent="0.25">
      <c r="A1409" t="s">
        <v>214</v>
      </c>
      <c r="B1409" t="s">
        <v>26</v>
      </c>
      <c r="C1409" t="s">
        <v>16</v>
      </c>
      <c r="D1409">
        <v>200</v>
      </c>
      <c r="E1409">
        <v>191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4</v>
      </c>
      <c r="M1409">
        <v>0</v>
      </c>
      <c r="N1409" t="s">
        <v>17</v>
      </c>
      <c r="O1409" s="1">
        <f>result[[#This Row],[n_killed_mutants_cumulativa]]/result[[#This Row],[tot_mutants]]</f>
        <v>0</v>
      </c>
    </row>
    <row r="1410" spans="1:16" hidden="1" x14ac:dyDescent="0.25">
      <c r="A1410" t="s">
        <v>214</v>
      </c>
      <c r="B1410" t="s">
        <v>27</v>
      </c>
      <c r="C1410" t="s">
        <v>16</v>
      </c>
      <c r="D1410">
        <v>283</v>
      </c>
      <c r="E1410">
        <v>270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4</v>
      </c>
      <c r="M1410">
        <v>0</v>
      </c>
      <c r="N1410" t="s">
        <v>17</v>
      </c>
      <c r="O1410" s="1">
        <f>result[[#This Row],[n_killed_mutants_cumulativa]]/result[[#This Row],[tot_mutants]]</f>
        <v>0</v>
      </c>
    </row>
    <row r="1411" spans="1:16" hidden="1" x14ac:dyDescent="0.25">
      <c r="A1411" t="s">
        <v>214</v>
      </c>
      <c r="B1411" t="s">
        <v>30</v>
      </c>
      <c r="C1411" t="s">
        <v>16</v>
      </c>
      <c r="D1411">
        <v>266</v>
      </c>
      <c r="E1411">
        <v>258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4</v>
      </c>
      <c r="M1411">
        <v>0</v>
      </c>
      <c r="N1411" t="s">
        <v>17</v>
      </c>
      <c r="O1411" s="1">
        <f>result[[#This Row],[n_killed_mutants_cumulativa]]/result[[#This Row],[tot_mutants]]</f>
        <v>0</v>
      </c>
    </row>
    <row r="1412" spans="1:16" hidden="1" x14ac:dyDescent="0.25">
      <c r="A1412" t="s">
        <v>214</v>
      </c>
      <c r="B1412" t="s">
        <v>31</v>
      </c>
      <c r="C1412" t="s">
        <v>16</v>
      </c>
      <c r="D1412">
        <v>286</v>
      </c>
      <c r="E1412">
        <v>278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4</v>
      </c>
      <c r="M1412">
        <v>0</v>
      </c>
      <c r="N1412" t="s">
        <v>17</v>
      </c>
      <c r="O1412" s="1">
        <f>result[[#This Row],[n_killed_mutants_cumulativa]]/result[[#This Row],[tot_mutants]]</f>
        <v>0</v>
      </c>
    </row>
    <row r="1413" spans="1:16" hidden="1" x14ac:dyDescent="0.25">
      <c r="A1413" t="s">
        <v>214</v>
      </c>
      <c r="B1413" t="s">
        <v>36</v>
      </c>
      <c r="C1413" t="s">
        <v>16</v>
      </c>
      <c r="D1413">
        <v>201</v>
      </c>
      <c r="E1413">
        <v>193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4</v>
      </c>
      <c r="M1413">
        <v>0</v>
      </c>
      <c r="N1413" t="s">
        <v>17</v>
      </c>
      <c r="O1413" s="1">
        <f>result[[#This Row],[n_killed_mutants_cumulativa]]/result[[#This Row],[tot_mutants]]</f>
        <v>0</v>
      </c>
    </row>
    <row r="1414" spans="1:16" hidden="1" x14ac:dyDescent="0.25">
      <c r="A1414" t="s">
        <v>214</v>
      </c>
      <c r="B1414" t="s">
        <v>40</v>
      </c>
      <c r="C1414" t="s">
        <v>16</v>
      </c>
      <c r="D1414">
        <v>209</v>
      </c>
      <c r="E1414">
        <v>201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4</v>
      </c>
      <c r="M1414">
        <v>0</v>
      </c>
      <c r="N1414" t="s">
        <v>17</v>
      </c>
      <c r="O1414" s="1">
        <f>result[[#This Row],[n_killed_mutants_cumulativa]]/result[[#This Row],[tot_mutants]]</f>
        <v>0</v>
      </c>
    </row>
    <row r="1415" spans="1:16" hidden="1" x14ac:dyDescent="0.25">
      <c r="A1415" t="s">
        <v>214</v>
      </c>
      <c r="B1415" t="s">
        <v>47</v>
      </c>
      <c r="C1415" t="s">
        <v>16</v>
      </c>
      <c r="D1415">
        <v>225</v>
      </c>
      <c r="E1415">
        <v>218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4</v>
      </c>
      <c r="M1415">
        <v>0</v>
      </c>
      <c r="N1415" t="s">
        <v>17</v>
      </c>
      <c r="O1415" s="1">
        <f>result[[#This Row],[n_killed_mutants_cumulativa]]/result[[#This Row],[tot_mutants]]</f>
        <v>0</v>
      </c>
    </row>
    <row r="1416" spans="1:16" hidden="1" x14ac:dyDescent="0.25">
      <c r="A1416" t="s">
        <v>214</v>
      </c>
      <c r="B1416" t="s">
        <v>48</v>
      </c>
      <c r="C1416" t="s">
        <v>16</v>
      </c>
      <c r="D1416">
        <v>243</v>
      </c>
      <c r="E1416">
        <v>236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4</v>
      </c>
      <c r="M1416">
        <v>0</v>
      </c>
      <c r="N1416" t="s">
        <v>17</v>
      </c>
      <c r="O1416" s="1">
        <f>result[[#This Row],[n_killed_mutants_cumulativa]]/result[[#This Row],[tot_mutants]]</f>
        <v>0</v>
      </c>
    </row>
    <row r="1417" spans="1:16" hidden="1" x14ac:dyDescent="0.25">
      <c r="A1417" t="s">
        <v>214</v>
      </c>
      <c r="B1417" t="s">
        <v>49</v>
      </c>
      <c r="C1417" t="s">
        <v>16</v>
      </c>
      <c r="D1417">
        <v>261</v>
      </c>
      <c r="E1417">
        <v>253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4</v>
      </c>
      <c r="M1417">
        <v>0</v>
      </c>
      <c r="N1417" t="s">
        <v>17</v>
      </c>
      <c r="O1417" s="1">
        <f>result[[#This Row],[n_killed_mutants_cumulativa]]/result[[#This Row],[tot_mutants]]</f>
        <v>0</v>
      </c>
    </row>
    <row r="1418" spans="1:16" hidden="1" x14ac:dyDescent="0.25">
      <c r="A1418" t="s">
        <v>214</v>
      </c>
      <c r="B1418" t="s">
        <v>50</v>
      </c>
      <c r="C1418" t="s">
        <v>16</v>
      </c>
      <c r="D1418">
        <v>272</v>
      </c>
      <c r="E1418">
        <v>265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4</v>
      </c>
      <c r="M1418">
        <v>0</v>
      </c>
      <c r="N1418" t="s">
        <v>17</v>
      </c>
      <c r="O1418" s="1">
        <f>result[[#This Row],[n_killed_mutants_cumulativa]]/result[[#This Row],[tot_mutants]]</f>
        <v>0</v>
      </c>
    </row>
    <row r="1419" spans="1:16" hidden="1" x14ac:dyDescent="0.25">
      <c r="A1419" t="s">
        <v>214</v>
      </c>
      <c r="B1419" t="s">
        <v>51</v>
      </c>
      <c r="C1419" t="s">
        <v>16</v>
      </c>
      <c r="D1419">
        <v>286</v>
      </c>
      <c r="E1419">
        <v>280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4</v>
      </c>
      <c r="M1419">
        <v>0</v>
      </c>
      <c r="N1419" t="s">
        <v>17</v>
      </c>
      <c r="O1419" s="1">
        <f>result[[#This Row],[n_killed_mutants_cumulativa]]/result[[#This Row],[tot_mutants]]</f>
        <v>0</v>
      </c>
    </row>
    <row r="1420" spans="1:16" hidden="1" x14ac:dyDescent="0.25">
      <c r="A1420" t="s">
        <v>214</v>
      </c>
      <c r="B1420" t="s">
        <v>52</v>
      </c>
      <c r="C1420" t="s">
        <v>16</v>
      </c>
      <c r="D1420">
        <v>306</v>
      </c>
      <c r="E1420">
        <v>299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4</v>
      </c>
      <c r="M1420">
        <v>0</v>
      </c>
      <c r="N1420" t="s">
        <v>17</v>
      </c>
      <c r="O1420" s="1">
        <f>result[[#This Row],[n_killed_mutants_cumulativa]]/result[[#This Row],[tot_mutants]]</f>
        <v>0</v>
      </c>
    </row>
    <row r="1421" spans="1:16" hidden="1" x14ac:dyDescent="0.25">
      <c r="A1421" t="s">
        <v>214</v>
      </c>
      <c r="B1421" t="s">
        <v>53</v>
      </c>
      <c r="C1421" t="s">
        <v>16</v>
      </c>
      <c r="D1421">
        <v>322</v>
      </c>
      <c r="E1421">
        <v>315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4</v>
      </c>
      <c r="M1421">
        <v>0</v>
      </c>
      <c r="N1421" t="s">
        <v>17</v>
      </c>
      <c r="O1421" s="1">
        <f>result[[#This Row],[n_killed_mutants_cumulativa]]/result[[#This Row],[tot_mutants]]</f>
        <v>0</v>
      </c>
    </row>
    <row r="1422" spans="1:16" hidden="1" x14ac:dyDescent="0.25">
      <c r="A1422" t="s">
        <v>214</v>
      </c>
      <c r="B1422" t="s">
        <v>22</v>
      </c>
      <c r="C1422" t="s">
        <v>16</v>
      </c>
      <c r="D1422">
        <v>8059</v>
      </c>
      <c r="E1422">
        <v>4159</v>
      </c>
      <c r="F1422">
        <v>10</v>
      </c>
      <c r="G1422">
        <v>100</v>
      </c>
      <c r="H1422">
        <v>200</v>
      </c>
      <c r="I1422">
        <v>200</v>
      </c>
      <c r="J1422">
        <v>0</v>
      </c>
      <c r="K1422">
        <v>0</v>
      </c>
      <c r="L1422">
        <v>4</v>
      </c>
      <c r="M1422">
        <v>0</v>
      </c>
      <c r="N1422" t="s">
        <v>17</v>
      </c>
      <c r="O1422" s="1">
        <f>result[[#This Row],[n_killed_mutants_cumulativa]]/result[[#This Row],[tot_mutants]]</f>
        <v>0</v>
      </c>
      <c r="P1422" s="9" t="s">
        <v>346</v>
      </c>
    </row>
    <row r="1423" spans="1:16" hidden="1" x14ac:dyDescent="0.25">
      <c r="A1423" t="s">
        <v>215</v>
      </c>
      <c r="B1423" t="s">
        <v>15</v>
      </c>
      <c r="C1423" t="s">
        <v>16</v>
      </c>
      <c r="D1423">
        <v>5215</v>
      </c>
      <c r="E1423">
        <v>682</v>
      </c>
      <c r="F1423">
        <v>10</v>
      </c>
      <c r="G1423">
        <v>100</v>
      </c>
      <c r="H1423">
        <v>200</v>
      </c>
      <c r="I1423">
        <v>384</v>
      </c>
      <c r="J1423">
        <v>0</v>
      </c>
      <c r="K1423">
        <v>0</v>
      </c>
      <c r="L1423">
        <v>1</v>
      </c>
      <c r="M1423">
        <v>0</v>
      </c>
      <c r="N1423" t="s">
        <v>17</v>
      </c>
      <c r="O1423" s="1">
        <f>result[[#This Row],[n_killed_mutants_cumulativa]]/result[[#This Row],[tot_mutants]]</f>
        <v>0</v>
      </c>
    </row>
    <row r="1424" spans="1:16" hidden="1" x14ac:dyDescent="0.25">
      <c r="A1424" t="s">
        <v>215</v>
      </c>
      <c r="B1424" t="s">
        <v>18</v>
      </c>
      <c r="C1424" t="s">
        <v>16</v>
      </c>
      <c r="D1424">
        <v>7713</v>
      </c>
      <c r="E1424">
        <v>764</v>
      </c>
      <c r="F1424">
        <v>20</v>
      </c>
      <c r="G1424">
        <v>400</v>
      </c>
      <c r="H1424">
        <v>800</v>
      </c>
      <c r="I1424">
        <v>892</v>
      </c>
      <c r="J1424">
        <v>0</v>
      </c>
      <c r="K1424">
        <v>0</v>
      </c>
      <c r="L1424">
        <v>1</v>
      </c>
      <c r="M1424">
        <v>0</v>
      </c>
      <c r="N1424" t="s">
        <v>17</v>
      </c>
      <c r="O1424" s="1">
        <f>result[[#This Row],[n_killed_mutants_cumulativa]]/result[[#This Row],[tot_mutants]]</f>
        <v>0</v>
      </c>
    </row>
    <row r="1425" spans="1:16" hidden="1" x14ac:dyDescent="0.25">
      <c r="A1425" t="s">
        <v>215</v>
      </c>
      <c r="B1425" t="s">
        <v>19</v>
      </c>
      <c r="C1425" t="s">
        <v>16</v>
      </c>
      <c r="D1425">
        <v>13468</v>
      </c>
      <c r="E1425">
        <v>1300</v>
      </c>
      <c r="F1425">
        <v>30</v>
      </c>
      <c r="G1425">
        <v>900</v>
      </c>
      <c r="H1425">
        <v>1800</v>
      </c>
      <c r="I1425">
        <v>1454</v>
      </c>
      <c r="J1425">
        <v>0</v>
      </c>
      <c r="K1425">
        <v>0</v>
      </c>
      <c r="L1425">
        <v>1</v>
      </c>
      <c r="M1425">
        <v>0</v>
      </c>
      <c r="N1425" t="s">
        <v>17</v>
      </c>
      <c r="O1425" s="1">
        <f>result[[#This Row],[n_killed_mutants_cumulativa]]/result[[#This Row],[tot_mutants]]</f>
        <v>0</v>
      </c>
    </row>
    <row r="1426" spans="1:16" hidden="1" x14ac:dyDescent="0.25">
      <c r="A1426" t="s">
        <v>215</v>
      </c>
      <c r="B1426" t="s">
        <v>20</v>
      </c>
      <c r="C1426" t="s">
        <v>16</v>
      </c>
      <c r="D1426">
        <v>20923</v>
      </c>
      <c r="E1426">
        <v>2073</v>
      </c>
      <c r="F1426">
        <v>40</v>
      </c>
      <c r="G1426">
        <v>1600</v>
      </c>
      <c r="H1426">
        <v>3200</v>
      </c>
      <c r="I1426">
        <v>2138</v>
      </c>
      <c r="J1426">
        <v>0</v>
      </c>
      <c r="K1426">
        <v>0</v>
      </c>
      <c r="L1426">
        <v>1</v>
      </c>
      <c r="M1426">
        <v>0</v>
      </c>
      <c r="N1426" t="s">
        <v>17</v>
      </c>
      <c r="O1426" s="1">
        <f>result[[#This Row],[n_killed_mutants_cumulativa]]/result[[#This Row],[tot_mutants]]</f>
        <v>0</v>
      </c>
    </row>
    <row r="1427" spans="1:16" hidden="1" x14ac:dyDescent="0.25">
      <c r="A1427" t="s">
        <v>215</v>
      </c>
      <c r="B1427" t="s">
        <v>21</v>
      </c>
      <c r="C1427" t="s">
        <v>16</v>
      </c>
      <c r="D1427">
        <v>30482</v>
      </c>
      <c r="E1427">
        <v>3079</v>
      </c>
      <c r="F1427">
        <v>50</v>
      </c>
      <c r="G1427">
        <v>2500</v>
      </c>
      <c r="H1427">
        <v>5000</v>
      </c>
      <c r="I1427">
        <v>2852</v>
      </c>
      <c r="J1427">
        <v>0</v>
      </c>
      <c r="K1427">
        <v>0</v>
      </c>
      <c r="L1427">
        <v>1</v>
      </c>
      <c r="M1427">
        <v>0</v>
      </c>
      <c r="N1427" t="s">
        <v>17</v>
      </c>
      <c r="O1427" s="1">
        <f>result[[#This Row],[n_killed_mutants_cumulativa]]/result[[#This Row],[tot_mutants]]</f>
        <v>0</v>
      </c>
    </row>
    <row r="1428" spans="1:16" hidden="1" x14ac:dyDescent="0.25">
      <c r="A1428" t="s">
        <v>215</v>
      </c>
      <c r="B1428" t="s">
        <v>24</v>
      </c>
      <c r="C1428" t="s">
        <v>16</v>
      </c>
      <c r="D1428">
        <v>43185</v>
      </c>
      <c r="E1428">
        <v>4519</v>
      </c>
      <c r="F1428">
        <v>60</v>
      </c>
      <c r="G1428">
        <v>3600</v>
      </c>
      <c r="H1428">
        <v>7200</v>
      </c>
      <c r="I1428">
        <v>3670</v>
      </c>
      <c r="J1428">
        <v>0</v>
      </c>
      <c r="K1428">
        <v>0</v>
      </c>
      <c r="L1428">
        <v>1</v>
      </c>
      <c r="M1428">
        <v>0</v>
      </c>
      <c r="N1428" t="s">
        <v>17</v>
      </c>
      <c r="O1428" s="1">
        <f>result[[#This Row],[n_killed_mutants_cumulativa]]/result[[#This Row],[tot_mutants]]</f>
        <v>0</v>
      </c>
    </row>
    <row r="1429" spans="1:16" hidden="1" x14ac:dyDescent="0.25">
      <c r="A1429" t="s">
        <v>215</v>
      </c>
      <c r="B1429" t="s">
        <v>25</v>
      </c>
      <c r="C1429" t="s">
        <v>16</v>
      </c>
      <c r="D1429">
        <v>55552</v>
      </c>
      <c r="E1429">
        <v>5836</v>
      </c>
      <c r="F1429">
        <v>70</v>
      </c>
      <c r="G1429">
        <v>4900</v>
      </c>
      <c r="H1429">
        <v>9800</v>
      </c>
      <c r="I1429">
        <v>4598</v>
      </c>
      <c r="J1429">
        <v>0</v>
      </c>
      <c r="K1429">
        <v>0</v>
      </c>
      <c r="L1429">
        <v>1</v>
      </c>
      <c r="M1429">
        <v>0</v>
      </c>
      <c r="N1429" t="s">
        <v>17</v>
      </c>
      <c r="O1429" s="1">
        <f>result[[#This Row],[n_killed_mutants_cumulativa]]/result[[#This Row],[tot_mutants]]</f>
        <v>0</v>
      </c>
    </row>
    <row r="1430" spans="1:16" hidden="1" x14ac:dyDescent="0.25">
      <c r="A1430" t="s">
        <v>215</v>
      </c>
      <c r="B1430" t="s">
        <v>26</v>
      </c>
      <c r="C1430" t="s">
        <v>16</v>
      </c>
      <c r="D1430">
        <v>71013</v>
      </c>
      <c r="E1430">
        <v>7562</v>
      </c>
      <c r="F1430">
        <v>80</v>
      </c>
      <c r="G1430">
        <v>6400</v>
      </c>
      <c r="H1430">
        <v>12800</v>
      </c>
      <c r="I1430">
        <v>5648</v>
      </c>
      <c r="J1430">
        <v>0</v>
      </c>
      <c r="K1430">
        <v>0</v>
      </c>
      <c r="L1430">
        <v>1</v>
      </c>
      <c r="M1430">
        <v>0</v>
      </c>
      <c r="N1430" t="s">
        <v>17</v>
      </c>
      <c r="O1430" s="1">
        <f>result[[#This Row],[n_killed_mutants_cumulativa]]/result[[#This Row],[tot_mutants]]</f>
        <v>0</v>
      </c>
    </row>
    <row r="1431" spans="1:16" hidden="1" x14ac:dyDescent="0.25">
      <c r="A1431" t="s">
        <v>215</v>
      </c>
      <c r="B1431" t="s">
        <v>27</v>
      </c>
      <c r="C1431" t="s">
        <v>16</v>
      </c>
      <c r="D1431">
        <v>88267</v>
      </c>
      <c r="E1431">
        <v>9424</v>
      </c>
      <c r="F1431">
        <v>90</v>
      </c>
      <c r="G1431">
        <v>8100</v>
      </c>
      <c r="H1431">
        <v>16200</v>
      </c>
      <c r="I1431">
        <v>6532</v>
      </c>
      <c r="J1431">
        <v>0</v>
      </c>
      <c r="K1431">
        <v>0</v>
      </c>
      <c r="L1431">
        <v>1</v>
      </c>
      <c r="M1431">
        <v>0</v>
      </c>
      <c r="N1431" t="s">
        <v>17</v>
      </c>
      <c r="O1431" s="1">
        <f>result[[#This Row],[n_killed_mutants_cumulativa]]/result[[#This Row],[tot_mutants]]</f>
        <v>0</v>
      </c>
    </row>
    <row r="1432" spans="1:16" hidden="1" x14ac:dyDescent="0.25">
      <c r="A1432" t="s">
        <v>215</v>
      </c>
      <c r="B1432" t="s">
        <v>30</v>
      </c>
      <c r="C1432" t="s">
        <v>16</v>
      </c>
      <c r="D1432">
        <v>108398</v>
      </c>
      <c r="E1432">
        <v>11701</v>
      </c>
      <c r="F1432">
        <v>100</v>
      </c>
      <c r="G1432">
        <v>10000</v>
      </c>
      <c r="H1432">
        <v>20000</v>
      </c>
      <c r="I1432">
        <v>7928</v>
      </c>
      <c r="J1432">
        <v>0</v>
      </c>
      <c r="K1432">
        <v>0</v>
      </c>
      <c r="L1432">
        <v>1</v>
      </c>
      <c r="M1432">
        <v>0</v>
      </c>
      <c r="N1432" t="s">
        <v>17</v>
      </c>
      <c r="O1432" s="1">
        <f>result[[#This Row],[n_killed_mutants_cumulativa]]/result[[#This Row],[tot_mutants]]</f>
        <v>0</v>
      </c>
    </row>
    <row r="1433" spans="1:16" hidden="1" x14ac:dyDescent="0.25">
      <c r="A1433" t="s">
        <v>215</v>
      </c>
      <c r="B1433" t="s">
        <v>31</v>
      </c>
      <c r="C1433" t="s">
        <v>16</v>
      </c>
      <c r="D1433">
        <v>128912</v>
      </c>
      <c r="E1433">
        <v>14087</v>
      </c>
      <c r="F1433">
        <v>110</v>
      </c>
      <c r="G1433">
        <v>12100</v>
      </c>
      <c r="H1433">
        <v>24200</v>
      </c>
      <c r="I1433">
        <v>9156</v>
      </c>
      <c r="J1433">
        <v>0</v>
      </c>
      <c r="K1433">
        <v>0</v>
      </c>
      <c r="L1433">
        <v>1</v>
      </c>
      <c r="M1433">
        <v>0</v>
      </c>
      <c r="N1433" t="s">
        <v>17</v>
      </c>
      <c r="O1433" s="1">
        <f>result[[#This Row],[n_killed_mutants_cumulativa]]/result[[#This Row],[tot_mutants]]</f>
        <v>0</v>
      </c>
    </row>
    <row r="1434" spans="1:16" hidden="1" x14ac:dyDescent="0.25">
      <c r="A1434" t="s">
        <v>215</v>
      </c>
      <c r="B1434" t="s">
        <v>36</v>
      </c>
      <c r="C1434" t="s">
        <v>16</v>
      </c>
      <c r="D1434">
        <v>151124</v>
      </c>
      <c r="E1434">
        <v>16723</v>
      </c>
      <c r="F1434">
        <v>120</v>
      </c>
      <c r="G1434">
        <v>14400</v>
      </c>
      <c r="H1434">
        <v>28800</v>
      </c>
      <c r="I1434">
        <v>10462</v>
      </c>
      <c r="J1434">
        <v>0</v>
      </c>
      <c r="K1434">
        <v>0</v>
      </c>
      <c r="L1434">
        <v>1</v>
      </c>
      <c r="M1434">
        <v>0</v>
      </c>
      <c r="N1434" t="s">
        <v>17</v>
      </c>
      <c r="O1434" s="1">
        <f>result[[#This Row],[n_killed_mutants_cumulativa]]/result[[#This Row],[tot_mutants]]</f>
        <v>0</v>
      </c>
    </row>
    <row r="1435" spans="1:16" hidden="1" x14ac:dyDescent="0.25">
      <c r="A1435" t="s">
        <v>215</v>
      </c>
      <c r="B1435" t="s">
        <v>22</v>
      </c>
      <c r="C1435" t="s">
        <v>16</v>
      </c>
      <c r="D1435">
        <v>724252</v>
      </c>
      <c r="E1435">
        <v>77750</v>
      </c>
      <c r="F1435">
        <v>780</v>
      </c>
      <c r="G1435">
        <v>65000</v>
      </c>
      <c r="H1435">
        <v>130000</v>
      </c>
      <c r="I1435">
        <v>55714</v>
      </c>
      <c r="J1435">
        <v>0</v>
      </c>
      <c r="K1435">
        <v>0</v>
      </c>
      <c r="L1435">
        <v>1</v>
      </c>
      <c r="M1435">
        <v>0</v>
      </c>
      <c r="N1435" t="s">
        <v>17</v>
      </c>
      <c r="O1435" s="1">
        <f>result[[#This Row],[n_killed_mutants_cumulativa]]/result[[#This Row],[tot_mutants]]</f>
        <v>0</v>
      </c>
      <c r="P1435" s="9" t="s">
        <v>346</v>
      </c>
    </row>
    <row r="1436" spans="1:16" hidden="1" x14ac:dyDescent="0.25">
      <c r="A1436" t="s">
        <v>216</v>
      </c>
      <c r="B1436" t="s">
        <v>15</v>
      </c>
      <c r="C1436" t="s">
        <v>16</v>
      </c>
      <c r="D1436">
        <v>2306</v>
      </c>
      <c r="E1436">
        <v>617</v>
      </c>
      <c r="F1436">
        <v>0</v>
      </c>
      <c r="G1436">
        <v>0</v>
      </c>
      <c r="H1436">
        <v>0</v>
      </c>
      <c r="I1436">
        <v>0</v>
      </c>
      <c r="J1436">
        <v>10</v>
      </c>
      <c r="K1436">
        <v>0</v>
      </c>
      <c r="L1436">
        <v>14</v>
      </c>
      <c r="M1436">
        <v>0</v>
      </c>
      <c r="N1436" t="s">
        <v>17</v>
      </c>
      <c r="O1436" s="1">
        <f>result[[#This Row],[n_killed_mutants_cumulativa]]/result[[#This Row],[tot_mutants]]</f>
        <v>0</v>
      </c>
    </row>
    <row r="1437" spans="1:16" hidden="1" x14ac:dyDescent="0.25">
      <c r="A1437" t="s">
        <v>216</v>
      </c>
      <c r="B1437" t="s">
        <v>18</v>
      </c>
      <c r="C1437" t="s">
        <v>16</v>
      </c>
      <c r="D1437">
        <v>2586</v>
      </c>
      <c r="E1437">
        <v>1417</v>
      </c>
      <c r="F1437">
        <v>0</v>
      </c>
      <c r="G1437">
        <v>0</v>
      </c>
      <c r="H1437">
        <v>0</v>
      </c>
      <c r="I1437">
        <v>0</v>
      </c>
      <c r="J1437">
        <v>20</v>
      </c>
      <c r="K1437">
        <v>0</v>
      </c>
      <c r="L1437">
        <v>14</v>
      </c>
      <c r="M1437">
        <v>0</v>
      </c>
      <c r="N1437" t="s">
        <v>17</v>
      </c>
      <c r="O1437" s="1">
        <f>result[[#This Row],[n_killed_mutants_cumulativa]]/result[[#This Row],[tot_mutants]]</f>
        <v>0</v>
      </c>
    </row>
    <row r="1438" spans="1:16" hidden="1" x14ac:dyDescent="0.25">
      <c r="A1438" t="s">
        <v>216</v>
      </c>
      <c r="B1438" t="s">
        <v>19</v>
      </c>
      <c r="C1438" t="s">
        <v>16</v>
      </c>
      <c r="D1438">
        <v>4052</v>
      </c>
      <c r="E1438">
        <v>2492</v>
      </c>
      <c r="F1438">
        <v>0</v>
      </c>
      <c r="G1438">
        <v>0</v>
      </c>
      <c r="H1438">
        <v>0</v>
      </c>
      <c r="I1438">
        <v>0</v>
      </c>
      <c r="J1438">
        <v>30</v>
      </c>
      <c r="K1438">
        <v>0</v>
      </c>
      <c r="L1438">
        <v>14</v>
      </c>
      <c r="M1438">
        <v>0</v>
      </c>
      <c r="N1438" t="s">
        <v>17</v>
      </c>
      <c r="O1438" s="1">
        <f>result[[#This Row],[n_killed_mutants_cumulativa]]/result[[#This Row],[tot_mutants]]</f>
        <v>0</v>
      </c>
    </row>
    <row r="1439" spans="1:16" hidden="1" x14ac:dyDescent="0.25">
      <c r="A1439" t="s">
        <v>216</v>
      </c>
      <c r="B1439" t="s">
        <v>20</v>
      </c>
      <c r="C1439" t="s">
        <v>16</v>
      </c>
      <c r="D1439">
        <v>7751</v>
      </c>
      <c r="E1439">
        <v>5790</v>
      </c>
      <c r="F1439">
        <v>0</v>
      </c>
      <c r="G1439">
        <v>0</v>
      </c>
      <c r="H1439">
        <v>0</v>
      </c>
      <c r="I1439">
        <v>0</v>
      </c>
      <c r="J1439">
        <v>40</v>
      </c>
      <c r="K1439">
        <v>0</v>
      </c>
      <c r="L1439">
        <v>14</v>
      </c>
      <c r="M1439">
        <v>0</v>
      </c>
      <c r="N1439" t="s">
        <v>17</v>
      </c>
      <c r="O1439" s="1">
        <f>result[[#This Row],[n_killed_mutants_cumulativa]]/result[[#This Row],[tot_mutants]]</f>
        <v>0</v>
      </c>
    </row>
    <row r="1440" spans="1:16" hidden="1" x14ac:dyDescent="0.25">
      <c r="A1440" t="s">
        <v>216</v>
      </c>
      <c r="B1440" t="s">
        <v>21</v>
      </c>
      <c r="C1440" t="s">
        <v>16</v>
      </c>
      <c r="D1440">
        <v>12844</v>
      </c>
      <c r="E1440">
        <v>10329</v>
      </c>
      <c r="F1440">
        <v>0</v>
      </c>
      <c r="G1440">
        <v>0</v>
      </c>
      <c r="H1440">
        <v>0</v>
      </c>
      <c r="I1440">
        <v>0</v>
      </c>
      <c r="J1440">
        <v>50</v>
      </c>
      <c r="K1440">
        <v>0</v>
      </c>
      <c r="L1440">
        <v>14</v>
      </c>
      <c r="M1440">
        <v>0</v>
      </c>
      <c r="N1440" t="s">
        <v>17</v>
      </c>
      <c r="O1440" s="1">
        <f>result[[#This Row],[n_killed_mutants_cumulativa]]/result[[#This Row],[tot_mutants]]</f>
        <v>0</v>
      </c>
    </row>
    <row r="1441" spans="1:15" hidden="1" x14ac:dyDescent="0.25">
      <c r="A1441" t="s">
        <v>216</v>
      </c>
      <c r="B1441" t="s">
        <v>22</v>
      </c>
      <c r="C1441" t="s">
        <v>16</v>
      </c>
      <c r="D1441">
        <v>29539</v>
      </c>
      <c r="E1441">
        <v>20645</v>
      </c>
      <c r="F1441">
        <v>0</v>
      </c>
      <c r="G1441">
        <v>0</v>
      </c>
      <c r="H1441">
        <v>0</v>
      </c>
      <c r="I1441">
        <v>0</v>
      </c>
      <c r="J1441">
        <v>150</v>
      </c>
      <c r="K1441">
        <v>0</v>
      </c>
      <c r="L1441">
        <v>14</v>
      </c>
      <c r="M1441">
        <v>0</v>
      </c>
      <c r="N1441" t="s">
        <v>17</v>
      </c>
      <c r="O1441" s="1">
        <f>result[[#This Row],[n_killed_mutants_cumulativa]]/result[[#This Row],[tot_mutants]]</f>
        <v>0</v>
      </c>
    </row>
    <row r="1442" spans="1:15" hidden="1" x14ac:dyDescent="0.25">
      <c r="A1442" t="s">
        <v>217</v>
      </c>
      <c r="B1442" t="s">
        <v>15</v>
      </c>
      <c r="C1442" t="s">
        <v>16</v>
      </c>
      <c r="D1442">
        <v>2323</v>
      </c>
      <c r="E1442">
        <v>688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10</v>
      </c>
      <c r="L1442">
        <v>2</v>
      </c>
      <c r="M1442">
        <v>0</v>
      </c>
      <c r="N1442" t="s">
        <v>17</v>
      </c>
      <c r="O1442" s="1">
        <f>result[[#This Row],[n_killed_mutants_cumulativa]]/result[[#This Row],[tot_mutants]]</f>
        <v>0</v>
      </c>
    </row>
    <row r="1443" spans="1:15" hidden="1" x14ac:dyDescent="0.25">
      <c r="A1443" t="s">
        <v>217</v>
      </c>
      <c r="B1443" t="s">
        <v>18</v>
      </c>
      <c r="C1443" t="s">
        <v>16</v>
      </c>
      <c r="D1443">
        <v>2787</v>
      </c>
      <c r="E1443">
        <v>1768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20</v>
      </c>
      <c r="L1443">
        <v>2</v>
      </c>
      <c r="M1443">
        <v>0</v>
      </c>
      <c r="N1443" t="s">
        <v>17</v>
      </c>
      <c r="O1443" s="1">
        <f>result[[#This Row],[n_killed_mutants_cumulativa]]/result[[#This Row],[tot_mutants]]</f>
        <v>0</v>
      </c>
    </row>
    <row r="1444" spans="1:15" hidden="1" x14ac:dyDescent="0.25">
      <c r="A1444" t="s">
        <v>217</v>
      </c>
      <c r="B1444" t="s">
        <v>19</v>
      </c>
      <c r="C1444" t="s">
        <v>16</v>
      </c>
      <c r="D1444">
        <v>3715</v>
      </c>
      <c r="E1444">
        <v>2645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30</v>
      </c>
      <c r="L1444">
        <v>2</v>
      </c>
      <c r="M1444">
        <v>0</v>
      </c>
      <c r="N1444" t="s">
        <v>17</v>
      </c>
      <c r="O1444" s="1">
        <f>result[[#This Row],[n_killed_mutants_cumulativa]]/result[[#This Row],[tot_mutants]]</f>
        <v>0</v>
      </c>
    </row>
    <row r="1445" spans="1:15" hidden="1" x14ac:dyDescent="0.25">
      <c r="A1445" t="s">
        <v>217</v>
      </c>
      <c r="B1445" t="s">
        <v>20</v>
      </c>
      <c r="C1445" t="s">
        <v>16</v>
      </c>
      <c r="D1445">
        <v>7488</v>
      </c>
      <c r="E1445">
        <v>6032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40</v>
      </c>
      <c r="L1445">
        <v>2</v>
      </c>
      <c r="M1445">
        <v>0</v>
      </c>
      <c r="N1445" t="s">
        <v>17</v>
      </c>
      <c r="O1445" s="1">
        <f>result[[#This Row],[n_killed_mutants_cumulativa]]/result[[#This Row],[tot_mutants]]</f>
        <v>0</v>
      </c>
    </row>
    <row r="1446" spans="1:15" hidden="1" x14ac:dyDescent="0.25">
      <c r="A1446" t="s">
        <v>217</v>
      </c>
      <c r="B1446" t="s">
        <v>21</v>
      </c>
      <c r="C1446" t="s">
        <v>16</v>
      </c>
      <c r="D1446">
        <v>11867</v>
      </c>
      <c r="E1446">
        <v>10018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50</v>
      </c>
      <c r="L1446">
        <v>2</v>
      </c>
      <c r="M1446">
        <v>0</v>
      </c>
      <c r="N1446" t="s">
        <v>17</v>
      </c>
      <c r="O1446" s="1">
        <f>result[[#This Row],[n_killed_mutants_cumulativa]]/result[[#This Row],[tot_mutants]]</f>
        <v>0</v>
      </c>
    </row>
    <row r="1447" spans="1:15" hidden="1" x14ac:dyDescent="0.25">
      <c r="A1447" t="s">
        <v>217</v>
      </c>
      <c r="B1447" t="s">
        <v>22</v>
      </c>
      <c r="C1447" t="s">
        <v>16</v>
      </c>
      <c r="D1447">
        <v>28180</v>
      </c>
      <c r="E1447">
        <v>21151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150</v>
      </c>
      <c r="L1447">
        <v>2</v>
      </c>
      <c r="M1447">
        <v>0</v>
      </c>
      <c r="N1447" t="s">
        <v>17</v>
      </c>
      <c r="O1447" s="1">
        <f>result[[#This Row],[n_killed_mutants_cumulativa]]/result[[#This Row],[tot_mutants]]</f>
        <v>0</v>
      </c>
    </row>
    <row r="1448" spans="1:15" hidden="1" x14ac:dyDescent="0.25">
      <c r="A1448" t="s">
        <v>218</v>
      </c>
      <c r="B1448" t="s">
        <v>15</v>
      </c>
      <c r="C1448" t="s">
        <v>16</v>
      </c>
      <c r="D1448">
        <v>3353</v>
      </c>
      <c r="E1448">
        <v>215</v>
      </c>
      <c r="F1448">
        <v>10</v>
      </c>
      <c r="G1448">
        <v>100</v>
      </c>
      <c r="H1448">
        <v>100</v>
      </c>
      <c r="I1448">
        <v>220</v>
      </c>
      <c r="J1448">
        <v>0</v>
      </c>
      <c r="K1448">
        <v>0</v>
      </c>
      <c r="L1448">
        <v>2</v>
      </c>
      <c r="M1448">
        <v>0</v>
      </c>
      <c r="N1448" t="s">
        <v>17</v>
      </c>
      <c r="O1448" s="1">
        <f>result[[#This Row],[n_killed_mutants_cumulativa]]/result[[#This Row],[tot_mutants]]</f>
        <v>0</v>
      </c>
    </row>
    <row r="1449" spans="1:15" hidden="1" x14ac:dyDescent="0.25">
      <c r="A1449" t="s">
        <v>218</v>
      </c>
      <c r="B1449" t="s">
        <v>18</v>
      </c>
      <c r="C1449" t="s">
        <v>16</v>
      </c>
      <c r="D1449">
        <v>2828</v>
      </c>
      <c r="E1449">
        <v>129</v>
      </c>
      <c r="F1449">
        <v>20</v>
      </c>
      <c r="G1449">
        <v>400</v>
      </c>
      <c r="H1449">
        <v>221</v>
      </c>
      <c r="I1449">
        <v>840</v>
      </c>
      <c r="J1449">
        <v>0</v>
      </c>
      <c r="K1449">
        <v>0</v>
      </c>
      <c r="L1449">
        <v>2</v>
      </c>
      <c r="M1449">
        <v>0</v>
      </c>
      <c r="N1449" t="s">
        <v>17</v>
      </c>
      <c r="O1449" s="1">
        <f>result[[#This Row],[n_killed_mutants_cumulativa]]/result[[#This Row],[tot_mutants]]</f>
        <v>0</v>
      </c>
    </row>
    <row r="1450" spans="1:15" hidden="1" x14ac:dyDescent="0.25">
      <c r="A1450" t="s">
        <v>218</v>
      </c>
      <c r="B1450" t="s">
        <v>19</v>
      </c>
      <c r="C1450" t="s">
        <v>16</v>
      </c>
      <c r="D1450">
        <v>3980</v>
      </c>
      <c r="E1450">
        <v>172</v>
      </c>
      <c r="F1450">
        <v>30</v>
      </c>
      <c r="G1450">
        <v>900</v>
      </c>
      <c r="H1450">
        <v>325</v>
      </c>
      <c r="I1450">
        <v>1860</v>
      </c>
      <c r="J1450">
        <v>0</v>
      </c>
      <c r="K1450">
        <v>0</v>
      </c>
      <c r="L1450">
        <v>2</v>
      </c>
      <c r="M1450">
        <v>0</v>
      </c>
      <c r="N1450" t="s">
        <v>17</v>
      </c>
      <c r="O1450" s="1">
        <f>result[[#This Row],[n_killed_mutants_cumulativa]]/result[[#This Row],[tot_mutants]]</f>
        <v>0</v>
      </c>
    </row>
    <row r="1451" spans="1:15" hidden="1" x14ac:dyDescent="0.25">
      <c r="A1451" t="s">
        <v>218</v>
      </c>
      <c r="B1451" t="s">
        <v>20</v>
      </c>
      <c r="C1451" t="s">
        <v>16</v>
      </c>
      <c r="D1451">
        <v>5153</v>
      </c>
      <c r="E1451">
        <v>152</v>
      </c>
      <c r="F1451">
        <v>40</v>
      </c>
      <c r="G1451">
        <v>1600</v>
      </c>
      <c r="H1451">
        <v>438</v>
      </c>
      <c r="I1451">
        <v>3280</v>
      </c>
      <c r="J1451">
        <v>0</v>
      </c>
      <c r="K1451">
        <v>0</v>
      </c>
      <c r="L1451">
        <v>2</v>
      </c>
      <c r="M1451">
        <v>0</v>
      </c>
      <c r="N1451" t="s">
        <v>17</v>
      </c>
      <c r="O1451" s="1">
        <f>result[[#This Row],[n_killed_mutants_cumulativa]]/result[[#This Row],[tot_mutants]]</f>
        <v>0</v>
      </c>
    </row>
    <row r="1452" spans="1:15" hidden="1" x14ac:dyDescent="0.25">
      <c r="A1452" t="s">
        <v>218</v>
      </c>
      <c r="B1452" t="s">
        <v>21</v>
      </c>
      <c r="C1452" t="s">
        <v>16</v>
      </c>
      <c r="D1452">
        <v>6750</v>
      </c>
      <c r="E1452">
        <v>209</v>
      </c>
      <c r="F1452">
        <v>50</v>
      </c>
      <c r="G1452">
        <v>2500</v>
      </c>
      <c r="H1452">
        <v>537</v>
      </c>
      <c r="I1452">
        <v>5100</v>
      </c>
      <c r="J1452">
        <v>0</v>
      </c>
      <c r="K1452">
        <v>0</v>
      </c>
      <c r="L1452">
        <v>2</v>
      </c>
      <c r="M1452">
        <v>0</v>
      </c>
      <c r="N1452" t="s">
        <v>17</v>
      </c>
      <c r="O1452" s="1">
        <f>result[[#This Row],[n_killed_mutants_cumulativa]]/result[[#This Row],[tot_mutants]]</f>
        <v>0</v>
      </c>
    </row>
    <row r="1453" spans="1:15" hidden="1" x14ac:dyDescent="0.25">
      <c r="A1453" t="s">
        <v>218</v>
      </c>
      <c r="B1453" t="s">
        <v>24</v>
      </c>
      <c r="C1453" t="s">
        <v>16</v>
      </c>
      <c r="D1453">
        <v>9144</v>
      </c>
      <c r="E1453">
        <v>192</v>
      </c>
      <c r="F1453">
        <v>60</v>
      </c>
      <c r="G1453">
        <v>3600</v>
      </c>
      <c r="H1453">
        <v>649</v>
      </c>
      <c r="I1453">
        <v>7320</v>
      </c>
      <c r="J1453">
        <v>0</v>
      </c>
      <c r="K1453">
        <v>0</v>
      </c>
      <c r="L1453">
        <v>2</v>
      </c>
      <c r="M1453">
        <v>0</v>
      </c>
      <c r="N1453" t="s">
        <v>17</v>
      </c>
      <c r="O1453" s="1">
        <f>result[[#This Row],[n_killed_mutants_cumulativa]]/result[[#This Row],[tot_mutants]]</f>
        <v>0</v>
      </c>
    </row>
    <row r="1454" spans="1:15" hidden="1" x14ac:dyDescent="0.25">
      <c r="A1454" t="s">
        <v>218</v>
      </c>
      <c r="B1454" t="s">
        <v>25</v>
      </c>
      <c r="C1454" t="s">
        <v>16</v>
      </c>
      <c r="D1454">
        <v>11406</v>
      </c>
      <c r="E1454">
        <v>226</v>
      </c>
      <c r="F1454">
        <v>70</v>
      </c>
      <c r="G1454">
        <v>4900</v>
      </c>
      <c r="H1454">
        <v>762</v>
      </c>
      <c r="I1454">
        <v>9940</v>
      </c>
      <c r="J1454">
        <v>0</v>
      </c>
      <c r="K1454">
        <v>0</v>
      </c>
      <c r="L1454">
        <v>2</v>
      </c>
      <c r="M1454">
        <v>0</v>
      </c>
      <c r="N1454" t="s">
        <v>17</v>
      </c>
      <c r="O1454" s="1">
        <f>result[[#This Row],[n_killed_mutants_cumulativa]]/result[[#This Row],[tot_mutants]]</f>
        <v>0</v>
      </c>
    </row>
    <row r="1455" spans="1:15" hidden="1" x14ac:dyDescent="0.25">
      <c r="A1455" t="s">
        <v>218</v>
      </c>
      <c r="B1455" t="s">
        <v>26</v>
      </c>
      <c r="C1455" t="s">
        <v>16</v>
      </c>
      <c r="D1455">
        <v>14711</v>
      </c>
      <c r="E1455">
        <v>341</v>
      </c>
      <c r="F1455">
        <v>80</v>
      </c>
      <c r="G1455">
        <v>6400</v>
      </c>
      <c r="H1455">
        <v>882</v>
      </c>
      <c r="I1455">
        <v>12960</v>
      </c>
      <c r="J1455">
        <v>0</v>
      </c>
      <c r="K1455">
        <v>0</v>
      </c>
      <c r="L1455">
        <v>2</v>
      </c>
      <c r="M1455">
        <v>0</v>
      </c>
      <c r="N1455" t="s">
        <v>17</v>
      </c>
      <c r="O1455" s="1">
        <f>result[[#This Row],[n_killed_mutants_cumulativa]]/result[[#This Row],[tot_mutants]]</f>
        <v>0</v>
      </c>
    </row>
    <row r="1456" spans="1:15" hidden="1" x14ac:dyDescent="0.25">
      <c r="A1456" t="s">
        <v>218</v>
      </c>
      <c r="B1456" t="s">
        <v>27</v>
      </c>
      <c r="C1456" t="s">
        <v>16</v>
      </c>
      <c r="D1456">
        <v>17842</v>
      </c>
      <c r="E1456">
        <v>315</v>
      </c>
      <c r="F1456">
        <v>90</v>
      </c>
      <c r="G1456">
        <v>8100</v>
      </c>
      <c r="H1456">
        <v>982</v>
      </c>
      <c r="I1456">
        <v>16380</v>
      </c>
      <c r="J1456">
        <v>0</v>
      </c>
      <c r="K1456">
        <v>0</v>
      </c>
      <c r="L1456">
        <v>2</v>
      </c>
      <c r="M1456">
        <v>0</v>
      </c>
      <c r="N1456" t="s">
        <v>17</v>
      </c>
      <c r="O1456" s="1">
        <f>result[[#This Row],[n_killed_mutants_cumulativa]]/result[[#This Row],[tot_mutants]]</f>
        <v>0</v>
      </c>
    </row>
    <row r="1457" spans="1:16" hidden="1" x14ac:dyDescent="0.25">
      <c r="A1457" t="s">
        <v>218</v>
      </c>
      <c r="B1457" t="s">
        <v>30</v>
      </c>
      <c r="C1457" t="s">
        <v>16</v>
      </c>
      <c r="D1457">
        <v>21694</v>
      </c>
      <c r="E1457">
        <v>353</v>
      </c>
      <c r="F1457">
        <v>100</v>
      </c>
      <c r="G1457">
        <v>10000</v>
      </c>
      <c r="H1457">
        <v>1061</v>
      </c>
      <c r="I1457">
        <v>20200</v>
      </c>
      <c r="J1457">
        <v>0</v>
      </c>
      <c r="K1457">
        <v>0</v>
      </c>
      <c r="L1457">
        <v>2</v>
      </c>
      <c r="M1457">
        <v>0</v>
      </c>
      <c r="N1457" t="s">
        <v>17</v>
      </c>
      <c r="O1457" s="1">
        <f>result[[#This Row],[n_killed_mutants_cumulativa]]/result[[#This Row],[tot_mutants]]</f>
        <v>0</v>
      </c>
    </row>
    <row r="1458" spans="1:16" hidden="1" x14ac:dyDescent="0.25">
      <c r="A1458" t="s">
        <v>218</v>
      </c>
      <c r="B1458" t="s">
        <v>31</v>
      </c>
      <c r="C1458" t="s">
        <v>16</v>
      </c>
      <c r="D1458">
        <v>26236</v>
      </c>
      <c r="E1458">
        <v>410</v>
      </c>
      <c r="F1458">
        <v>110</v>
      </c>
      <c r="G1458">
        <v>12100</v>
      </c>
      <c r="H1458">
        <v>1204</v>
      </c>
      <c r="I1458">
        <v>24420</v>
      </c>
      <c r="J1458">
        <v>0</v>
      </c>
      <c r="K1458">
        <v>0</v>
      </c>
      <c r="L1458">
        <v>2</v>
      </c>
      <c r="M1458">
        <v>0</v>
      </c>
      <c r="N1458" t="s">
        <v>17</v>
      </c>
      <c r="O1458" s="1">
        <f>result[[#This Row],[n_killed_mutants_cumulativa]]/result[[#This Row],[tot_mutants]]</f>
        <v>0</v>
      </c>
    </row>
    <row r="1459" spans="1:16" hidden="1" x14ac:dyDescent="0.25">
      <c r="A1459" t="s">
        <v>218</v>
      </c>
      <c r="B1459" t="s">
        <v>36</v>
      </c>
      <c r="C1459" t="s">
        <v>16</v>
      </c>
      <c r="D1459">
        <v>31107</v>
      </c>
      <c r="E1459">
        <v>456</v>
      </c>
      <c r="F1459">
        <v>120</v>
      </c>
      <c r="G1459">
        <v>14400</v>
      </c>
      <c r="H1459">
        <v>1298</v>
      </c>
      <c r="I1459">
        <v>29040</v>
      </c>
      <c r="J1459">
        <v>0</v>
      </c>
      <c r="K1459">
        <v>0</v>
      </c>
      <c r="L1459">
        <v>2</v>
      </c>
      <c r="M1459">
        <v>0</v>
      </c>
      <c r="N1459" t="s">
        <v>17</v>
      </c>
      <c r="O1459" s="1">
        <f>result[[#This Row],[n_killed_mutants_cumulativa]]/result[[#This Row],[tot_mutants]]</f>
        <v>0</v>
      </c>
    </row>
    <row r="1460" spans="1:16" hidden="1" x14ac:dyDescent="0.25">
      <c r="A1460" t="s">
        <v>218</v>
      </c>
      <c r="B1460" t="s">
        <v>40</v>
      </c>
      <c r="C1460" t="s">
        <v>16</v>
      </c>
      <c r="D1460">
        <v>36795</v>
      </c>
      <c r="E1460">
        <v>512</v>
      </c>
      <c r="F1460">
        <v>130</v>
      </c>
      <c r="G1460">
        <v>16900</v>
      </c>
      <c r="H1460">
        <v>1418</v>
      </c>
      <c r="I1460">
        <v>34060</v>
      </c>
      <c r="J1460">
        <v>0</v>
      </c>
      <c r="K1460">
        <v>0</v>
      </c>
      <c r="L1460">
        <v>2</v>
      </c>
      <c r="M1460">
        <v>0</v>
      </c>
      <c r="N1460" t="s">
        <v>17</v>
      </c>
      <c r="O1460" s="1">
        <f>result[[#This Row],[n_killed_mutants_cumulativa]]/result[[#This Row],[tot_mutants]]</f>
        <v>0</v>
      </c>
    </row>
    <row r="1461" spans="1:16" hidden="1" x14ac:dyDescent="0.25">
      <c r="A1461" t="s">
        <v>218</v>
      </c>
      <c r="B1461" t="s">
        <v>47</v>
      </c>
      <c r="C1461" t="s">
        <v>16</v>
      </c>
      <c r="D1461">
        <v>42937</v>
      </c>
      <c r="E1461">
        <v>581</v>
      </c>
      <c r="F1461">
        <v>140</v>
      </c>
      <c r="G1461">
        <v>19600</v>
      </c>
      <c r="H1461">
        <v>1523</v>
      </c>
      <c r="I1461">
        <v>39480</v>
      </c>
      <c r="J1461">
        <v>0</v>
      </c>
      <c r="K1461">
        <v>0</v>
      </c>
      <c r="L1461">
        <v>2</v>
      </c>
      <c r="M1461">
        <v>0</v>
      </c>
      <c r="N1461" t="s">
        <v>17</v>
      </c>
      <c r="O1461" s="1">
        <f>result[[#This Row],[n_killed_mutants_cumulativa]]/result[[#This Row],[tot_mutants]]</f>
        <v>0</v>
      </c>
    </row>
    <row r="1462" spans="1:16" hidden="1" x14ac:dyDescent="0.25">
      <c r="A1462" t="s">
        <v>218</v>
      </c>
      <c r="B1462" t="s">
        <v>48</v>
      </c>
      <c r="C1462" t="s">
        <v>16</v>
      </c>
      <c r="D1462">
        <v>50868</v>
      </c>
      <c r="E1462">
        <v>607</v>
      </c>
      <c r="F1462">
        <v>150</v>
      </c>
      <c r="G1462">
        <v>22500</v>
      </c>
      <c r="H1462">
        <v>1622</v>
      </c>
      <c r="I1462">
        <v>45300</v>
      </c>
      <c r="J1462">
        <v>0</v>
      </c>
      <c r="K1462">
        <v>0</v>
      </c>
      <c r="L1462">
        <v>2</v>
      </c>
      <c r="M1462">
        <v>0</v>
      </c>
      <c r="N1462" t="s">
        <v>17</v>
      </c>
      <c r="O1462" s="1">
        <f>result[[#This Row],[n_killed_mutants_cumulativa]]/result[[#This Row],[tot_mutants]]</f>
        <v>0</v>
      </c>
    </row>
    <row r="1463" spans="1:16" hidden="1" x14ac:dyDescent="0.25">
      <c r="A1463" t="s">
        <v>218</v>
      </c>
      <c r="B1463" t="s">
        <v>49</v>
      </c>
      <c r="C1463" t="s">
        <v>16</v>
      </c>
      <c r="D1463">
        <v>58298</v>
      </c>
      <c r="E1463">
        <v>659</v>
      </c>
      <c r="F1463">
        <v>160</v>
      </c>
      <c r="G1463">
        <v>25600</v>
      </c>
      <c r="H1463">
        <v>1741</v>
      </c>
      <c r="I1463">
        <v>51520</v>
      </c>
      <c r="J1463">
        <v>0</v>
      </c>
      <c r="K1463">
        <v>0</v>
      </c>
      <c r="L1463">
        <v>2</v>
      </c>
      <c r="M1463">
        <v>0</v>
      </c>
      <c r="N1463" t="s">
        <v>17</v>
      </c>
      <c r="O1463" s="1">
        <f>result[[#This Row],[n_killed_mutants_cumulativa]]/result[[#This Row],[tot_mutants]]</f>
        <v>0</v>
      </c>
    </row>
    <row r="1464" spans="1:16" hidden="1" x14ac:dyDescent="0.25">
      <c r="A1464" t="s">
        <v>218</v>
      </c>
      <c r="B1464" t="s">
        <v>50</v>
      </c>
      <c r="C1464" t="s">
        <v>16</v>
      </c>
      <c r="D1464">
        <v>66959</v>
      </c>
      <c r="E1464">
        <v>721</v>
      </c>
      <c r="F1464">
        <v>170</v>
      </c>
      <c r="G1464">
        <v>28900</v>
      </c>
      <c r="H1464">
        <v>1855</v>
      </c>
      <c r="I1464">
        <v>58140</v>
      </c>
      <c r="J1464">
        <v>0</v>
      </c>
      <c r="K1464">
        <v>0</v>
      </c>
      <c r="L1464">
        <v>2</v>
      </c>
      <c r="M1464">
        <v>0</v>
      </c>
      <c r="N1464" t="s">
        <v>17</v>
      </c>
      <c r="O1464" s="1">
        <f>result[[#This Row],[n_killed_mutants_cumulativa]]/result[[#This Row],[tot_mutants]]</f>
        <v>0</v>
      </c>
    </row>
    <row r="1465" spans="1:16" hidden="1" x14ac:dyDescent="0.25">
      <c r="A1465" t="s">
        <v>218</v>
      </c>
      <c r="B1465" t="s">
        <v>51</v>
      </c>
      <c r="C1465" t="s">
        <v>16</v>
      </c>
      <c r="D1465">
        <v>76131</v>
      </c>
      <c r="E1465">
        <v>783</v>
      </c>
      <c r="F1465">
        <v>180</v>
      </c>
      <c r="G1465">
        <v>32400</v>
      </c>
      <c r="H1465">
        <v>1949</v>
      </c>
      <c r="I1465">
        <v>65160</v>
      </c>
      <c r="J1465">
        <v>0</v>
      </c>
      <c r="K1465">
        <v>0</v>
      </c>
      <c r="L1465">
        <v>2</v>
      </c>
      <c r="M1465">
        <v>0</v>
      </c>
      <c r="N1465" t="s">
        <v>17</v>
      </c>
      <c r="O1465" s="1">
        <f>result[[#This Row],[n_killed_mutants_cumulativa]]/result[[#This Row],[tot_mutants]]</f>
        <v>0</v>
      </c>
    </row>
    <row r="1466" spans="1:16" hidden="1" x14ac:dyDescent="0.25">
      <c r="A1466" t="s">
        <v>218</v>
      </c>
      <c r="B1466" t="s">
        <v>52</v>
      </c>
      <c r="C1466" t="s">
        <v>16</v>
      </c>
      <c r="D1466">
        <v>85833</v>
      </c>
      <c r="E1466">
        <v>874</v>
      </c>
      <c r="F1466">
        <v>190</v>
      </c>
      <c r="G1466">
        <v>36100</v>
      </c>
      <c r="H1466">
        <v>2032</v>
      </c>
      <c r="I1466">
        <v>72580</v>
      </c>
      <c r="J1466">
        <v>0</v>
      </c>
      <c r="K1466">
        <v>0</v>
      </c>
      <c r="L1466">
        <v>2</v>
      </c>
      <c r="M1466">
        <v>0</v>
      </c>
      <c r="N1466" t="s">
        <v>17</v>
      </c>
      <c r="O1466" s="1">
        <f>result[[#This Row],[n_killed_mutants_cumulativa]]/result[[#This Row],[tot_mutants]]</f>
        <v>0</v>
      </c>
    </row>
    <row r="1467" spans="1:16" hidden="1" x14ac:dyDescent="0.25">
      <c r="A1467" t="s">
        <v>218</v>
      </c>
      <c r="B1467" t="s">
        <v>53</v>
      </c>
      <c r="C1467" t="s">
        <v>16</v>
      </c>
      <c r="D1467">
        <v>96882</v>
      </c>
      <c r="E1467">
        <v>926</v>
      </c>
      <c r="F1467">
        <v>200</v>
      </c>
      <c r="G1467">
        <v>40000</v>
      </c>
      <c r="H1467">
        <v>2177</v>
      </c>
      <c r="I1467">
        <v>80400</v>
      </c>
      <c r="J1467">
        <v>0</v>
      </c>
      <c r="K1467">
        <v>0</v>
      </c>
      <c r="L1467">
        <v>2</v>
      </c>
      <c r="M1467">
        <v>0</v>
      </c>
      <c r="N1467" t="s">
        <v>17</v>
      </c>
      <c r="O1467" s="1">
        <f>result[[#This Row],[n_killed_mutants_cumulativa]]/result[[#This Row],[tot_mutants]]</f>
        <v>0</v>
      </c>
    </row>
    <row r="1468" spans="1:16" hidden="1" x14ac:dyDescent="0.25">
      <c r="A1468" t="s">
        <v>218</v>
      </c>
      <c r="B1468" t="s">
        <v>22</v>
      </c>
      <c r="C1468" t="s">
        <v>16</v>
      </c>
      <c r="D1468">
        <v>668907</v>
      </c>
      <c r="E1468">
        <v>8833</v>
      </c>
      <c r="F1468">
        <v>2100</v>
      </c>
      <c r="G1468">
        <v>287000</v>
      </c>
      <c r="H1468">
        <v>22776</v>
      </c>
      <c r="I1468">
        <v>578200</v>
      </c>
      <c r="J1468">
        <v>0</v>
      </c>
      <c r="K1468">
        <v>0</v>
      </c>
      <c r="L1468">
        <v>2</v>
      </c>
      <c r="M1468">
        <v>0</v>
      </c>
      <c r="N1468" t="s">
        <v>17</v>
      </c>
      <c r="O1468" s="1">
        <f>result[[#This Row],[n_killed_mutants_cumulativa]]/result[[#This Row],[tot_mutants]]</f>
        <v>0</v>
      </c>
      <c r="P1468" s="9" t="s">
        <v>346</v>
      </c>
    </row>
    <row r="1469" spans="1:16" hidden="1" x14ac:dyDescent="0.25">
      <c r="A1469" t="s">
        <v>219</v>
      </c>
      <c r="B1469" t="s">
        <v>15</v>
      </c>
      <c r="C1469" t="s">
        <v>16</v>
      </c>
      <c r="D1469">
        <v>3591</v>
      </c>
      <c r="E1469">
        <v>983</v>
      </c>
      <c r="F1469">
        <v>0</v>
      </c>
      <c r="G1469">
        <v>0</v>
      </c>
      <c r="H1469">
        <v>0</v>
      </c>
      <c r="I1469">
        <v>0</v>
      </c>
      <c r="J1469">
        <v>10</v>
      </c>
      <c r="K1469">
        <v>0</v>
      </c>
      <c r="L1469">
        <v>32</v>
      </c>
      <c r="M1469">
        <v>0</v>
      </c>
      <c r="N1469" t="s">
        <v>17</v>
      </c>
      <c r="O1469" s="1">
        <f>result[[#This Row],[n_killed_mutants_cumulativa]]/result[[#This Row],[tot_mutants]]</f>
        <v>0</v>
      </c>
    </row>
    <row r="1470" spans="1:16" hidden="1" x14ac:dyDescent="0.25">
      <c r="A1470" t="s">
        <v>219</v>
      </c>
      <c r="B1470" t="s">
        <v>18</v>
      </c>
      <c r="C1470" t="s">
        <v>16</v>
      </c>
      <c r="D1470">
        <v>3612</v>
      </c>
      <c r="E1470">
        <v>1864</v>
      </c>
      <c r="F1470">
        <v>0</v>
      </c>
      <c r="G1470">
        <v>0</v>
      </c>
      <c r="H1470">
        <v>0</v>
      </c>
      <c r="I1470">
        <v>0</v>
      </c>
      <c r="J1470">
        <v>12</v>
      </c>
      <c r="K1470">
        <v>8</v>
      </c>
      <c r="L1470">
        <v>32</v>
      </c>
      <c r="M1470">
        <v>0</v>
      </c>
      <c r="N1470" t="s">
        <v>17</v>
      </c>
      <c r="O1470" s="1">
        <f>result[[#This Row],[n_killed_mutants_cumulativa]]/result[[#This Row],[tot_mutants]]</f>
        <v>0</v>
      </c>
    </row>
    <row r="1471" spans="1:16" hidden="1" x14ac:dyDescent="0.25">
      <c r="A1471" t="s">
        <v>219</v>
      </c>
      <c r="B1471" t="s">
        <v>19</v>
      </c>
      <c r="C1471" t="s">
        <v>16</v>
      </c>
      <c r="D1471">
        <v>5034</v>
      </c>
      <c r="E1471">
        <v>2685</v>
      </c>
      <c r="F1471">
        <v>0</v>
      </c>
      <c r="G1471">
        <v>0</v>
      </c>
      <c r="H1471">
        <v>0</v>
      </c>
      <c r="I1471">
        <v>0</v>
      </c>
      <c r="J1471">
        <v>18</v>
      </c>
      <c r="K1471">
        <v>12</v>
      </c>
      <c r="L1471">
        <v>32</v>
      </c>
      <c r="M1471">
        <v>0</v>
      </c>
      <c r="N1471" t="s">
        <v>17</v>
      </c>
      <c r="O1471" s="1">
        <f>result[[#This Row],[n_killed_mutants_cumulativa]]/result[[#This Row],[tot_mutants]]</f>
        <v>0</v>
      </c>
    </row>
    <row r="1472" spans="1:16" hidden="1" x14ac:dyDescent="0.25">
      <c r="A1472" t="s">
        <v>219</v>
      </c>
      <c r="B1472" t="s">
        <v>20</v>
      </c>
      <c r="C1472" t="s">
        <v>16</v>
      </c>
      <c r="D1472">
        <v>8629</v>
      </c>
      <c r="E1472">
        <v>5477</v>
      </c>
      <c r="F1472">
        <v>0</v>
      </c>
      <c r="G1472">
        <v>0</v>
      </c>
      <c r="H1472">
        <v>0</v>
      </c>
      <c r="I1472">
        <v>0</v>
      </c>
      <c r="J1472">
        <v>23</v>
      </c>
      <c r="K1472">
        <v>17</v>
      </c>
      <c r="L1472">
        <v>32</v>
      </c>
      <c r="M1472">
        <v>0</v>
      </c>
      <c r="N1472" t="s">
        <v>17</v>
      </c>
      <c r="O1472" s="1">
        <f>result[[#This Row],[n_killed_mutants_cumulativa]]/result[[#This Row],[tot_mutants]]</f>
        <v>0</v>
      </c>
    </row>
    <row r="1473" spans="1:15" hidden="1" x14ac:dyDescent="0.25">
      <c r="A1473" t="s">
        <v>219</v>
      </c>
      <c r="B1473" t="s">
        <v>21</v>
      </c>
      <c r="C1473" t="s">
        <v>16</v>
      </c>
      <c r="D1473">
        <v>11957</v>
      </c>
      <c r="E1473">
        <v>8305</v>
      </c>
      <c r="F1473">
        <v>0</v>
      </c>
      <c r="G1473">
        <v>0</v>
      </c>
      <c r="H1473">
        <v>0</v>
      </c>
      <c r="I1473">
        <v>0</v>
      </c>
      <c r="J1473">
        <v>17</v>
      </c>
      <c r="K1473">
        <v>32</v>
      </c>
      <c r="L1473">
        <v>32</v>
      </c>
      <c r="M1473">
        <v>0</v>
      </c>
      <c r="N1473" t="s">
        <v>17</v>
      </c>
      <c r="O1473" s="1">
        <f>result[[#This Row],[n_killed_mutants_cumulativa]]/result[[#This Row],[tot_mutants]]</f>
        <v>0</v>
      </c>
    </row>
    <row r="1474" spans="1:15" hidden="1" x14ac:dyDescent="0.25">
      <c r="A1474" t="s">
        <v>219</v>
      </c>
      <c r="B1474" t="s">
        <v>22</v>
      </c>
      <c r="C1474" t="s">
        <v>16</v>
      </c>
      <c r="D1474">
        <v>32823</v>
      </c>
      <c r="E1474">
        <v>19314</v>
      </c>
      <c r="F1474">
        <v>0</v>
      </c>
      <c r="G1474">
        <v>0</v>
      </c>
      <c r="H1474">
        <v>0</v>
      </c>
      <c r="I1474">
        <v>0</v>
      </c>
      <c r="J1474">
        <v>80</v>
      </c>
      <c r="K1474">
        <v>69</v>
      </c>
      <c r="L1474">
        <v>32</v>
      </c>
      <c r="M1474">
        <v>0</v>
      </c>
      <c r="N1474" t="s">
        <v>17</v>
      </c>
      <c r="O1474" s="1">
        <f>result[[#This Row],[n_killed_mutants_cumulativa]]/result[[#This Row],[tot_mutants]]</f>
        <v>0</v>
      </c>
    </row>
    <row r="1475" spans="1:15" hidden="1" x14ac:dyDescent="0.25">
      <c r="A1475" t="s">
        <v>220</v>
      </c>
      <c r="B1475" t="s">
        <v>15</v>
      </c>
      <c r="C1475" t="s">
        <v>16</v>
      </c>
      <c r="D1475">
        <v>204</v>
      </c>
      <c r="E1475">
        <v>92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13</v>
      </c>
      <c r="M1475">
        <v>0</v>
      </c>
      <c r="N1475" t="s">
        <v>17</v>
      </c>
      <c r="O1475" s="1">
        <f>result[[#This Row],[n_killed_mutants_cumulativa]]/result[[#This Row],[tot_mutants]]</f>
        <v>0</v>
      </c>
    </row>
    <row r="1476" spans="1:15" hidden="1" x14ac:dyDescent="0.25">
      <c r="A1476" t="s">
        <v>220</v>
      </c>
      <c r="B1476" t="s">
        <v>18</v>
      </c>
      <c r="C1476" t="s">
        <v>16</v>
      </c>
      <c r="D1476">
        <v>104</v>
      </c>
      <c r="E1476">
        <v>74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13</v>
      </c>
      <c r="M1476">
        <v>0</v>
      </c>
      <c r="N1476" t="s">
        <v>17</v>
      </c>
      <c r="O1476" s="1">
        <f>result[[#This Row],[n_killed_mutants_cumulativa]]/result[[#This Row],[tot_mutants]]</f>
        <v>0</v>
      </c>
    </row>
    <row r="1477" spans="1:15" hidden="1" x14ac:dyDescent="0.25">
      <c r="A1477" t="s">
        <v>220</v>
      </c>
      <c r="B1477" t="s">
        <v>19</v>
      </c>
      <c r="C1477" t="s">
        <v>16</v>
      </c>
      <c r="D1477">
        <v>130</v>
      </c>
      <c r="E1477">
        <v>103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13</v>
      </c>
      <c r="M1477">
        <v>0</v>
      </c>
      <c r="N1477" t="s">
        <v>17</v>
      </c>
      <c r="O1477" s="1">
        <f>result[[#This Row],[n_killed_mutants_cumulativa]]/result[[#This Row],[tot_mutants]]</f>
        <v>0</v>
      </c>
    </row>
    <row r="1478" spans="1:15" hidden="1" x14ac:dyDescent="0.25">
      <c r="A1478" t="s">
        <v>220</v>
      </c>
      <c r="B1478" t="s">
        <v>20</v>
      </c>
      <c r="C1478" t="s">
        <v>16</v>
      </c>
      <c r="D1478">
        <v>141</v>
      </c>
      <c r="E1478">
        <v>112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13</v>
      </c>
      <c r="M1478">
        <v>0</v>
      </c>
      <c r="N1478" t="s">
        <v>17</v>
      </c>
      <c r="O1478" s="1">
        <f>result[[#This Row],[n_killed_mutants_cumulativa]]/result[[#This Row],[tot_mutants]]</f>
        <v>0</v>
      </c>
    </row>
    <row r="1479" spans="1:15" hidden="1" x14ac:dyDescent="0.25">
      <c r="A1479" t="s">
        <v>220</v>
      </c>
      <c r="B1479" t="s">
        <v>21</v>
      </c>
      <c r="C1479" t="s">
        <v>16</v>
      </c>
      <c r="D1479">
        <v>191</v>
      </c>
      <c r="E1479">
        <v>154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13</v>
      </c>
      <c r="M1479">
        <v>0</v>
      </c>
      <c r="N1479" t="s">
        <v>17</v>
      </c>
      <c r="O1479" s="1">
        <f>result[[#This Row],[n_killed_mutants_cumulativa]]/result[[#This Row],[tot_mutants]]</f>
        <v>0</v>
      </c>
    </row>
    <row r="1480" spans="1:15" hidden="1" x14ac:dyDescent="0.25">
      <c r="A1480" t="s">
        <v>220</v>
      </c>
      <c r="B1480" t="s">
        <v>22</v>
      </c>
      <c r="C1480" t="s">
        <v>16</v>
      </c>
      <c r="D1480">
        <v>770</v>
      </c>
      <c r="E1480">
        <v>535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13</v>
      </c>
      <c r="M1480">
        <v>0</v>
      </c>
      <c r="N1480" t="s">
        <v>17</v>
      </c>
      <c r="O1480" s="1">
        <f>result[[#This Row],[n_killed_mutants_cumulativa]]/result[[#This Row],[tot_mutants]]</f>
        <v>0</v>
      </c>
    </row>
    <row r="1481" spans="1:15" hidden="1" x14ac:dyDescent="0.25">
      <c r="A1481" t="s">
        <v>221</v>
      </c>
      <c r="B1481" t="s">
        <v>15</v>
      </c>
      <c r="C1481" t="s">
        <v>16</v>
      </c>
      <c r="D1481">
        <v>6446</v>
      </c>
      <c r="E1481">
        <v>1187</v>
      </c>
      <c r="F1481">
        <v>10</v>
      </c>
      <c r="G1481">
        <v>100</v>
      </c>
      <c r="H1481">
        <v>0</v>
      </c>
      <c r="I1481">
        <v>560</v>
      </c>
      <c r="J1481">
        <v>0</v>
      </c>
      <c r="K1481">
        <v>0</v>
      </c>
      <c r="L1481">
        <v>1</v>
      </c>
      <c r="M1481">
        <v>0</v>
      </c>
      <c r="N1481" t="s">
        <v>17</v>
      </c>
      <c r="O1481" s="1">
        <f>result[[#This Row],[n_killed_mutants_cumulativa]]/result[[#This Row],[tot_mutants]]</f>
        <v>0</v>
      </c>
    </row>
    <row r="1482" spans="1:15" hidden="1" x14ac:dyDescent="0.25">
      <c r="A1482" t="s">
        <v>221</v>
      </c>
      <c r="B1482" t="s">
        <v>18</v>
      </c>
      <c r="C1482" t="s">
        <v>16</v>
      </c>
      <c r="D1482">
        <v>10589</v>
      </c>
      <c r="E1482">
        <v>1600</v>
      </c>
      <c r="F1482">
        <v>20</v>
      </c>
      <c r="G1482">
        <v>400</v>
      </c>
      <c r="H1482">
        <v>0</v>
      </c>
      <c r="I1482">
        <v>1520</v>
      </c>
      <c r="J1482">
        <v>0</v>
      </c>
      <c r="K1482">
        <v>0</v>
      </c>
      <c r="L1482">
        <v>1</v>
      </c>
      <c r="M1482">
        <v>0</v>
      </c>
      <c r="N1482" t="s">
        <v>17</v>
      </c>
      <c r="O1482" s="1">
        <f>result[[#This Row],[n_killed_mutants_cumulativa]]/result[[#This Row],[tot_mutants]]</f>
        <v>0</v>
      </c>
    </row>
    <row r="1483" spans="1:15" hidden="1" x14ac:dyDescent="0.25">
      <c r="A1483" t="s">
        <v>221</v>
      </c>
      <c r="B1483" t="s">
        <v>19</v>
      </c>
      <c r="C1483" t="s">
        <v>16</v>
      </c>
      <c r="D1483">
        <v>20543</v>
      </c>
      <c r="E1483">
        <v>3273</v>
      </c>
      <c r="F1483">
        <v>30</v>
      </c>
      <c r="G1483">
        <v>900</v>
      </c>
      <c r="H1483">
        <v>0</v>
      </c>
      <c r="I1483">
        <v>2880</v>
      </c>
      <c r="J1483">
        <v>0</v>
      </c>
      <c r="K1483">
        <v>0</v>
      </c>
      <c r="L1483">
        <v>1</v>
      </c>
      <c r="M1483">
        <v>0</v>
      </c>
      <c r="N1483" t="s">
        <v>17</v>
      </c>
      <c r="O1483" s="1">
        <f>result[[#This Row],[n_killed_mutants_cumulativa]]/result[[#This Row],[tot_mutants]]</f>
        <v>0</v>
      </c>
    </row>
    <row r="1484" spans="1:15" hidden="1" x14ac:dyDescent="0.25">
      <c r="A1484" t="s">
        <v>221</v>
      </c>
      <c r="B1484" t="s">
        <v>20</v>
      </c>
      <c r="C1484" t="s">
        <v>16</v>
      </c>
      <c r="D1484">
        <v>35070</v>
      </c>
      <c r="E1484">
        <v>5696</v>
      </c>
      <c r="F1484">
        <v>40</v>
      </c>
      <c r="G1484">
        <v>1600</v>
      </c>
      <c r="H1484">
        <v>0</v>
      </c>
      <c r="I1484">
        <v>4640</v>
      </c>
      <c r="J1484">
        <v>0</v>
      </c>
      <c r="K1484">
        <v>0</v>
      </c>
      <c r="L1484">
        <v>1</v>
      </c>
      <c r="M1484">
        <v>0</v>
      </c>
      <c r="N1484" t="s">
        <v>17</v>
      </c>
      <c r="O1484" s="1">
        <f>result[[#This Row],[n_killed_mutants_cumulativa]]/result[[#This Row],[tot_mutants]]</f>
        <v>0</v>
      </c>
    </row>
    <row r="1485" spans="1:15" hidden="1" x14ac:dyDescent="0.25">
      <c r="A1485" t="s">
        <v>221</v>
      </c>
      <c r="B1485" t="s">
        <v>21</v>
      </c>
      <c r="C1485" t="s">
        <v>16</v>
      </c>
      <c r="D1485">
        <v>52309</v>
      </c>
      <c r="E1485">
        <v>8619</v>
      </c>
      <c r="F1485">
        <v>50</v>
      </c>
      <c r="G1485">
        <v>2500</v>
      </c>
      <c r="H1485">
        <v>0</v>
      </c>
      <c r="I1485">
        <v>6800</v>
      </c>
      <c r="J1485">
        <v>0</v>
      </c>
      <c r="K1485">
        <v>0</v>
      </c>
      <c r="L1485">
        <v>1</v>
      </c>
      <c r="M1485">
        <v>0</v>
      </c>
      <c r="N1485" t="s">
        <v>17</v>
      </c>
      <c r="O1485" s="1">
        <f>result[[#This Row],[n_killed_mutants_cumulativa]]/result[[#This Row],[tot_mutants]]</f>
        <v>0</v>
      </c>
    </row>
    <row r="1486" spans="1:15" hidden="1" x14ac:dyDescent="0.25">
      <c r="A1486" t="s">
        <v>221</v>
      </c>
      <c r="B1486" t="s">
        <v>24</v>
      </c>
      <c r="C1486" t="s">
        <v>16</v>
      </c>
      <c r="D1486">
        <v>74677</v>
      </c>
      <c r="E1486">
        <v>12531</v>
      </c>
      <c r="F1486">
        <v>60</v>
      </c>
      <c r="G1486">
        <v>3600</v>
      </c>
      <c r="H1486">
        <v>0</v>
      </c>
      <c r="I1486">
        <v>9360</v>
      </c>
      <c r="J1486">
        <v>0</v>
      </c>
      <c r="K1486">
        <v>0</v>
      </c>
      <c r="L1486">
        <v>1</v>
      </c>
      <c r="M1486">
        <v>0</v>
      </c>
      <c r="N1486" t="s">
        <v>17</v>
      </c>
      <c r="O1486" s="1">
        <f>result[[#This Row],[n_killed_mutants_cumulativa]]/result[[#This Row],[tot_mutants]]</f>
        <v>0</v>
      </c>
    </row>
    <row r="1487" spans="1:15" hidden="1" x14ac:dyDescent="0.25">
      <c r="A1487" t="s">
        <v>221</v>
      </c>
      <c r="B1487" t="s">
        <v>25</v>
      </c>
      <c r="C1487" t="s">
        <v>16</v>
      </c>
      <c r="D1487">
        <v>101087</v>
      </c>
      <c r="E1487">
        <v>16882</v>
      </c>
      <c r="F1487">
        <v>70</v>
      </c>
      <c r="G1487">
        <v>4900</v>
      </c>
      <c r="H1487">
        <v>0</v>
      </c>
      <c r="I1487">
        <v>12320</v>
      </c>
      <c r="J1487">
        <v>0</v>
      </c>
      <c r="K1487">
        <v>0</v>
      </c>
      <c r="L1487">
        <v>1</v>
      </c>
      <c r="M1487">
        <v>0</v>
      </c>
      <c r="N1487" t="s">
        <v>17</v>
      </c>
      <c r="O1487" s="1">
        <f>result[[#This Row],[n_killed_mutants_cumulativa]]/result[[#This Row],[tot_mutants]]</f>
        <v>0</v>
      </c>
    </row>
    <row r="1488" spans="1:15" hidden="1" x14ac:dyDescent="0.25">
      <c r="A1488" t="s">
        <v>221</v>
      </c>
      <c r="B1488" t="s">
        <v>26</v>
      </c>
      <c r="C1488" t="s">
        <v>16</v>
      </c>
      <c r="D1488">
        <v>130716</v>
      </c>
      <c r="E1488">
        <v>21479</v>
      </c>
      <c r="F1488">
        <v>80</v>
      </c>
      <c r="G1488">
        <v>6400</v>
      </c>
      <c r="H1488">
        <v>0</v>
      </c>
      <c r="I1488">
        <v>15680</v>
      </c>
      <c r="J1488">
        <v>0</v>
      </c>
      <c r="K1488">
        <v>0</v>
      </c>
      <c r="L1488">
        <v>1</v>
      </c>
      <c r="M1488">
        <v>0</v>
      </c>
      <c r="N1488" t="s">
        <v>17</v>
      </c>
      <c r="O1488" s="1">
        <f>result[[#This Row],[n_killed_mutants_cumulativa]]/result[[#This Row],[tot_mutants]]</f>
        <v>0</v>
      </c>
    </row>
    <row r="1489" spans="1:16" hidden="1" x14ac:dyDescent="0.25">
      <c r="A1489" t="s">
        <v>221</v>
      </c>
      <c r="B1489" t="s">
        <v>27</v>
      </c>
      <c r="C1489" t="s">
        <v>16</v>
      </c>
      <c r="D1489">
        <v>164426</v>
      </c>
      <c r="E1489">
        <v>27157</v>
      </c>
      <c r="F1489">
        <v>90</v>
      </c>
      <c r="G1489">
        <v>8100</v>
      </c>
      <c r="H1489">
        <v>0</v>
      </c>
      <c r="I1489">
        <v>19440</v>
      </c>
      <c r="J1489">
        <v>0</v>
      </c>
      <c r="K1489">
        <v>0</v>
      </c>
      <c r="L1489">
        <v>1</v>
      </c>
      <c r="M1489">
        <v>0</v>
      </c>
      <c r="N1489" t="s">
        <v>17</v>
      </c>
      <c r="O1489" s="1">
        <f>result[[#This Row],[n_killed_mutants_cumulativa]]/result[[#This Row],[tot_mutants]]</f>
        <v>0</v>
      </c>
    </row>
    <row r="1490" spans="1:16" hidden="1" x14ac:dyDescent="0.25">
      <c r="A1490" t="s">
        <v>221</v>
      </c>
      <c r="B1490" t="s">
        <v>30</v>
      </c>
      <c r="C1490" t="s">
        <v>16</v>
      </c>
      <c r="D1490">
        <v>203843</v>
      </c>
      <c r="E1490">
        <v>33454</v>
      </c>
      <c r="F1490">
        <v>100</v>
      </c>
      <c r="G1490">
        <v>10000</v>
      </c>
      <c r="H1490">
        <v>0</v>
      </c>
      <c r="I1490">
        <v>23600</v>
      </c>
      <c r="J1490">
        <v>0</v>
      </c>
      <c r="K1490">
        <v>0</v>
      </c>
      <c r="L1490">
        <v>1</v>
      </c>
      <c r="M1490">
        <v>0</v>
      </c>
      <c r="N1490" t="s">
        <v>17</v>
      </c>
      <c r="O1490" s="1">
        <f>result[[#This Row],[n_killed_mutants_cumulativa]]/result[[#This Row],[tot_mutants]]</f>
        <v>0</v>
      </c>
    </row>
    <row r="1491" spans="1:16" hidden="1" x14ac:dyDescent="0.25">
      <c r="A1491" t="s">
        <v>221</v>
      </c>
      <c r="B1491" t="s">
        <v>22</v>
      </c>
      <c r="C1491" t="s">
        <v>16</v>
      </c>
      <c r="D1491">
        <v>799706</v>
      </c>
      <c r="E1491">
        <v>131878</v>
      </c>
      <c r="F1491">
        <v>550</v>
      </c>
      <c r="G1491">
        <v>38500</v>
      </c>
      <c r="H1491">
        <v>0</v>
      </c>
      <c r="I1491">
        <v>96800</v>
      </c>
      <c r="J1491">
        <v>0</v>
      </c>
      <c r="K1491">
        <v>0</v>
      </c>
      <c r="L1491">
        <v>1</v>
      </c>
      <c r="M1491">
        <v>0</v>
      </c>
      <c r="N1491" t="s">
        <v>17</v>
      </c>
      <c r="O1491" s="1">
        <f>result[[#This Row],[n_killed_mutants_cumulativa]]/result[[#This Row],[tot_mutants]]</f>
        <v>0</v>
      </c>
      <c r="P1491" s="9" t="s">
        <v>346</v>
      </c>
    </row>
    <row r="1492" spans="1:16" hidden="1" x14ac:dyDescent="0.25">
      <c r="A1492" t="s">
        <v>222</v>
      </c>
      <c r="B1492" t="s">
        <v>15</v>
      </c>
      <c r="C1492" t="s">
        <v>16</v>
      </c>
      <c r="D1492">
        <v>220</v>
      </c>
      <c r="E1492">
        <v>123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3</v>
      </c>
      <c r="M1492">
        <v>0</v>
      </c>
      <c r="N1492" t="s">
        <v>17</v>
      </c>
      <c r="O1492" s="1">
        <f>result[[#This Row],[n_killed_mutants_cumulativa]]/result[[#This Row],[tot_mutants]]</f>
        <v>0</v>
      </c>
    </row>
    <row r="1493" spans="1:16" hidden="1" x14ac:dyDescent="0.25">
      <c r="A1493" t="s">
        <v>222</v>
      </c>
      <c r="B1493" t="s">
        <v>18</v>
      </c>
      <c r="C1493" t="s">
        <v>16</v>
      </c>
      <c r="D1493">
        <v>166</v>
      </c>
      <c r="E1493">
        <v>145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3</v>
      </c>
      <c r="M1493">
        <v>0</v>
      </c>
      <c r="N1493" t="s">
        <v>17</v>
      </c>
      <c r="O1493" s="1">
        <f>result[[#This Row],[n_killed_mutants_cumulativa]]/result[[#This Row],[tot_mutants]]</f>
        <v>0</v>
      </c>
    </row>
    <row r="1494" spans="1:16" hidden="1" x14ac:dyDescent="0.25">
      <c r="A1494" t="s">
        <v>222</v>
      </c>
      <c r="B1494" t="s">
        <v>19</v>
      </c>
      <c r="C1494" t="s">
        <v>16</v>
      </c>
      <c r="D1494">
        <v>154</v>
      </c>
      <c r="E1494">
        <v>139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3</v>
      </c>
      <c r="M1494">
        <v>0</v>
      </c>
      <c r="N1494" t="s">
        <v>17</v>
      </c>
      <c r="O1494" s="1">
        <f>result[[#This Row],[n_killed_mutants_cumulativa]]/result[[#This Row],[tot_mutants]]</f>
        <v>0</v>
      </c>
    </row>
    <row r="1495" spans="1:16" hidden="1" x14ac:dyDescent="0.25">
      <c r="A1495" t="s">
        <v>222</v>
      </c>
      <c r="B1495" t="s">
        <v>20</v>
      </c>
      <c r="C1495" t="s">
        <v>16</v>
      </c>
      <c r="D1495">
        <v>194</v>
      </c>
      <c r="E1495">
        <v>176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3</v>
      </c>
      <c r="M1495">
        <v>0</v>
      </c>
      <c r="N1495" t="s">
        <v>17</v>
      </c>
      <c r="O1495" s="1">
        <f>result[[#This Row],[n_killed_mutants_cumulativa]]/result[[#This Row],[tot_mutants]]</f>
        <v>0</v>
      </c>
    </row>
    <row r="1496" spans="1:16" hidden="1" x14ac:dyDescent="0.25">
      <c r="A1496" t="s">
        <v>222</v>
      </c>
      <c r="B1496" t="s">
        <v>21</v>
      </c>
      <c r="C1496" t="s">
        <v>16</v>
      </c>
      <c r="D1496">
        <v>140</v>
      </c>
      <c r="E1496">
        <v>124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3</v>
      </c>
      <c r="M1496">
        <v>0</v>
      </c>
      <c r="N1496" t="s">
        <v>17</v>
      </c>
      <c r="O1496" s="1">
        <f>result[[#This Row],[n_killed_mutants_cumulativa]]/result[[#This Row],[tot_mutants]]</f>
        <v>0</v>
      </c>
    </row>
    <row r="1497" spans="1:16" hidden="1" x14ac:dyDescent="0.25">
      <c r="A1497" t="s">
        <v>222</v>
      </c>
      <c r="B1497" t="s">
        <v>22</v>
      </c>
      <c r="C1497" t="s">
        <v>16</v>
      </c>
      <c r="D1497">
        <v>874</v>
      </c>
      <c r="E1497">
        <v>707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3</v>
      </c>
      <c r="M1497">
        <v>0</v>
      </c>
      <c r="N1497" t="s">
        <v>17</v>
      </c>
      <c r="O1497" s="1">
        <f>result[[#This Row],[n_killed_mutants_cumulativa]]/result[[#This Row],[tot_mutants]]</f>
        <v>0</v>
      </c>
    </row>
    <row r="1498" spans="1:16" hidden="1" x14ac:dyDescent="0.25">
      <c r="A1498" t="s">
        <v>223</v>
      </c>
      <c r="B1498" t="s">
        <v>15</v>
      </c>
      <c r="C1498" t="s">
        <v>16</v>
      </c>
      <c r="D1498">
        <v>3631</v>
      </c>
      <c r="E1498">
        <v>277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10</v>
      </c>
      <c r="L1498">
        <v>2</v>
      </c>
      <c r="M1498">
        <v>0</v>
      </c>
      <c r="N1498" t="s">
        <v>17</v>
      </c>
      <c r="O1498" s="1">
        <f>result[[#This Row],[n_killed_mutants_cumulativa]]/result[[#This Row],[tot_mutants]]</f>
        <v>0</v>
      </c>
    </row>
    <row r="1499" spans="1:16" hidden="1" x14ac:dyDescent="0.25">
      <c r="A1499" t="s">
        <v>223</v>
      </c>
      <c r="B1499" t="s">
        <v>18</v>
      </c>
      <c r="C1499" t="s">
        <v>16</v>
      </c>
      <c r="D1499">
        <v>3944</v>
      </c>
      <c r="E1499">
        <v>346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20</v>
      </c>
      <c r="L1499">
        <v>2</v>
      </c>
      <c r="M1499">
        <v>0</v>
      </c>
      <c r="N1499" t="s">
        <v>17</v>
      </c>
      <c r="O1499" s="1">
        <f>result[[#This Row],[n_killed_mutants_cumulativa]]/result[[#This Row],[tot_mutants]]</f>
        <v>0</v>
      </c>
    </row>
    <row r="1500" spans="1:16" hidden="1" x14ac:dyDescent="0.25">
      <c r="A1500" t="s">
        <v>223</v>
      </c>
      <c r="B1500" t="s">
        <v>19</v>
      </c>
      <c r="C1500" t="s">
        <v>16</v>
      </c>
      <c r="D1500">
        <v>5115</v>
      </c>
      <c r="E1500">
        <v>414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30</v>
      </c>
      <c r="L1500">
        <v>2</v>
      </c>
      <c r="M1500">
        <v>0</v>
      </c>
      <c r="N1500" t="s">
        <v>17</v>
      </c>
      <c r="O1500" s="1">
        <f>result[[#This Row],[n_killed_mutants_cumulativa]]/result[[#This Row],[tot_mutants]]</f>
        <v>0</v>
      </c>
    </row>
    <row r="1501" spans="1:16" hidden="1" x14ac:dyDescent="0.25">
      <c r="A1501" t="s">
        <v>223</v>
      </c>
      <c r="B1501" t="s">
        <v>20</v>
      </c>
      <c r="C1501" t="s">
        <v>16</v>
      </c>
      <c r="D1501">
        <v>6857</v>
      </c>
      <c r="E1501">
        <v>601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40</v>
      </c>
      <c r="L1501">
        <v>2</v>
      </c>
      <c r="M1501">
        <v>0</v>
      </c>
      <c r="N1501" t="s">
        <v>17</v>
      </c>
      <c r="O1501" s="1">
        <f>result[[#This Row],[n_killed_mutants_cumulativa]]/result[[#This Row],[tot_mutants]]</f>
        <v>0</v>
      </c>
    </row>
    <row r="1502" spans="1:16" hidden="1" x14ac:dyDescent="0.25">
      <c r="A1502" t="s">
        <v>223</v>
      </c>
      <c r="B1502" t="s">
        <v>21</v>
      </c>
      <c r="C1502" t="s">
        <v>16</v>
      </c>
      <c r="D1502">
        <v>8192</v>
      </c>
      <c r="E1502">
        <v>669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50</v>
      </c>
      <c r="L1502">
        <v>2</v>
      </c>
      <c r="M1502">
        <v>0</v>
      </c>
      <c r="N1502" t="s">
        <v>17</v>
      </c>
      <c r="O1502" s="1">
        <f>result[[#This Row],[n_killed_mutants_cumulativa]]/result[[#This Row],[tot_mutants]]</f>
        <v>0</v>
      </c>
    </row>
    <row r="1503" spans="1:16" hidden="1" x14ac:dyDescent="0.25">
      <c r="A1503" t="s">
        <v>223</v>
      </c>
      <c r="B1503" t="s">
        <v>22</v>
      </c>
      <c r="C1503" t="s">
        <v>16</v>
      </c>
      <c r="D1503">
        <v>27739</v>
      </c>
      <c r="E1503">
        <v>2307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150</v>
      </c>
      <c r="L1503">
        <v>2</v>
      </c>
      <c r="M1503">
        <v>0</v>
      </c>
      <c r="N1503" t="s">
        <v>17</v>
      </c>
      <c r="O1503" s="1">
        <f>result[[#This Row],[n_killed_mutants_cumulativa]]/result[[#This Row],[tot_mutants]]</f>
        <v>0</v>
      </c>
    </row>
    <row r="1504" spans="1:16" hidden="1" x14ac:dyDescent="0.25">
      <c r="A1504" t="s">
        <v>224</v>
      </c>
      <c r="B1504" t="s">
        <v>15</v>
      </c>
      <c r="C1504" t="s">
        <v>16</v>
      </c>
      <c r="D1504">
        <v>1875</v>
      </c>
      <c r="E1504">
        <v>199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10</v>
      </c>
      <c r="L1504">
        <v>4</v>
      </c>
      <c r="M1504">
        <v>0</v>
      </c>
      <c r="N1504" t="s">
        <v>17</v>
      </c>
      <c r="O1504" s="1">
        <f>result[[#This Row],[n_killed_mutants_cumulativa]]/result[[#This Row],[tot_mutants]]</f>
        <v>0</v>
      </c>
    </row>
    <row r="1505" spans="1:16" hidden="1" x14ac:dyDescent="0.25">
      <c r="A1505" t="s">
        <v>224</v>
      </c>
      <c r="B1505" t="s">
        <v>18</v>
      </c>
      <c r="C1505" t="s">
        <v>16</v>
      </c>
      <c r="D1505">
        <v>1395</v>
      </c>
      <c r="E1505">
        <v>242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20</v>
      </c>
      <c r="L1505">
        <v>4</v>
      </c>
      <c r="M1505">
        <v>0</v>
      </c>
      <c r="N1505" t="s">
        <v>17</v>
      </c>
      <c r="O1505" s="1">
        <f>result[[#This Row],[n_killed_mutants_cumulativa]]/result[[#This Row],[tot_mutants]]</f>
        <v>0</v>
      </c>
    </row>
    <row r="1506" spans="1:16" hidden="1" x14ac:dyDescent="0.25">
      <c r="A1506" t="s">
        <v>224</v>
      </c>
      <c r="B1506" t="s">
        <v>19</v>
      </c>
      <c r="C1506" t="s">
        <v>16</v>
      </c>
      <c r="D1506">
        <v>1773</v>
      </c>
      <c r="E1506">
        <v>308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30</v>
      </c>
      <c r="L1506">
        <v>4</v>
      </c>
      <c r="M1506">
        <v>0</v>
      </c>
      <c r="N1506" t="s">
        <v>17</v>
      </c>
      <c r="O1506" s="1">
        <f>result[[#This Row],[n_killed_mutants_cumulativa]]/result[[#This Row],[tot_mutants]]</f>
        <v>0</v>
      </c>
    </row>
    <row r="1507" spans="1:16" hidden="1" x14ac:dyDescent="0.25">
      <c r="A1507" t="s">
        <v>224</v>
      </c>
      <c r="B1507" t="s">
        <v>20</v>
      </c>
      <c r="C1507" t="s">
        <v>16</v>
      </c>
      <c r="D1507">
        <v>2124</v>
      </c>
      <c r="E1507">
        <v>302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40</v>
      </c>
      <c r="L1507">
        <v>4</v>
      </c>
      <c r="M1507">
        <v>0</v>
      </c>
      <c r="N1507" t="s">
        <v>17</v>
      </c>
      <c r="O1507" s="1">
        <f>result[[#This Row],[n_killed_mutants_cumulativa]]/result[[#This Row],[tot_mutants]]</f>
        <v>0</v>
      </c>
    </row>
    <row r="1508" spans="1:16" hidden="1" x14ac:dyDescent="0.25">
      <c r="A1508" t="s">
        <v>224</v>
      </c>
      <c r="B1508" t="s">
        <v>21</v>
      </c>
      <c r="C1508" t="s">
        <v>16</v>
      </c>
      <c r="D1508">
        <v>3175</v>
      </c>
      <c r="E1508">
        <v>376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50</v>
      </c>
      <c r="L1508">
        <v>4</v>
      </c>
      <c r="M1508">
        <v>0</v>
      </c>
      <c r="N1508" t="s">
        <v>17</v>
      </c>
      <c r="O1508" s="1">
        <f>result[[#This Row],[n_killed_mutants_cumulativa]]/result[[#This Row],[tot_mutants]]</f>
        <v>0</v>
      </c>
    </row>
    <row r="1509" spans="1:16" hidden="1" x14ac:dyDescent="0.25">
      <c r="A1509" t="s">
        <v>224</v>
      </c>
      <c r="B1509" t="s">
        <v>22</v>
      </c>
      <c r="C1509" t="s">
        <v>16</v>
      </c>
      <c r="D1509">
        <v>10342</v>
      </c>
      <c r="E1509">
        <v>1427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150</v>
      </c>
      <c r="L1509">
        <v>4</v>
      </c>
      <c r="M1509">
        <v>0</v>
      </c>
      <c r="N1509" t="s">
        <v>17</v>
      </c>
      <c r="O1509" s="1">
        <f>result[[#This Row],[n_killed_mutants_cumulativa]]/result[[#This Row],[tot_mutants]]</f>
        <v>0</v>
      </c>
    </row>
    <row r="1510" spans="1:16" hidden="1" x14ac:dyDescent="0.25">
      <c r="A1510" t="s">
        <v>225</v>
      </c>
      <c r="B1510" t="s">
        <v>15</v>
      </c>
      <c r="C1510" t="s">
        <v>16</v>
      </c>
      <c r="D1510">
        <v>30226</v>
      </c>
      <c r="E1510">
        <v>462</v>
      </c>
      <c r="F1510">
        <v>10</v>
      </c>
      <c r="G1510">
        <v>100</v>
      </c>
      <c r="H1510">
        <v>100</v>
      </c>
      <c r="I1510">
        <v>287</v>
      </c>
      <c r="J1510">
        <v>0</v>
      </c>
      <c r="K1510">
        <v>0</v>
      </c>
      <c r="L1510">
        <v>64</v>
      </c>
      <c r="M1510">
        <v>1</v>
      </c>
      <c r="N1510" t="s">
        <v>226</v>
      </c>
      <c r="O1510" s="1">
        <f>result[[#This Row],[n_killed_mutants_cumulativa]]/result[[#This Row],[tot_mutants]]</f>
        <v>1.5625E-2</v>
      </c>
    </row>
    <row r="1511" spans="1:16" hidden="1" x14ac:dyDescent="0.25">
      <c r="A1511" t="s">
        <v>225</v>
      </c>
      <c r="B1511" t="s">
        <v>18</v>
      </c>
      <c r="C1511" t="s">
        <v>16</v>
      </c>
      <c r="D1511">
        <v>62297</v>
      </c>
      <c r="E1511">
        <v>267</v>
      </c>
      <c r="F1511">
        <v>20</v>
      </c>
      <c r="G1511">
        <v>400</v>
      </c>
      <c r="H1511">
        <v>400</v>
      </c>
      <c r="I1511">
        <v>1053</v>
      </c>
      <c r="J1511">
        <v>0</v>
      </c>
      <c r="K1511">
        <v>0</v>
      </c>
      <c r="L1511">
        <v>64</v>
      </c>
      <c r="M1511">
        <v>1</v>
      </c>
      <c r="N1511" t="s">
        <v>226</v>
      </c>
      <c r="O1511" s="1">
        <f>result[[#This Row],[n_killed_mutants_cumulativa]]/result[[#This Row],[tot_mutants]]</f>
        <v>1.5625E-2</v>
      </c>
    </row>
    <row r="1512" spans="1:16" hidden="1" x14ac:dyDescent="0.25">
      <c r="A1512" t="s">
        <v>225</v>
      </c>
      <c r="B1512" t="s">
        <v>19</v>
      </c>
      <c r="C1512" t="s">
        <v>16</v>
      </c>
      <c r="D1512">
        <v>115050</v>
      </c>
      <c r="E1512">
        <v>531</v>
      </c>
      <c r="F1512">
        <v>30</v>
      </c>
      <c r="G1512">
        <v>900</v>
      </c>
      <c r="H1512">
        <v>900</v>
      </c>
      <c r="I1512">
        <v>2655</v>
      </c>
      <c r="J1512">
        <v>0</v>
      </c>
      <c r="K1512">
        <v>0</v>
      </c>
      <c r="L1512">
        <v>64</v>
      </c>
      <c r="M1512">
        <v>1</v>
      </c>
      <c r="N1512" t="s">
        <v>226</v>
      </c>
      <c r="O1512" s="1">
        <f>result[[#This Row],[n_killed_mutants_cumulativa]]/result[[#This Row],[tot_mutants]]</f>
        <v>1.5625E-2</v>
      </c>
    </row>
    <row r="1513" spans="1:16" hidden="1" x14ac:dyDescent="0.25">
      <c r="A1513" t="s">
        <v>225</v>
      </c>
      <c r="B1513" t="s">
        <v>20</v>
      </c>
      <c r="C1513" t="s">
        <v>16</v>
      </c>
      <c r="D1513">
        <v>183456</v>
      </c>
      <c r="E1513">
        <v>928</v>
      </c>
      <c r="F1513">
        <v>40</v>
      </c>
      <c r="G1513">
        <v>1600</v>
      </c>
      <c r="H1513">
        <v>1600</v>
      </c>
      <c r="I1513">
        <v>4898</v>
      </c>
      <c r="J1513">
        <v>0</v>
      </c>
      <c r="K1513">
        <v>0</v>
      </c>
      <c r="L1513">
        <v>64</v>
      </c>
      <c r="M1513">
        <v>1</v>
      </c>
      <c r="N1513" t="s">
        <v>226</v>
      </c>
      <c r="O1513" s="1">
        <f>result[[#This Row],[n_killed_mutants_cumulativa]]/result[[#This Row],[tot_mutants]]</f>
        <v>1.5625E-2</v>
      </c>
    </row>
    <row r="1514" spans="1:16" hidden="1" x14ac:dyDescent="0.25">
      <c r="A1514" t="s">
        <v>225</v>
      </c>
      <c r="B1514" t="s">
        <v>21</v>
      </c>
      <c r="C1514" t="s">
        <v>16</v>
      </c>
      <c r="D1514">
        <v>271316</v>
      </c>
      <c r="E1514">
        <v>1438</v>
      </c>
      <c r="F1514">
        <v>50</v>
      </c>
      <c r="G1514">
        <v>2500</v>
      </c>
      <c r="H1514">
        <v>2500</v>
      </c>
      <c r="I1514">
        <v>7997</v>
      </c>
      <c r="J1514">
        <v>0</v>
      </c>
      <c r="K1514">
        <v>0</v>
      </c>
      <c r="L1514">
        <v>64</v>
      </c>
      <c r="M1514">
        <v>1</v>
      </c>
      <c r="N1514" t="s">
        <v>226</v>
      </c>
      <c r="O1514" s="1">
        <f>result[[#This Row],[n_killed_mutants_cumulativa]]/result[[#This Row],[tot_mutants]]</f>
        <v>1.5625E-2</v>
      </c>
    </row>
    <row r="1515" spans="1:16" x14ac:dyDescent="0.25">
      <c r="A1515" t="s">
        <v>225</v>
      </c>
      <c r="B1515" t="s">
        <v>22</v>
      </c>
      <c r="C1515" t="s">
        <v>16</v>
      </c>
      <c r="D1515">
        <v>662345</v>
      </c>
      <c r="E1515">
        <v>3626</v>
      </c>
      <c r="F1515">
        <v>150</v>
      </c>
      <c r="G1515">
        <v>5500</v>
      </c>
      <c r="H1515">
        <v>5500</v>
      </c>
      <c r="I1515">
        <v>16890</v>
      </c>
      <c r="J1515">
        <v>0</v>
      </c>
      <c r="K1515">
        <v>0</v>
      </c>
      <c r="L1515">
        <v>64</v>
      </c>
      <c r="M1515">
        <v>1</v>
      </c>
      <c r="N1515" t="s">
        <v>226</v>
      </c>
      <c r="O1515" s="1">
        <f>result[[#This Row],[n_killed_mutants_cumulativa]]/result[[#This Row],[tot_mutants]]</f>
        <v>1.5625E-2</v>
      </c>
      <c r="P1515" s="9" t="s">
        <v>360</v>
      </c>
    </row>
    <row r="1516" spans="1:16" hidden="1" x14ac:dyDescent="0.25">
      <c r="A1516" t="s">
        <v>227</v>
      </c>
      <c r="B1516" t="s">
        <v>15</v>
      </c>
      <c r="C1516" t="s">
        <v>16</v>
      </c>
      <c r="D1516">
        <v>1619</v>
      </c>
      <c r="E1516">
        <v>220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10</v>
      </c>
      <c r="L1516">
        <v>5</v>
      </c>
      <c r="M1516">
        <v>0</v>
      </c>
      <c r="N1516" t="s">
        <v>17</v>
      </c>
      <c r="O1516" s="1">
        <f>result[[#This Row],[n_killed_mutants_cumulativa]]/result[[#This Row],[tot_mutants]]</f>
        <v>0</v>
      </c>
    </row>
    <row r="1517" spans="1:16" hidden="1" x14ac:dyDescent="0.25">
      <c r="A1517" t="s">
        <v>227</v>
      </c>
      <c r="B1517" t="s">
        <v>18</v>
      </c>
      <c r="C1517" t="s">
        <v>16</v>
      </c>
      <c r="D1517">
        <v>1245</v>
      </c>
      <c r="E1517">
        <v>270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20</v>
      </c>
      <c r="L1517">
        <v>5</v>
      </c>
      <c r="M1517">
        <v>0</v>
      </c>
      <c r="N1517" t="s">
        <v>17</v>
      </c>
      <c r="O1517" s="1">
        <f>result[[#This Row],[n_killed_mutants_cumulativa]]/result[[#This Row],[tot_mutants]]</f>
        <v>0</v>
      </c>
    </row>
    <row r="1518" spans="1:16" hidden="1" x14ac:dyDescent="0.25">
      <c r="A1518" t="s">
        <v>227</v>
      </c>
      <c r="B1518" t="s">
        <v>19</v>
      </c>
      <c r="C1518" t="s">
        <v>16</v>
      </c>
      <c r="D1518">
        <v>1069</v>
      </c>
      <c r="E1518">
        <v>160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30</v>
      </c>
      <c r="L1518">
        <v>5</v>
      </c>
      <c r="M1518">
        <v>0</v>
      </c>
      <c r="N1518" t="s">
        <v>17</v>
      </c>
      <c r="O1518" s="1">
        <f>result[[#This Row],[n_killed_mutants_cumulativa]]/result[[#This Row],[tot_mutants]]</f>
        <v>0</v>
      </c>
    </row>
    <row r="1519" spans="1:16" hidden="1" x14ac:dyDescent="0.25">
      <c r="A1519" t="s">
        <v>227</v>
      </c>
      <c r="B1519" t="s">
        <v>20</v>
      </c>
      <c r="C1519" t="s">
        <v>16</v>
      </c>
      <c r="D1519">
        <v>1211</v>
      </c>
      <c r="E1519">
        <v>173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40</v>
      </c>
      <c r="L1519">
        <v>5</v>
      </c>
      <c r="M1519">
        <v>0</v>
      </c>
      <c r="N1519" t="s">
        <v>17</v>
      </c>
      <c r="O1519" s="1">
        <f>result[[#This Row],[n_killed_mutants_cumulativa]]/result[[#This Row],[tot_mutants]]</f>
        <v>0</v>
      </c>
    </row>
    <row r="1520" spans="1:16" hidden="1" x14ac:dyDescent="0.25">
      <c r="A1520" t="s">
        <v>227</v>
      </c>
      <c r="B1520" t="s">
        <v>21</v>
      </c>
      <c r="C1520" t="s">
        <v>16</v>
      </c>
      <c r="D1520">
        <v>1535</v>
      </c>
      <c r="E1520">
        <v>308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50</v>
      </c>
      <c r="L1520">
        <v>5</v>
      </c>
      <c r="M1520">
        <v>0</v>
      </c>
      <c r="N1520" t="s">
        <v>17</v>
      </c>
      <c r="O1520" s="1">
        <f>result[[#This Row],[n_killed_mutants_cumulativa]]/result[[#This Row],[tot_mutants]]</f>
        <v>0</v>
      </c>
    </row>
    <row r="1521" spans="1:15" hidden="1" x14ac:dyDescent="0.25">
      <c r="A1521" t="s">
        <v>227</v>
      </c>
      <c r="B1521" t="s">
        <v>22</v>
      </c>
      <c r="C1521" t="s">
        <v>16</v>
      </c>
      <c r="D1521">
        <v>6679</v>
      </c>
      <c r="E1521">
        <v>1131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150</v>
      </c>
      <c r="L1521">
        <v>5</v>
      </c>
      <c r="M1521">
        <v>0</v>
      </c>
      <c r="N1521" t="s">
        <v>17</v>
      </c>
      <c r="O1521" s="1">
        <f>result[[#This Row],[n_killed_mutants_cumulativa]]/result[[#This Row],[tot_mutants]]</f>
        <v>0</v>
      </c>
    </row>
    <row r="1522" spans="1:15" hidden="1" x14ac:dyDescent="0.25">
      <c r="A1522" t="s">
        <v>228</v>
      </c>
      <c r="B1522" t="s">
        <v>15</v>
      </c>
      <c r="C1522" t="s">
        <v>16</v>
      </c>
      <c r="D1522">
        <v>3006</v>
      </c>
      <c r="E1522">
        <v>106</v>
      </c>
      <c r="F1522">
        <v>10</v>
      </c>
      <c r="G1522">
        <v>100</v>
      </c>
      <c r="H1522">
        <v>156</v>
      </c>
      <c r="I1522">
        <v>310</v>
      </c>
      <c r="J1522">
        <v>0</v>
      </c>
      <c r="K1522">
        <v>0</v>
      </c>
      <c r="L1522">
        <v>3</v>
      </c>
      <c r="M1522">
        <v>1</v>
      </c>
      <c r="N1522" t="s">
        <v>57</v>
      </c>
      <c r="O1522" s="1">
        <f>result[[#This Row],[n_killed_mutants_cumulativa]]/result[[#This Row],[tot_mutants]]</f>
        <v>0.33333333333333331</v>
      </c>
    </row>
    <row r="1523" spans="1:15" hidden="1" x14ac:dyDescent="0.25">
      <c r="A1523" t="s">
        <v>228</v>
      </c>
      <c r="B1523" t="s">
        <v>18</v>
      </c>
      <c r="C1523" t="s">
        <v>16</v>
      </c>
      <c r="D1523">
        <v>2520</v>
      </c>
      <c r="E1523">
        <v>47</v>
      </c>
      <c r="F1523">
        <v>20</v>
      </c>
      <c r="G1523">
        <v>400</v>
      </c>
      <c r="H1523">
        <v>614</v>
      </c>
      <c r="I1523">
        <v>1221</v>
      </c>
      <c r="J1523">
        <v>0</v>
      </c>
      <c r="K1523">
        <v>0</v>
      </c>
      <c r="L1523">
        <v>3</v>
      </c>
      <c r="M1523">
        <v>1</v>
      </c>
      <c r="N1523" t="s">
        <v>57</v>
      </c>
      <c r="O1523" s="1">
        <f>result[[#This Row],[n_killed_mutants_cumulativa]]/result[[#This Row],[tot_mutants]]</f>
        <v>0.33333333333333331</v>
      </c>
    </row>
    <row r="1524" spans="1:15" hidden="1" x14ac:dyDescent="0.25">
      <c r="A1524" t="s">
        <v>228</v>
      </c>
      <c r="B1524" t="s">
        <v>19</v>
      </c>
      <c r="C1524" t="s">
        <v>16</v>
      </c>
      <c r="D1524">
        <v>3592</v>
      </c>
      <c r="E1524">
        <v>42</v>
      </c>
      <c r="F1524">
        <v>30</v>
      </c>
      <c r="G1524">
        <v>900</v>
      </c>
      <c r="H1524">
        <v>1345</v>
      </c>
      <c r="I1524">
        <v>2718</v>
      </c>
      <c r="J1524">
        <v>0</v>
      </c>
      <c r="K1524">
        <v>0</v>
      </c>
      <c r="L1524">
        <v>3</v>
      </c>
      <c r="M1524">
        <v>1</v>
      </c>
      <c r="N1524" t="s">
        <v>57</v>
      </c>
      <c r="O1524" s="1">
        <f>result[[#This Row],[n_killed_mutants_cumulativa]]/result[[#This Row],[tot_mutants]]</f>
        <v>0.33333333333333331</v>
      </c>
    </row>
    <row r="1525" spans="1:15" hidden="1" x14ac:dyDescent="0.25">
      <c r="A1525" t="s">
        <v>228</v>
      </c>
      <c r="B1525" t="s">
        <v>20</v>
      </c>
      <c r="C1525" t="s">
        <v>16</v>
      </c>
      <c r="D1525">
        <v>4912</v>
      </c>
      <c r="E1525">
        <v>60</v>
      </c>
      <c r="F1525">
        <v>40</v>
      </c>
      <c r="G1525">
        <v>1600</v>
      </c>
      <c r="H1525">
        <v>2407</v>
      </c>
      <c r="I1525">
        <v>4844</v>
      </c>
      <c r="J1525">
        <v>0</v>
      </c>
      <c r="K1525">
        <v>0</v>
      </c>
      <c r="L1525">
        <v>3</v>
      </c>
      <c r="M1525">
        <v>1</v>
      </c>
      <c r="N1525" t="s">
        <v>57</v>
      </c>
      <c r="O1525" s="1">
        <f>result[[#This Row],[n_killed_mutants_cumulativa]]/result[[#This Row],[tot_mutants]]</f>
        <v>0.33333333333333331</v>
      </c>
    </row>
    <row r="1526" spans="1:15" hidden="1" x14ac:dyDescent="0.25">
      <c r="A1526" t="s">
        <v>228</v>
      </c>
      <c r="B1526" t="s">
        <v>21</v>
      </c>
      <c r="C1526" t="s">
        <v>16</v>
      </c>
      <c r="D1526">
        <v>6966</v>
      </c>
      <c r="E1526">
        <v>79</v>
      </c>
      <c r="F1526">
        <v>50</v>
      </c>
      <c r="G1526">
        <v>2500</v>
      </c>
      <c r="H1526">
        <v>3725</v>
      </c>
      <c r="I1526">
        <v>7522</v>
      </c>
      <c r="J1526">
        <v>0</v>
      </c>
      <c r="K1526">
        <v>0</v>
      </c>
      <c r="L1526">
        <v>3</v>
      </c>
      <c r="M1526">
        <v>1</v>
      </c>
      <c r="N1526" t="s">
        <v>57</v>
      </c>
      <c r="O1526" s="1">
        <f>result[[#This Row],[n_killed_mutants_cumulativa]]/result[[#This Row],[tot_mutants]]</f>
        <v>0.33333333333333331</v>
      </c>
    </row>
    <row r="1527" spans="1:15" hidden="1" x14ac:dyDescent="0.25">
      <c r="A1527" t="s">
        <v>228</v>
      </c>
      <c r="B1527" t="s">
        <v>24</v>
      </c>
      <c r="C1527" t="s">
        <v>16</v>
      </c>
      <c r="D1527">
        <v>9305</v>
      </c>
      <c r="E1527">
        <v>93</v>
      </c>
      <c r="F1527">
        <v>60</v>
      </c>
      <c r="G1527">
        <v>3600</v>
      </c>
      <c r="H1527">
        <v>5438</v>
      </c>
      <c r="I1527">
        <v>10871</v>
      </c>
      <c r="J1527">
        <v>0</v>
      </c>
      <c r="K1527">
        <v>0</v>
      </c>
      <c r="L1527">
        <v>3</v>
      </c>
      <c r="M1527">
        <v>1</v>
      </c>
      <c r="N1527" t="s">
        <v>57</v>
      </c>
      <c r="O1527" s="1">
        <f>result[[#This Row],[n_killed_mutants_cumulativa]]/result[[#This Row],[tot_mutants]]</f>
        <v>0.33333333333333331</v>
      </c>
    </row>
    <row r="1528" spans="1:15" hidden="1" x14ac:dyDescent="0.25">
      <c r="A1528" t="s">
        <v>228</v>
      </c>
      <c r="B1528" t="s">
        <v>25</v>
      </c>
      <c r="C1528" t="s">
        <v>16</v>
      </c>
      <c r="D1528">
        <v>12613</v>
      </c>
      <c r="E1528">
        <v>123</v>
      </c>
      <c r="F1528">
        <v>70</v>
      </c>
      <c r="G1528">
        <v>4900</v>
      </c>
      <c r="H1528">
        <v>7360</v>
      </c>
      <c r="I1528">
        <v>14761</v>
      </c>
      <c r="J1528">
        <v>0</v>
      </c>
      <c r="K1528">
        <v>0</v>
      </c>
      <c r="L1528">
        <v>3</v>
      </c>
      <c r="M1528">
        <v>1</v>
      </c>
      <c r="N1528" t="s">
        <v>57</v>
      </c>
      <c r="O1528" s="1">
        <f>result[[#This Row],[n_killed_mutants_cumulativa]]/result[[#This Row],[tot_mutants]]</f>
        <v>0.33333333333333331</v>
      </c>
    </row>
    <row r="1529" spans="1:15" hidden="1" x14ac:dyDescent="0.25">
      <c r="A1529" t="s">
        <v>228</v>
      </c>
      <c r="B1529" t="s">
        <v>26</v>
      </c>
      <c r="C1529" t="s">
        <v>16</v>
      </c>
      <c r="D1529">
        <v>16250</v>
      </c>
      <c r="E1529">
        <v>160</v>
      </c>
      <c r="F1529">
        <v>80</v>
      </c>
      <c r="G1529">
        <v>6400</v>
      </c>
      <c r="H1529">
        <v>9571</v>
      </c>
      <c r="I1529">
        <v>19274</v>
      </c>
      <c r="J1529">
        <v>0</v>
      </c>
      <c r="K1529">
        <v>0</v>
      </c>
      <c r="L1529">
        <v>3</v>
      </c>
      <c r="M1529">
        <v>1</v>
      </c>
      <c r="N1529" t="s">
        <v>57</v>
      </c>
      <c r="O1529" s="1">
        <f>result[[#This Row],[n_killed_mutants_cumulativa]]/result[[#This Row],[tot_mutants]]</f>
        <v>0.33333333333333331</v>
      </c>
    </row>
    <row r="1530" spans="1:15" hidden="1" x14ac:dyDescent="0.25">
      <c r="A1530" t="s">
        <v>228</v>
      </c>
      <c r="B1530" t="s">
        <v>27</v>
      </c>
      <c r="C1530" t="s">
        <v>16</v>
      </c>
      <c r="D1530">
        <v>20562</v>
      </c>
      <c r="E1530">
        <v>206</v>
      </c>
      <c r="F1530">
        <v>90</v>
      </c>
      <c r="G1530">
        <v>8100</v>
      </c>
      <c r="H1530">
        <v>12185</v>
      </c>
      <c r="I1530">
        <v>24401</v>
      </c>
      <c r="J1530">
        <v>0</v>
      </c>
      <c r="K1530">
        <v>0</v>
      </c>
      <c r="L1530">
        <v>3</v>
      </c>
      <c r="M1530">
        <v>1</v>
      </c>
      <c r="N1530" t="s">
        <v>57</v>
      </c>
      <c r="O1530" s="1">
        <f>result[[#This Row],[n_killed_mutants_cumulativa]]/result[[#This Row],[tot_mutants]]</f>
        <v>0.33333333333333331</v>
      </c>
    </row>
    <row r="1531" spans="1:15" hidden="1" x14ac:dyDescent="0.25">
      <c r="A1531" t="s">
        <v>228</v>
      </c>
      <c r="B1531" t="s">
        <v>30</v>
      </c>
      <c r="C1531" t="s">
        <v>16</v>
      </c>
      <c r="D1531">
        <v>25093</v>
      </c>
      <c r="E1531">
        <v>246</v>
      </c>
      <c r="F1531">
        <v>100</v>
      </c>
      <c r="G1531">
        <v>10000</v>
      </c>
      <c r="H1531">
        <v>14946</v>
      </c>
      <c r="I1531">
        <v>30105</v>
      </c>
      <c r="J1531">
        <v>0</v>
      </c>
      <c r="K1531">
        <v>0</v>
      </c>
      <c r="L1531">
        <v>3</v>
      </c>
      <c r="M1531">
        <v>1</v>
      </c>
      <c r="N1531" t="s">
        <v>57</v>
      </c>
      <c r="O1531" s="1">
        <f>result[[#This Row],[n_killed_mutants_cumulativa]]/result[[#This Row],[tot_mutants]]</f>
        <v>0.33333333333333331</v>
      </c>
    </row>
    <row r="1532" spans="1:15" hidden="1" x14ac:dyDescent="0.25">
      <c r="A1532" t="s">
        <v>228</v>
      </c>
      <c r="B1532" t="s">
        <v>31</v>
      </c>
      <c r="C1532" t="s">
        <v>16</v>
      </c>
      <c r="D1532">
        <v>31060</v>
      </c>
      <c r="E1532">
        <v>299</v>
      </c>
      <c r="F1532">
        <v>110</v>
      </c>
      <c r="G1532">
        <v>12100</v>
      </c>
      <c r="H1532">
        <v>18146</v>
      </c>
      <c r="I1532">
        <v>36413</v>
      </c>
      <c r="J1532">
        <v>0</v>
      </c>
      <c r="K1532">
        <v>0</v>
      </c>
      <c r="L1532">
        <v>3</v>
      </c>
      <c r="M1532">
        <v>1</v>
      </c>
      <c r="N1532" t="s">
        <v>57</v>
      </c>
      <c r="O1532" s="1">
        <f>result[[#This Row],[n_killed_mutants_cumulativa]]/result[[#This Row],[tot_mutants]]</f>
        <v>0.33333333333333331</v>
      </c>
    </row>
    <row r="1533" spans="1:15" hidden="1" x14ac:dyDescent="0.25">
      <c r="A1533" t="s">
        <v>228</v>
      </c>
      <c r="B1533" t="s">
        <v>36</v>
      </c>
      <c r="C1533" t="s">
        <v>16</v>
      </c>
      <c r="D1533">
        <v>37657</v>
      </c>
      <c r="E1533">
        <v>356</v>
      </c>
      <c r="F1533">
        <v>120</v>
      </c>
      <c r="G1533">
        <v>14400</v>
      </c>
      <c r="H1533">
        <v>21660</v>
      </c>
      <c r="I1533">
        <v>43327</v>
      </c>
      <c r="J1533">
        <v>0</v>
      </c>
      <c r="K1533">
        <v>0</v>
      </c>
      <c r="L1533">
        <v>3</v>
      </c>
      <c r="M1533">
        <v>1</v>
      </c>
      <c r="N1533" t="s">
        <v>57</v>
      </c>
      <c r="O1533" s="1">
        <f>result[[#This Row],[n_killed_mutants_cumulativa]]/result[[#This Row],[tot_mutants]]</f>
        <v>0.33333333333333331</v>
      </c>
    </row>
    <row r="1534" spans="1:15" hidden="1" x14ac:dyDescent="0.25">
      <c r="A1534" t="s">
        <v>228</v>
      </c>
      <c r="B1534" t="s">
        <v>40</v>
      </c>
      <c r="C1534" t="s">
        <v>16</v>
      </c>
      <c r="D1534">
        <v>45314</v>
      </c>
      <c r="E1534">
        <v>392</v>
      </c>
      <c r="F1534">
        <v>130</v>
      </c>
      <c r="G1534">
        <v>16900</v>
      </c>
      <c r="H1534">
        <v>25272</v>
      </c>
      <c r="I1534">
        <v>50829</v>
      </c>
      <c r="J1534">
        <v>0</v>
      </c>
      <c r="K1534">
        <v>0</v>
      </c>
      <c r="L1534">
        <v>3</v>
      </c>
      <c r="M1534">
        <v>1</v>
      </c>
      <c r="N1534" t="s">
        <v>57</v>
      </c>
      <c r="O1534" s="1">
        <f>result[[#This Row],[n_killed_mutants_cumulativa]]/result[[#This Row],[tot_mutants]]</f>
        <v>0.33333333333333331</v>
      </c>
    </row>
    <row r="1535" spans="1:15" hidden="1" x14ac:dyDescent="0.25">
      <c r="A1535" t="s">
        <v>228</v>
      </c>
      <c r="B1535" t="s">
        <v>47</v>
      </c>
      <c r="C1535" t="s">
        <v>16</v>
      </c>
      <c r="D1535">
        <v>53703</v>
      </c>
      <c r="E1535">
        <v>456</v>
      </c>
      <c r="F1535">
        <v>140</v>
      </c>
      <c r="G1535">
        <v>19600</v>
      </c>
      <c r="H1535">
        <v>29467</v>
      </c>
      <c r="I1535">
        <v>58933</v>
      </c>
      <c r="J1535">
        <v>0</v>
      </c>
      <c r="K1535">
        <v>0</v>
      </c>
      <c r="L1535">
        <v>3</v>
      </c>
      <c r="M1535">
        <v>1</v>
      </c>
      <c r="N1535" t="s">
        <v>57</v>
      </c>
      <c r="O1535" s="1">
        <f>result[[#This Row],[n_killed_mutants_cumulativa]]/result[[#This Row],[tot_mutants]]</f>
        <v>0.33333333333333331</v>
      </c>
    </row>
    <row r="1536" spans="1:15" hidden="1" x14ac:dyDescent="0.25">
      <c r="A1536" t="s">
        <v>228</v>
      </c>
      <c r="B1536" t="s">
        <v>48</v>
      </c>
      <c r="C1536" t="s">
        <v>16</v>
      </c>
      <c r="D1536">
        <v>62841</v>
      </c>
      <c r="E1536">
        <v>532</v>
      </c>
      <c r="F1536">
        <v>150</v>
      </c>
      <c r="G1536">
        <v>22500</v>
      </c>
      <c r="H1536">
        <v>33846</v>
      </c>
      <c r="I1536">
        <v>67650</v>
      </c>
      <c r="J1536">
        <v>0</v>
      </c>
      <c r="K1536">
        <v>0</v>
      </c>
      <c r="L1536">
        <v>3</v>
      </c>
      <c r="M1536">
        <v>1</v>
      </c>
      <c r="N1536" t="s">
        <v>57</v>
      </c>
      <c r="O1536" s="1">
        <f>result[[#This Row],[n_killed_mutants_cumulativa]]/result[[#This Row],[tot_mutants]]</f>
        <v>0.33333333333333331</v>
      </c>
    </row>
    <row r="1537" spans="1:16" hidden="1" x14ac:dyDescent="0.25">
      <c r="A1537" t="s">
        <v>228</v>
      </c>
      <c r="B1537" t="s">
        <v>49</v>
      </c>
      <c r="C1537" t="s">
        <v>16</v>
      </c>
      <c r="D1537">
        <v>72499</v>
      </c>
      <c r="E1537">
        <v>598</v>
      </c>
      <c r="F1537">
        <v>160</v>
      </c>
      <c r="G1537">
        <v>25600</v>
      </c>
      <c r="H1537">
        <v>38496</v>
      </c>
      <c r="I1537">
        <v>76961</v>
      </c>
      <c r="J1537">
        <v>0</v>
      </c>
      <c r="K1537">
        <v>0</v>
      </c>
      <c r="L1537">
        <v>3</v>
      </c>
      <c r="M1537">
        <v>1</v>
      </c>
      <c r="N1537" t="s">
        <v>57</v>
      </c>
      <c r="O1537" s="1">
        <f>result[[#This Row],[n_killed_mutants_cumulativa]]/result[[#This Row],[tot_mutants]]</f>
        <v>0.33333333333333331</v>
      </c>
    </row>
    <row r="1538" spans="1:16" hidden="1" x14ac:dyDescent="0.25">
      <c r="A1538" t="s">
        <v>228</v>
      </c>
      <c r="B1538" t="s">
        <v>50</v>
      </c>
      <c r="C1538" t="s">
        <v>16</v>
      </c>
      <c r="D1538">
        <v>84364</v>
      </c>
      <c r="E1538">
        <v>719</v>
      </c>
      <c r="F1538">
        <v>170</v>
      </c>
      <c r="G1538">
        <v>28900</v>
      </c>
      <c r="H1538">
        <v>43437</v>
      </c>
      <c r="I1538">
        <v>86898</v>
      </c>
      <c r="J1538">
        <v>0</v>
      </c>
      <c r="K1538">
        <v>0</v>
      </c>
      <c r="L1538">
        <v>3</v>
      </c>
      <c r="M1538">
        <v>1</v>
      </c>
      <c r="N1538" t="s">
        <v>57</v>
      </c>
      <c r="O1538" s="1">
        <f>result[[#This Row],[n_killed_mutants_cumulativa]]/result[[#This Row],[tot_mutants]]</f>
        <v>0.33333333333333331</v>
      </c>
    </row>
    <row r="1539" spans="1:16" hidden="1" x14ac:dyDescent="0.25">
      <c r="A1539" t="s">
        <v>228</v>
      </c>
      <c r="B1539" t="s">
        <v>51</v>
      </c>
      <c r="C1539" t="s">
        <v>16</v>
      </c>
      <c r="D1539">
        <v>96214</v>
      </c>
      <c r="E1539">
        <v>759</v>
      </c>
      <c r="F1539">
        <v>180</v>
      </c>
      <c r="G1539">
        <v>32400</v>
      </c>
      <c r="H1539">
        <v>48678</v>
      </c>
      <c r="I1539">
        <v>97375</v>
      </c>
      <c r="J1539">
        <v>0</v>
      </c>
      <c r="K1539">
        <v>0</v>
      </c>
      <c r="L1539">
        <v>3</v>
      </c>
      <c r="M1539">
        <v>1</v>
      </c>
      <c r="N1539" t="s">
        <v>57</v>
      </c>
      <c r="O1539" s="1">
        <f>result[[#This Row],[n_killed_mutants_cumulativa]]/result[[#This Row],[tot_mutants]]</f>
        <v>0.33333333333333331</v>
      </c>
    </row>
    <row r="1540" spans="1:16" hidden="1" x14ac:dyDescent="0.25">
      <c r="A1540" t="s">
        <v>228</v>
      </c>
      <c r="B1540" t="s">
        <v>52</v>
      </c>
      <c r="C1540" t="s">
        <v>16</v>
      </c>
      <c r="D1540">
        <v>109317</v>
      </c>
      <c r="E1540">
        <v>849</v>
      </c>
      <c r="F1540">
        <v>190</v>
      </c>
      <c r="G1540">
        <v>36100</v>
      </c>
      <c r="H1540">
        <v>54163</v>
      </c>
      <c r="I1540">
        <v>108465</v>
      </c>
      <c r="J1540">
        <v>0</v>
      </c>
      <c r="K1540">
        <v>0</v>
      </c>
      <c r="L1540">
        <v>3</v>
      </c>
      <c r="M1540">
        <v>1</v>
      </c>
      <c r="N1540" t="s">
        <v>57</v>
      </c>
      <c r="O1540" s="1">
        <f>result[[#This Row],[n_killed_mutants_cumulativa]]/result[[#This Row],[tot_mutants]]</f>
        <v>0.33333333333333331</v>
      </c>
    </row>
    <row r="1541" spans="1:16" x14ac:dyDescent="0.25">
      <c r="A1541" t="s">
        <v>228</v>
      </c>
      <c r="B1541" t="s">
        <v>22</v>
      </c>
      <c r="C1541" t="s">
        <v>16</v>
      </c>
      <c r="D1541">
        <v>697788</v>
      </c>
      <c r="E1541">
        <v>6122</v>
      </c>
      <c r="F1541">
        <v>1900</v>
      </c>
      <c r="G1541">
        <v>247000</v>
      </c>
      <c r="H1541">
        <v>370912</v>
      </c>
      <c r="I1541">
        <v>742878</v>
      </c>
      <c r="J1541">
        <v>0</v>
      </c>
      <c r="K1541">
        <v>0</v>
      </c>
      <c r="L1541">
        <v>3</v>
      </c>
      <c r="M1541">
        <v>1</v>
      </c>
      <c r="N1541" t="s">
        <v>57</v>
      </c>
      <c r="O1541" s="1">
        <f>result[[#This Row],[n_killed_mutants_cumulativa]]/result[[#This Row],[tot_mutants]]</f>
        <v>0.33333333333333331</v>
      </c>
      <c r="P1541" s="9" t="s">
        <v>360</v>
      </c>
    </row>
    <row r="1542" spans="1:16" hidden="1" x14ac:dyDescent="0.25">
      <c r="A1542" t="s">
        <v>229</v>
      </c>
      <c r="B1542" t="s">
        <v>15</v>
      </c>
      <c r="C1542" t="s">
        <v>16</v>
      </c>
      <c r="D1542">
        <v>5699</v>
      </c>
      <c r="E1542">
        <v>2240</v>
      </c>
      <c r="F1542">
        <v>0</v>
      </c>
      <c r="G1542">
        <v>0</v>
      </c>
      <c r="H1542">
        <v>0</v>
      </c>
      <c r="I1542">
        <v>0</v>
      </c>
      <c r="J1542">
        <v>10</v>
      </c>
      <c r="K1542">
        <v>0</v>
      </c>
      <c r="L1542">
        <v>36</v>
      </c>
      <c r="M1542">
        <v>0</v>
      </c>
      <c r="N1542" t="s">
        <v>17</v>
      </c>
      <c r="O1542" s="1">
        <f>result[[#This Row],[n_killed_mutants_cumulativa]]/result[[#This Row],[tot_mutants]]</f>
        <v>0</v>
      </c>
    </row>
    <row r="1543" spans="1:16" hidden="1" x14ac:dyDescent="0.25">
      <c r="A1543" t="s">
        <v>229</v>
      </c>
      <c r="B1543" t="s">
        <v>18</v>
      </c>
      <c r="C1543" t="s">
        <v>16</v>
      </c>
      <c r="D1543">
        <v>7711</v>
      </c>
      <c r="E1543">
        <v>4549</v>
      </c>
      <c r="F1543">
        <v>0</v>
      </c>
      <c r="G1543">
        <v>0</v>
      </c>
      <c r="H1543">
        <v>0</v>
      </c>
      <c r="I1543">
        <v>0</v>
      </c>
      <c r="J1543">
        <v>20</v>
      </c>
      <c r="K1543">
        <v>0</v>
      </c>
      <c r="L1543">
        <v>36</v>
      </c>
      <c r="M1543">
        <v>0</v>
      </c>
      <c r="N1543" t="s">
        <v>17</v>
      </c>
      <c r="O1543" s="1">
        <f>result[[#This Row],[n_killed_mutants_cumulativa]]/result[[#This Row],[tot_mutants]]</f>
        <v>0</v>
      </c>
    </row>
    <row r="1544" spans="1:16" hidden="1" x14ac:dyDescent="0.25">
      <c r="A1544" t="s">
        <v>229</v>
      </c>
      <c r="B1544" t="s">
        <v>19</v>
      </c>
      <c r="C1544" t="s">
        <v>16</v>
      </c>
      <c r="D1544">
        <v>14321</v>
      </c>
      <c r="E1544">
        <v>9510</v>
      </c>
      <c r="F1544">
        <v>0</v>
      </c>
      <c r="G1544">
        <v>0</v>
      </c>
      <c r="H1544">
        <v>0</v>
      </c>
      <c r="I1544">
        <v>0</v>
      </c>
      <c r="J1544">
        <v>30</v>
      </c>
      <c r="K1544">
        <v>0</v>
      </c>
      <c r="L1544">
        <v>36</v>
      </c>
      <c r="M1544">
        <v>0</v>
      </c>
      <c r="N1544" t="s">
        <v>17</v>
      </c>
      <c r="O1544" s="1">
        <f>result[[#This Row],[n_killed_mutants_cumulativa]]/result[[#This Row],[tot_mutants]]</f>
        <v>0</v>
      </c>
    </row>
    <row r="1545" spans="1:16" hidden="1" x14ac:dyDescent="0.25">
      <c r="A1545" t="s">
        <v>229</v>
      </c>
      <c r="B1545" t="s">
        <v>20</v>
      </c>
      <c r="C1545" t="s">
        <v>16</v>
      </c>
      <c r="D1545">
        <v>23442</v>
      </c>
      <c r="E1545">
        <v>16540</v>
      </c>
      <c r="F1545">
        <v>0</v>
      </c>
      <c r="G1545">
        <v>0</v>
      </c>
      <c r="H1545">
        <v>0</v>
      </c>
      <c r="I1545">
        <v>0</v>
      </c>
      <c r="J1545">
        <v>40</v>
      </c>
      <c r="K1545">
        <v>0</v>
      </c>
      <c r="L1545">
        <v>36</v>
      </c>
      <c r="M1545">
        <v>0</v>
      </c>
      <c r="N1545" t="s">
        <v>17</v>
      </c>
      <c r="O1545" s="1">
        <f>result[[#This Row],[n_killed_mutants_cumulativa]]/result[[#This Row],[tot_mutants]]</f>
        <v>0</v>
      </c>
    </row>
    <row r="1546" spans="1:16" hidden="1" x14ac:dyDescent="0.25">
      <c r="A1546" t="s">
        <v>229</v>
      </c>
      <c r="B1546" t="s">
        <v>21</v>
      </c>
      <c r="C1546" t="s">
        <v>16</v>
      </c>
      <c r="D1546">
        <v>34331</v>
      </c>
      <c r="E1546">
        <v>25099</v>
      </c>
      <c r="F1546">
        <v>0</v>
      </c>
      <c r="G1546">
        <v>0</v>
      </c>
      <c r="H1546">
        <v>0</v>
      </c>
      <c r="I1546">
        <v>0</v>
      </c>
      <c r="J1546">
        <v>50</v>
      </c>
      <c r="K1546">
        <v>0</v>
      </c>
      <c r="L1546">
        <v>36</v>
      </c>
      <c r="M1546">
        <v>0</v>
      </c>
      <c r="N1546" t="s">
        <v>17</v>
      </c>
      <c r="O1546" s="1">
        <f>result[[#This Row],[n_killed_mutants_cumulativa]]/result[[#This Row],[tot_mutants]]</f>
        <v>0</v>
      </c>
    </row>
    <row r="1547" spans="1:16" hidden="1" x14ac:dyDescent="0.25">
      <c r="A1547" t="s">
        <v>229</v>
      </c>
      <c r="B1547" t="s">
        <v>22</v>
      </c>
      <c r="C1547" t="s">
        <v>16</v>
      </c>
      <c r="D1547">
        <v>85504</v>
      </c>
      <c r="E1547">
        <v>57938</v>
      </c>
      <c r="F1547">
        <v>0</v>
      </c>
      <c r="G1547">
        <v>0</v>
      </c>
      <c r="H1547">
        <v>0</v>
      </c>
      <c r="I1547">
        <v>0</v>
      </c>
      <c r="J1547">
        <v>150</v>
      </c>
      <c r="K1547">
        <v>0</v>
      </c>
      <c r="L1547">
        <v>36</v>
      </c>
      <c r="M1547">
        <v>0</v>
      </c>
      <c r="N1547" t="s">
        <v>17</v>
      </c>
      <c r="O1547" s="1">
        <f>result[[#This Row],[n_killed_mutants_cumulativa]]/result[[#This Row],[tot_mutants]]</f>
        <v>0</v>
      </c>
    </row>
    <row r="1548" spans="1:16" hidden="1" x14ac:dyDescent="0.25">
      <c r="A1548" t="s">
        <v>230</v>
      </c>
      <c r="B1548" t="s">
        <v>15</v>
      </c>
      <c r="C1548" t="s">
        <v>16</v>
      </c>
      <c r="D1548">
        <v>7743</v>
      </c>
      <c r="E1548">
        <v>437</v>
      </c>
      <c r="F1548">
        <v>10</v>
      </c>
      <c r="G1548">
        <v>100</v>
      </c>
      <c r="H1548">
        <v>92</v>
      </c>
      <c r="I1548">
        <v>634</v>
      </c>
      <c r="J1548">
        <v>0</v>
      </c>
      <c r="K1548">
        <v>0</v>
      </c>
      <c r="L1548">
        <v>9</v>
      </c>
      <c r="M1548">
        <v>2</v>
      </c>
      <c r="N1548" t="s">
        <v>39</v>
      </c>
      <c r="O1548" s="1">
        <f>result[[#This Row],[n_killed_mutants_cumulativa]]/result[[#This Row],[tot_mutants]]</f>
        <v>0.22222222222222221</v>
      </c>
    </row>
    <row r="1549" spans="1:16" hidden="1" x14ac:dyDescent="0.25">
      <c r="A1549" t="s">
        <v>230</v>
      </c>
      <c r="B1549" t="s">
        <v>18</v>
      </c>
      <c r="C1549" t="s">
        <v>16</v>
      </c>
      <c r="D1549">
        <v>8778</v>
      </c>
      <c r="E1549">
        <v>315</v>
      </c>
      <c r="F1549">
        <v>20</v>
      </c>
      <c r="G1549">
        <v>400</v>
      </c>
      <c r="H1549">
        <v>197</v>
      </c>
      <c r="I1549">
        <v>1478</v>
      </c>
      <c r="J1549">
        <v>0</v>
      </c>
      <c r="K1549">
        <v>0</v>
      </c>
      <c r="L1549">
        <v>9</v>
      </c>
      <c r="M1549">
        <v>2</v>
      </c>
      <c r="N1549" t="s">
        <v>39</v>
      </c>
      <c r="O1549" s="1">
        <f>result[[#This Row],[n_killed_mutants_cumulativa]]/result[[#This Row],[tot_mutants]]</f>
        <v>0.22222222222222221</v>
      </c>
    </row>
    <row r="1550" spans="1:16" hidden="1" x14ac:dyDescent="0.25">
      <c r="A1550" t="s">
        <v>230</v>
      </c>
      <c r="B1550" t="s">
        <v>19</v>
      </c>
      <c r="C1550" t="s">
        <v>16</v>
      </c>
      <c r="D1550">
        <v>13468</v>
      </c>
      <c r="E1550">
        <v>351</v>
      </c>
      <c r="F1550">
        <v>30</v>
      </c>
      <c r="G1550">
        <v>900</v>
      </c>
      <c r="H1550">
        <v>296</v>
      </c>
      <c r="I1550">
        <v>2469</v>
      </c>
      <c r="J1550">
        <v>0</v>
      </c>
      <c r="K1550">
        <v>0</v>
      </c>
      <c r="L1550">
        <v>9</v>
      </c>
      <c r="M1550">
        <v>2</v>
      </c>
      <c r="N1550" t="s">
        <v>39</v>
      </c>
      <c r="O1550" s="1">
        <f>result[[#This Row],[n_killed_mutants_cumulativa]]/result[[#This Row],[tot_mutants]]</f>
        <v>0.22222222222222221</v>
      </c>
    </row>
    <row r="1551" spans="1:16" hidden="1" x14ac:dyDescent="0.25">
      <c r="A1551" t="s">
        <v>230</v>
      </c>
      <c r="B1551" t="s">
        <v>20</v>
      </c>
      <c r="C1551" t="s">
        <v>16</v>
      </c>
      <c r="D1551">
        <v>18447</v>
      </c>
      <c r="E1551">
        <v>458</v>
      </c>
      <c r="F1551">
        <v>40</v>
      </c>
      <c r="G1551">
        <v>1600</v>
      </c>
      <c r="H1551">
        <v>401</v>
      </c>
      <c r="I1551">
        <v>3707</v>
      </c>
      <c r="J1551">
        <v>0</v>
      </c>
      <c r="K1551">
        <v>0</v>
      </c>
      <c r="L1551">
        <v>9</v>
      </c>
      <c r="M1551">
        <v>2</v>
      </c>
      <c r="N1551" t="s">
        <v>39</v>
      </c>
      <c r="O1551" s="1">
        <f>result[[#This Row],[n_killed_mutants_cumulativa]]/result[[#This Row],[tot_mutants]]</f>
        <v>0.22222222222222221</v>
      </c>
    </row>
    <row r="1552" spans="1:16" hidden="1" x14ac:dyDescent="0.25">
      <c r="A1552" t="s">
        <v>230</v>
      </c>
      <c r="B1552" t="s">
        <v>21</v>
      </c>
      <c r="C1552" t="s">
        <v>16</v>
      </c>
      <c r="D1552">
        <v>24231</v>
      </c>
      <c r="E1552">
        <v>681</v>
      </c>
      <c r="F1552">
        <v>50</v>
      </c>
      <c r="G1552">
        <v>2500</v>
      </c>
      <c r="H1552">
        <v>510</v>
      </c>
      <c r="I1552">
        <v>5168</v>
      </c>
      <c r="J1552">
        <v>0</v>
      </c>
      <c r="K1552">
        <v>0</v>
      </c>
      <c r="L1552">
        <v>9</v>
      </c>
      <c r="M1552">
        <v>2</v>
      </c>
      <c r="N1552" t="s">
        <v>39</v>
      </c>
      <c r="O1552" s="1">
        <f>result[[#This Row],[n_killed_mutants_cumulativa]]/result[[#This Row],[tot_mutants]]</f>
        <v>0.22222222222222221</v>
      </c>
    </row>
    <row r="1553" spans="1:16" hidden="1" x14ac:dyDescent="0.25">
      <c r="A1553" t="s">
        <v>230</v>
      </c>
      <c r="B1553" t="s">
        <v>24</v>
      </c>
      <c r="C1553" t="s">
        <v>16</v>
      </c>
      <c r="D1553">
        <v>30531</v>
      </c>
      <c r="E1553">
        <v>943</v>
      </c>
      <c r="F1553">
        <v>60</v>
      </c>
      <c r="G1553">
        <v>3600</v>
      </c>
      <c r="H1553">
        <v>607</v>
      </c>
      <c r="I1553">
        <v>6800</v>
      </c>
      <c r="J1553">
        <v>0</v>
      </c>
      <c r="K1553">
        <v>0</v>
      </c>
      <c r="L1553">
        <v>9</v>
      </c>
      <c r="M1553">
        <v>2</v>
      </c>
      <c r="N1553" t="s">
        <v>39</v>
      </c>
      <c r="O1553" s="1">
        <f>result[[#This Row],[n_killed_mutants_cumulativa]]/result[[#This Row],[tot_mutants]]</f>
        <v>0.22222222222222221</v>
      </c>
    </row>
    <row r="1554" spans="1:16" hidden="1" x14ac:dyDescent="0.25">
      <c r="A1554" t="s">
        <v>230</v>
      </c>
      <c r="B1554" t="s">
        <v>25</v>
      </c>
      <c r="C1554" t="s">
        <v>16</v>
      </c>
      <c r="D1554">
        <v>38901</v>
      </c>
      <c r="E1554">
        <v>1275</v>
      </c>
      <c r="F1554">
        <v>70</v>
      </c>
      <c r="G1554">
        <v>4900</v>
      </c>
      <c r="H1554">
        <v>699</v>
      </c>
      <c r="I1554">
        <v>8646</v>
      </c>
      <c r="J1554">
        <v>0</v>
      </c>
      <c r="K1554">
        <v>0</v>
      </c>
      <c r="L1554">
        <v>9</v>
      </c>
      <c r="M1554">
        <v>2</v>
      </c>
      <c r="N1554" t="s">
        <v>39</v>
      </c>
      <c r="O1554" s="1">
        <f>result[[#This Row],[n_killed_mutants_cumulativa]]/result[[#This Row],[tot_mutants]]</f>
        <v>0.22222222222222221</v>
      </c>
    </row>
    <row r="1555" spans="1:16" hidden="1" x14ac:dyDescent="0.25">
      <c r="A1555" t="s">
        <v>230</v>
      </c>
      <c r="B1555" t="s">
        <v>26</v>
      </c>
      <c r="C1555" t="s">
        <v>16</v>
      </c>
      <c r="D1555">
        <v>47435</v>
      </c>
      <c r="E1555">
        <v>1604</v>
      </c>
      <c r="F1555">
        <v>80</v>
      </c>
      <c r="G1555">
        <v>6400</v>
      </c>
      <c r="H1555">
        <v>814</v>
      </c>
      <c r="I1555">
        <v>10689</v>
      </c>
      <c r="J1555">
        <v>0</v>
      </c>
      <c r="K1555">
        <v>0</v>
      </c>
      <c r="L1555">
        <v>9</v>
      </c>
      <c r="M1555">
        <v>2</v>
      </c>
      <c r="N1555" t="s">
        <v>39</v>
      </c>
      <c r="O1555" s="1">
        <f>result[[#This Row],[n_killed_mutants_cumulativa]]/result[[#This Row],[tot_mutants]]</f>
        <v>0.22222222222222221</v>
      </c>
    </row>
    <row r="1556" spans="1:16" hidden="1" x14ac:dyDescent="0.25">
      <c r="A1556" t="s">
        <v>230</v>
      </c>
      <c r="B1556" t="s">
        <v>27</v>
      </c>
      <c r="C1556" t="s">
        <v>16</v>
      </c>
      <c r="D1556">
        <v>57391</v>
      </c>
      <c r="E1556">
        <v>1962</v>
      </c>
      <c r="F1556">
        <v>90</v>
      </c>
      <c r="G1556">
        <v>8100</v>
      </c>
      <c r="H1556">
        <v>905</v>
      </c>
      <c r="I1556">
        <v>12885</v>
      </c>
      <c r="J1556">
        <v>0</v>
      </c>
      <c r="K1556">
        <v>0</v>
      </c>
      <c r="L1556">
        <v>9</v>
      </c>
      <c r="M1556">
        <v>2</v>
      </c>
      <c r="N1556" t="s">
        <v>39</v>
      </c>
      <c r="O1556" s="1">
        <f>result[[#This Row],[n_killed_mutants_cumulativa]]/result[[#This Row],[tot_mutants]]</f>
        <v>0.22222222222222221</v>
      </c>
    </row>
    <row r="1557" spans="1:16" hidden="1" x14ac:dyDescent="0.25">
      <c r="A1557" t="s">
        <v>230</v>
      </c>
      <c r="B1557" t="s">
        <v>30</v>
      </c>
      <c r="C1557" t="s">
        <v>16</v>
      </c>
      <c r="D1557">
        <v>67746</v>
      </c>
      <c r="E1557">
        <v>2388</v>
      </c>
      <c r="F1557">
        <v>100</v>
      </c>
      <c r="G1557">
        <v>10000</v>
      </c>
      <c r="H1557">
        <v>1001</v>
      </c>
      <c r="I1557">
        <v>15302</v>
      </c>
      <c r="J1557">
        <v>0</v>
      </c>
      <c r="K1557">
        <v>0</v>
      </c>
      <c r="L1557">
        <v>9</v>
      </c>
      <c r="M1557">
        <v>2</v>
      </c>
      <c r="N1557" t="s">
        <v>39</v>
      </c>
      <c r="O1557" s="1">
        <f>result[[#This Row],[n_killed_mutants_cumulativa]]/result[[#This Row],[tot_mutants]]</f>
        <v>0.22222222222222221</v>
      </c>
    </row>
    <row r="1558" spans="1:16" hidden="1" x14ac:dyDescent="0.25">
      <c r="A1558" t="s">
        <v>230</v>
      </c>
      <c r="B1558" t="s">
        <v>31</v>
      </c>
      <c r="C1558" t="s">
        <v>16</v>
      </c>
      <c r="D1558">
        <v>81594</v>
      </c>
      <c r="E1558">
        <v>2881</v>
      </c>
      <c r="F1558">
        <v>110</v>
      </c>
      <c r="G1558">
        <v>12100</v>
      </c>
      <c r="H1558">
        <v>1116</v>
      </c>
      <c r="I1558">
        <v>17918</v>
      </c>
      <c r="J1558">
        <v>0</v>
      </c>
      <c r="K1558">
        <v>0</v>
      </c>
      <c r="L1558">
        <v>9</v>
      </c>
      <c r="M1558">
        <v>2</v>
      </c>
      <c r="N1558" t="s">
        <v>39</v>
      </c>
      <c r="O1558" s="1">
        <f>result[[#This Row],[n_killed_mutants_cumulativa]]/result[[#This Row],[tot_mutants]]</f>
        <v>0.22222222222222221</v>
      </c>
    </row>
    <row r="1559" spans="1:16" hidden="1" x14ac:dyDescent="0.25">
      <c r="A1559" t="s">
        <v>230</v>
      </c>
      <c r="B1559" t="s">
        <v>36</v>
      </c>
      <c r="C1559" t="s">
        <v>16</v>
      </c>
      <c r="D1559">
        <v>102282</v>
      </c>
      <c r="E1559">
        <v>3563</v>
      </c>
      <c r="F1559">
        <v>120</v>
      </c>
      <c r="G1559">
        <v>14400</v>
      </c>
      <c r="H1559">
        <v>1207</v>
      </c>
      <c r="I1559">
        <v>20805</v>
      </c>
      <c r="J1559">
        <v>0</v>
      </c>
      <c r="K1559">
        <v>0</v>
      </c>
      <c r="L1559">
        <v>9</v>
      </c>
      <c r="M1559">
        <v>2</v>
      </c>
      <c r="N1559" t="s">
        <v>39</v>
      </c>
      <c r="O1559" s="1">
        <f>result[[#This Row],[n_killed_mutants_cumulativa]]/result[[#This Row],[tot_mutants]]</f>
        <v>0.22222222222222221</v>
      </c>
    </row>
    <row r="1560" spans="1:16" hidden="1" x14ac:dyDescent="0.25">
      <c r="A1560" t="s">
        <v>230</v>
      </c>
      <c r="B1560" t="s">
        <v>40</v>
      </c>
      <c r="C1560" t="s">
        <v>16</v>
      </c>
      <c r="D1560">
        <v>117712</v>
      </c>
      <c r="E1560">
        <v>3933</v>
      </c>
      <c r="F1560">
        <v>130</v>
      </c>
      <c r="G1560">
        <v>16900</v>
      </c>
      <c r="H1560">
        <v>1270</v>
      </c>
      <c r="I1560">
        <v>23849</v>
      </c>
      <c r="J1560">
        <v>0</v>
      </c>
      <c r="K1560">
        <v>0</v>
      </c>
      <c r="L1560">
        <v>9</v>
      </c>
      <c r="M1560">
        <v>2</v>
      </c>
      <c r="N1560" t="s">
        <v>39</v>
      </c>
      <c r="O1560" s="1">
        <f>result[[#This Row],[n_killed_mutants_cumulativa]]/result[[#This Row],[tot_mutants]]</f>
        <v>0.22222222222222221</v>
      </c>
    </row>
    <row r="1561" spans="1:16" x14ac:dyDescent="0.25">
      <c r="A1561" t="s">
        <v>230</v>
      </c>
      <c r="B1561" t="s">
        <v>22</v>
      </c>
      <c r="C1561" t="s">
        <v>16</v>
      </c>
      <c r="D1561">
        <v>616259</v>
      </c>
      <c r="E1561">
        <v>20791</v>
      </c>
      <c r="F1561">
        <v>910</v>
      </c>
      <c r="G1561">
        <v>81900</v>
      </c>
      <c r="H1561">
        <v>9115</v>
      </c>
      <c r="I1561">
        <v>130350</v>
      </c>
      <c r="J1561">
        <v>0</v>
      </c>
      <c r="K1561">
        <v>0</v>
      </c>
      <c r="L1561">
        <v>9</v>
      </c>
      <c r="M1561">
        <v>2</v>
      </c>
      <c r="N1561" t="s">
        <v>39</v>
      </c>
      <c r="O1561" s="1">
        <f>result[[#This Row],[n_killed_mutants_cumulativa]]/result[[#This Row],[tot_mutants]]</f>
        <v>0.22222222222222221</v>
      </c>
      <c r="P1561" s="9" t="s">
        <v>374</v>
      </c>
    </row>
    <row r="1562" spans="1:16" hidden="1" x14ac:dyDescent="0.25">
      <c r="A1562" t="s">
        <v>231</v>
      </c>
      <c r="B1562" t="s">
        <v>15</v>
      </c>
      <c r="C1562" t="s">
        <v>16</v>
      </c>
      <c r="D1562">
        <v>2351</v>
      </c>
      <c r="E1562">
        <v>212</v>
      </c>
      <c r="F1562">
        <v>10</v>
      </c>
      <c r="G1562">
        <v>100</v>
      </c>
      <c r="H1562">
        <v>100</v>
      </c>
      <c r="I1562">
        <v>492</v>
      </c>
      <c r="J1562">
        <v>0</v>
      </c>
      <c r="K1562">
        <v>0</v>
      </c>
      <c r="L1562">
        <v>2</v>
      </c>
      <c r="M1562">
        <v>2</v>
      </c>
      <c r="N1562" t="s">
        <v>232</v>
      </c>
      <c r="O1562" s="1">
        <f>result[[#This Row],[n_killed_mutants_cumulativa]]/result[[#This Row],[tot_mutants]]</f>
        <v>1</v>
      </c>
    </row>
    <row r="1563" spans="1:16" x14ac:dyDescent="0.25">
      <c r="A1563" t="s">
        <v>231</v>
      </c>
      <c r="B1563" t="s">
        <v>22</v>
      </c>
      <c r="C1563" t="s">
        <v>16</v>
      </c>
      <c r="D1563">
        <v>2351</v>
      </c>
      <c r="E1563">
        <v>212</v>
      </c>
      <c r="F1563">
        <v>10</v>
      </c>
      <c r="G1563">
        <v>100</v>
      </c>
      <c r="H1563">
        <v>100</v>
      </c>
      <c r="I1563">
        <v>492</v>
      </c>
      <c r="J1563">
        <v>0</v>
      </c>
      <c r="K1563">
        <v>0</v>
      </c>
      <c r="L1563">
        <v>2</v>
      </c>
      <c r="M1563">
        <v>2</v>
      </c>
      <c r="N1563" t="s">
        <v>232</v>
      </c>
      <c r="O1563" s="1">
        <f>result[[#This Row],[n_killed_mutants_cumulativa]]/result[[#This Row],[tot_mutants]]</f>
        <v>1</v>
      </c>
      <c r="P1563" s="9" t="s">
        <v>360</v>
      </c>
    </row>
    <row r="1564" spans="1:16" hidden="1" x14ac:dyDescent="0.25">
      <c r="A1564" t="s">
        <v>233</v>
      </c>
      <c r="B1564" t="s">
        <v>15</v>
      </c>
      <c r="C1564" t="s">
        <v>16</v>
      </c>
      <c r="D1564">
        <v>4169</v>
      </c>
      <c r="E1564">
        <v>2394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10</v>
      </c>
      <c r="L1564">
        <v>2</v>
      </c>
      <c r="M1564">
        <v>0</v>
      </c>
      <c r="N1564" t="s">
        <v>17</v>
      </c>
      <c r="O1564" s="1">
        <f>result[[#This Row],[n_killed_mutants_cumulativa]]/result[[#This Row],[tot_mutants]]</f>
        <v>0</v>
      </c>
    </row>
    <row r="1565" spans="1:16" hidden="1" x14ac:dyDescent="0.25">
      <c r="A1565" t="s">
        <v>233</v>
      </c>
      <c r="B1565" t="s">
        <v>18</v>
      </c>
      <c r="C1565" t="s">
        <v>16</v>
      </c>
      <c r="D1565">
        <v>17249</v>
      </c>
      <c r="E1565">
        <v>16257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20</v>
      </c>
      <c r="L1565">
        <v>2</v>
      </c>
      <c r="M1565">
        <v>0</v>
      </c>
      <c r="N1565" t="s">
        <v>17</v>
      </c>
      <c r="O1565" s="1">
        <f>result[[#This Row],[n_killed_mutants_cumulativa]]/result[[#This Row],[tot_mutants]]</f>
        <v>0</v>
      </c>
    </row>
    <row r="1566" spans="1:16" hidden="1" x14ac:dyDescent="0.25">
      <c r="A1566" t="s">
        <v>233</v>
      </c>
      <c r="B1566" t="s">
        <v>19</v>
      </c>
      <c r="C1566" t="s">
        <v>16</v>
      </c>
      <c r="D1566">
        <v>72286</v>
      </c>
      <c r="E1566">
        <v>70885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30</v>
      </c>
      <c r="L1566">
        <v>2</v>
      </c>
      <c r="M1566">
        <v>0</v>
      </c>
      <c r="N1566" t="s">
        <v>17</v>
      </c>
      <c r="O1566" s="1">
        <f>result[[#This Row],[n_killed_mutants_cumulativa]]/result[[#This Row],[tot_mutants]]</f>
        <v>0</v>
      </c>
    </row>
    <row r="1567" spans="1:16" hidden="1" x14ac:dyDescent="0.25">
      <c r="A1567" t="s">
        <v>233</v>
      </c>
      <c r="B1567" t="s">
        <v>20</v>
      </c>
      <c r="C1567" t="s">
        <v>16</v>
      </c>
      <c r="D1567">
        <v>211472</v>
      </c>
      <c r="E1567">
        <v>209891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40</v>
      </c>
      <c r="L1567">
        <v>2</v>
      </c>
      <c r="M1567">
        <v>0</v>
      </c>
      <c r="N1567" t="s">
        <v>17</v>
      </c>
      <c r="O1567" s="1">
        <f>result[[#This Row],[n_killed_mutants_cumulativa]]/result[[#This Row],[tot_mutants]]</f>
        <v>0</v>
      </c>
    </row>
    <row r="1568" spans="1:16" hidden="1" x14ac:dyDescent="0.25">
      <c r="A1568" t="s">
        <v>233</v>
      </c>
      <c r="B1568" t="s">
        <v>21</v>
      </c>
      <c r="C1568" t="s">
        <v>16</v>
      </c>
      <c r="D1568">
        <v>452445</v>
      </c>
      <c r="E1568">
        <v>450482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50</v>
      </c>
      <c r="L1568">
        <v>2</v>
      </c>
      <c r="M1568">
        <v>0</v>
      </c>
      <c r="N1568" t="s">
        <v>17</v>
      </c>
      <c r="O1568" s="1">
        <f>result[[#This Row],[n_killed_mutants_cumulativa]]/result[[#This Row],[tot_mutants]]</f>
        <v>0</v>
      </c>
    </row>
    <row r="1569" spans="1:15" hidden="1" x14ac:dyDescent="0.25">
      <c r="A1569" t="s">
        <v>233</v>
      </c>
      <c r="B1569" t="s">
        <v>22</v>
      </c>
      <c r="C1569" t="s">
        <v>16</v>
      </c>
      <c r="D1569">
        <v>757621</v>
      </c>
      <c r="E1569">
        <v>749909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150</v>
      </c>
      <c r="L1569">
        <v>2</v>
      </c>
      <c r="M1569">
        <v>0</v>
      </c>
      <c r="N1569" t="s">
        <v>17</v>
      </c>
      <c r="O1569" s="1">
        <f>result[[#This Row],[n_killed_mutants_cumulativa]]/result[[#This Row],[tot_mutants]]</f>
        <v>0</v>
      </c>
    </row>
    <row r="1570" spans="1:15" hidden="1" x14ac:dyDescent="0.25">
      <c r="A1570" t="s">
        <v>234</v>
      </c>
      <c r="B1570" t="s">
        <v>15</v>
      </c>
      <c r="C1570" t="s">
        <v>16</v>
      </c>
      <c r="D1570">
        <v>3336</v>
      </c>
      <c r="E1570">
        <v>234</v>
      </c>
      <c r="F1570">
        <v>10</v>
      </c>
      <c r="G1570">
        <v>100</v>
      </c>
      <c r="H1570">
        <v>300</v>
      </c>
      <c r="I1570">
        <v>430</v>
      </c>
      <c r="J1570">
        <v>0</v>
      </c>
      <c r="K1570">
        <v>0</v>
      </c>
      <c r="L1570">
        <v>3</v>
      </c>
      <c r="M1570">
        <v>1</v>
      </c>
      <c r="N1570" t="s">
        <v>57</v>
      </c>
      <c r="O1570" s="1">
        <f>result[[#This Row],[n_killed_mutants_cumulativa]]/result[[#This Row],[tot_mutants]]</f>
        <v>0.33333333333333331</v>
      </c>
    </row>
    <row r="1571" spans="1:15" hidden="1" x14ac:dyDescent="0.25">
      <c r="A1571" t="s">
        <v>234</v>
      </c>
      <c r="B1571" t="s">
        <v>18</v>
      </c>
      <c r="C1571" t="s">
        <v>16</v>
      </c>
      <c r="D1571">
        <v>3289</v>
      </c>
      <c r="E1571">
        <v>191</v>
      </c>
      <c r="F1571">
        <v>20</v>
      </c>
      <c r="G1571">
        <v>400</v>
      </c>
      <c r="H1571">
        <v>1200</v>
      </c>
      <c r="I1571">
        <v>1660</v>
      </c>
      <c r="J1571">
        <v>0</v>
      </c>
      <c r="K1571">
        <v>0</v>
      </c>
      <c r="L1571">
        <v>3</v>
      </c>
      <c r="M1571">
        <v>1</v>
      </c>
      <c r="N1571" t="s">
        <v>57</v>
      </c>
      <c r="O1571" s="1">
        <f>result[[#This Row],[n_killed_mutants_cumulativa]]/result[[#This Row],[tot_mutants]]</f>
        <v>0.33333333333333331</v>
      </c>
    </row>
    <row r="1572" spans="1:15" hidden="1" x14ac:dyDescent="0.25">
      <c r="A1572" t="s">
        <v>234</v>
      </c>
      <c r="B1572" t="s">
        <v>19</v>
      </c>
      <c r="C1572" t="s">
        <v>16</v>
      </c>
      <c r="D1572">
        <v>4890</v>
      </c>
      <c r="E1572">
        <v>319</v>
      </c>
      <c r="F1572">
        <v>30</v>
      </c>
      <c r="G1572">
        <v>900</v>
      </c>
      <c r="H1572">
        <v>2700</v>
      </c>
      <c r="I1572">
        <v>3690</v>
      </c>
      <c r="J1572">
        <v>0</v>
      </c>
      <c r="K1572">
        <v>0</v>
      </c>
      <c r="L1572">
        <v>3</v>
      </c>
      <c r="M1572">
        <v>1</v>
      </c>
      <c r="N1572" t="s">
        <v>57</v>
      </c>
      <c r="O1572" s="1">
        <f>result[[#This Row],[n_killed_mutants_cumulativa]]/result[[#This Row],[tot_mutants]]</f>
        <v>0.33333333333333331</v>
      </c>
    </row>
    <row r="1573" spans="1:15" hidden="1" x14ac:dyDescent="0.25">
      <c r="A1573" t="s">
        <v>234</v>
      </c>
      <c r="B1573" t="s">
        <v>20</v>
      </c>
      <c r="C1573" t="s">
        <v>16</v>
      </c>
      <c r="D1573">
        <v>7053</v>
      </c>
      <c r="E1573">
        <v>315</v>
      </c>
      <c r="F1573">
        <v>40</v>
      </c>
      <c r="G1573">
        <v>1600</v>
      </c>
      <c r="H1573">
        <v>4800</v>
      </c>
      <c r="I1573">
        <v>6520</v>
      </c>
      <c r="J1573">
        <v>0</v>
      </c>
      <c r="K1573">
        <v>0</v>
      </c>
      <c r="L1573">
        <v>3</v>
      </c>
      <c r="M1573">
        <v>1</v>
      </c>
      <c r="N1573" t="s">
        <v>57</v>
      </c>
      <c r="O1573" s="1">
        <f>result[[#This Row],[n_killed_mutants_cumulativa]]/result[[#This Row],[tot_mutants]]</f>
        <v>0.33333333333333331</v>
      </c>
    </row>
    <row r="1574" spans="1:15" hidden="1" x14ac:dyDescent="0.25">
      <c r="A1574" t="s">
        <v>234</v>
      </c>
      <c r="B1574" t="s">
        <v>21</v>
      </c>
      <c r="C1574" t="s">
        <v>16</v>
      </c>
      <c r="D1574">
        <v>10399</v>
      </c>
      <c r="E1574">
        <v>441</v>
      </c>
      <c r="F1574">
        <v>50</v>
      </c>
      <c r="G1574">
        <v>2500</v>
      </c>
      <c r="H1574">
        <v>7500</v>
      </c>
      <c r="I1574">
        <v>10150</v>
      </c>
      <c r="J1574">
        <v>0</v>
      </c>
      <c r="K1574">
        <v>0</v>
      </c>
      <c r="L1574">
        <v>3</v>
      </c>
      <c r="M1574">
        <v>1</v>
      </c>
      <c r="N1574" t="s">
        <v>57</v>
      </c>
      <c r="O1574" s="1">
        <f>result[[#This Row],[n_killed_mutants_cumulativa]]/result[[#This Row],[tot_mutants]]</f>
        <v>0.33333333333333331</v>
      </c>
    </row>
    <row r="1575" spans="1:15" hidden="1" x14ac:dyDescent="0.25">
      <c r="A1575" t="s">
        <v>234</v>
      </c>
      <c r="B1575" t="s">
        <v>24</v>
      </c>
      <c r="C1575" t="s">
        <v>16</v>
      </c>
      <c r="D1575">
        <v>14444</v>
      </c>
      <c r="E1575">
        <v>627</v>
      </c>
      <c r="F1575">
        <v>60</v>
      </c>
      <c r="G1575">
        <v>3600</v>
      </c>
      <c r="H1575">
        <v>10800</v>
      </c>
      <c r="I1575">
        <v>14580</v>
      </c>
      <c r="J1575">
        <v>0</v>
      </c>
      <c r="K1575">
        <v>0</v>
      </c>
      <c r="L1575">
        <v>3</v>
      </c>
      <c r="M1575">
        <v>1</v>
      </c>
      <c r="N1575" t="s">
        <v>57</v>
      </c>
      <c r="O1575" s="1">
        <f>result[[#This Row],[n_killed_mutants_cumulativa]]/result[[#This Row],[tot_mutants]]</f>
        <v>0.33333333333333331</v>
      </c>
    </row>
    <row r="1576" spans="1:15" hidden="1" x14ac:dyDescent="0.25">
      <c r="A1576" t="s">
        <v>234</v>
      </c>
      <c r="B1576" t="s">
        <v>25</v>
      </c>
      <c r="C1576" t="s">
        <v>16</v>
      </c>
      <c r="D1576">
        <v>19430</v>
      </c>
      <c r="E1576">
        <v>842</v>
      </c>
      <c r="F1576">
        <v>70</v>
      </c>
      <c r="G1576">
        <v>4900</v>
      </c>
      <c r="H1576">
        <v>14700</v>
      </c>
      <c r="I1576">
        <v>19810</v>
      </c>
      <c r="J1576">
        <v>0</v>
      </c>
      <c r="K1576">
        <v>0</v>
      </c>
      <c r="L1576">
        <v>3</v>
      </c>
      <c r="M1576">
        <v>1</v>
      </c>
      <c r="N1576" t="s">
        <v>57</v>
      </c>
      <c r="O1576" s="1">
        <f>result[[#This Row],[n_killed_mutants_cumulativa]]/result[[#This Row],[tot_mutants]]</f>
        <v>0.33333333333333331</v>
      </c>
    </row>
    <row r="1577" spans="1:15" hidden="1" x14ac:dyDescent="0.25">
      <c r="A1577" t="s">
        <v>234</v>
      </c>
      <c r="B1577" t="s">
        <v>26</v>
      </c>
      <c r="C1577" t="s">
        <v>16</v>
      </c>
      <c r="D1577">
        <v>25037</v>
      </c>
      <c r="E1577">
        <v>1094</v>
      </c>
      <c r="F1577">
        <v>80</v>
      </c>
      <c r="G1577">
        <v>6400</v>
      </c>
      <c r="H1577">
        <v>19200</v>
      </c>
      <c r="I1577">
        <v>25840</v>
      </c>
      <c r="J1577">
        <v>0</v>
      </c>
      <c r="K1577">
        <v>0</v>
      </c>
      <c r="L1577">
        <v>3</v>
      </c>
      <c r="M1577">
        <v>1</v>
      </c>
      <c r="N1577" t="s">
        <v>57</v>
      </c>
      <c r="O1577" s="1">
        <f>result[[#This Row],[n_killed_mutants_cumulativa]]/result[[#This Row],[tot_mutants]]</f>
        <v>0.33333333333333331</v>
      </c>
    </row>
    <row r="1578" spans="1:15" hidden="1" x14ac:dyDescent="0.25">
      <c r="A1578" t="s">
        <v>234</v>
      </c>
      <c r="B1578" t="s">
        <v>27</v>
      </c>
      <c r="C1578" t="s">
        <v>16</v>
      </c>
      <c r="D1578">
        <v>31937</v>
      </c>
      <c r="E1578">
        <v>1383</v>
      </c>
      <c r="F1578">
        <v>90</v>
      </c>
      <c r="G1578">
        <v>8100</v>
      </c>
      <c r="H1578">
        <v>24300</v>
      </c>
      <c r="I1578">
        <v>32670</v>
      </c>
      <c r="J1578">
        <v>0</v>
      </c>
      <c r="K1578">
        <v>0</v>
      </c>
      <c r="L1578">
        <v>3</v>
      </c>
      <c r="M1578">
        <v>1</v>
      </c>
      <c r="N1578" t="s">
        <v>57</v>
      </c>
      <c r="O1578" s="1">
        <f>result[[#This Row],[n_killed_mutants_cumulativa]]/result[[#This Row],[tot_mutants]]</f>
        <v>0.33333333333333331</v>
      </c>
    </row>
    <row r="1579" spans="1:15" hidden="1" x14ac:dyDescent="0.25">
      <c r="A1579" t="s">
        <v>234</v>
      </c>
      <c r="B1579" t="s">
        <v>30</v>
      </c>
      <c r="C1579" t="s">
        <v>16</v>
      </c>
      <c r="D1579">
        <v>39676</v>
      </c>
      <c r="E1579">
        <v>1718</v>
      </c>
      <c r="F1579">
        <v>100</v>
      </c>
      <c r="G1579">
        <v>10000</v>
      </c>
      <c r="H1579">
        <v>30000</v>
      </c>
      <c r="I1579">
        <v>40300</v>
      </c>
      <c r="J1579">
        <v>0</v>
      </c>
      <c r="K1579">
        <v>0</v>
      </c>
      <c r="L1579">
        <v>3</v>
      </c>
      <c r="M1579">
        <v>1</v>
      </c>
      <c r="N1579" t="s">
        <v>57</v>
      </c>
      <c r="O1579" s="1">
        <f>result[[#This Row],[n_killed_mutants_cumulativa]]/result[[#This Row],[tot_mutants]]</f>
        <v>0.33333333333333331</v>
      </c>
    </row>
    <row r="1580" spans="1:15" hidden="1" x14ac:dyDescent="0.25">
      <c r="A1580" t="s">
        <v>234</v>
      </c>
      <c r="B1580" t="s">
        <v>31</v>
      </c>
      <c r="C1580" t="s">
        <v>16</v>
      </c>
      <c r="D1580">
        <v>48432</v>
      </c>
      <c r="E1580">
        <v>2108</v>
      </c>
      <c r="F1580">
        <v>110</v>
      </c>
      <c r="G1580">
        <v>12100</v>
      </c>
      <c r="H1580">
        <v>36300</v>
      </c>
      <c r="I1580">
        <v>48730</v>
      </c>
      <c r="J1580">
        <v>0</v>
      </c>
      <c r="K1580">
        <v>0</v>
      </c>
      <c r="L1580">
        <v>3</v>
      </c>
      <c r="M1580">
        <v>1</v>
      </c>
      <c r="N1580" t="s">
        <v>57</v>
      </c>
      <c r="O1580" s="1">
        <f>result[[#This Row],[n_killed_mutants_cumulativa]]/result[[#This Row],[tot_mutants]]</f>
        <v>0.33333333333333331</v>
      </c>
    </row>
    <row r="1581" spans="1:15" hidden="1" x14ac:dyDescent="0.25">
      <c r="A1581" t="s">
        <v>234</v>
      </c>
      <c r="B1581" t="s">
        <v>36</v>
      </c>
      <c r="C1581" t="s">
        <v>16</v>
      </c>
      <c r="D1581">
        <v>59844</v>
      </c>
      <c r="E1581">
        <v>2487</v>
      </c>
      <c r="F1581">
        <v>120</v>
      </c>
      <c r="G1581">
        <v>14400</v>
      </c>
      <c r="H1581">
        <v>43200</v>
      </c>
      <c r="I1581">
        <v>57960</v>
      </c>
      <c r="J1581">
        <v>0</v>
      </c>
      <c r="K1581">
        <v>0</v>
      </c>
      <c r="L1581">
        <v>3</v>
      </c>
      <c r="M1581">
        <v>1</v>
      </c>
      <c r="N1581" t="s">
        <v>57</v>
      </c>
      <c r="O1581" s="1">
        <f>result[[#This Row],[n_killed_mutants_cumulativa]]/result[[#This Row],[tot_mutants]]</f>
        <v>0.33333333333333331</v>
      </c>
    </row>
    <row r="1582" spans="1:15" hidden="1" x14ac:dyDescent="0.25">
      <c r="A1582" t="s">
        <v>234</v>
      </c>
      <c r="B1582" t="s">
        <v>40</v>
      </c>
      <c r="C1582" t="s">
        <v>16</v>
      </c>
      <c r="D1582">
        <v>71429</v>
      </c>
      <c r="E1582">
        <v>2886</v>
      </c>
      <c r="F1582">
        <v>130</v>
      </c>
      <c r="G1582">
        <v>16900</v>
      </c>
      <c r="H1582">
        <v>50700</v>
      </c>
      <c r="I1582">
        <v>67990</v>
      </c>
      <c r="J1582">
        <v>0</v>
      </c>
      <c r="K1582">
        <v>0</v>
      </c>
      <c r="L1582">
        <v>3</v>
      </c>
      <c r="M1582">
        <v>1</v>
      </c>
      <c r="N1582" t="s">
        <v>57</v>
      </c>
      <c r="O1582" s="1">
        <f>result[[#This Row],[n_killed_mutants_cumulativa]]/result[[#This Row],[tot_mutants]]</f>
        <v>0.33333333333333331</v>
      </c>
    </row>
    <row r="1583" spans="1:15" hidden="1" x14ac:dyDescent="0.25">
      <c r="A1583" t="s">
        <v>234</v>
      </c>
      <c r="B1583" t="s">
        <v>47</v>
      </c>
      <c r="C1583" t="s">
        <v>16</v>
      </c>
      <c r="D1583">
        <v>84154</v>
      </c>
      <c r="E1583">
        <v>3343</v>
      </c>
      <c r="F1583">
        <v>140</v>
      </c>
      <c r="G1583">
        <v>19600</v>
      </c>
      <c r="H1583">
        <v>58800</v>
      </c>
      <c r="I1583">
        <v>78820</v>
      </c>
      <c r="J1583">
        <v>0</v>
      </c>
      <c r="K1583">
        <v>0</v>
      </c>
      <c r="L1583">
        <v>3</v>
      </c>
      <c r="M1583">
        <v>1</v>
      </c>
      <c r="N1583" t="s">
        <v>57</v>
      </c>
      <c r="O1583" s="1">
        <f>result[[#This Row],[n_killed_mutants_cumulativa]]/result[[#This Row],[tot_mutants]]</f>
        <v>0.33333333333333331</v>
      </c>
    </row>
    <row r="1584" spans="1:15" hidden="1" x14ac:dyDescent="0.25">
      <c r="A1584" t="s">
        <v>234</v>
      </c>
      <c r="B1584" t="s">
        <v>48</v>
      </c>
      <c r="C1584" t="s">
        <v>16</v>
      </c>
      <c r="D1584">
        <v>98262</v>
      </c>
      <c r="E1584">
        <v>3876</v>
      </c>
      <c r="F1584">
        <v>150</v>
      </c>
      <c r="G1584">
        <v>22500</v>
      </c>
      <c r="H1584">
        <v>67500</v>
      </c>
      <c r="I1584">
        <v>90450</v>
      </c>
      <c r="J1584">
        <v>0</v>
      </c>
      <c r="K1584">
        <v>0</v>
      </c>
      <c r="L1584">
        <v>3</v>
      </c>
      <c r="M1584">
        <v>1</v>
      </c>
      <c r="N1584" t="s">
        <v>57</v>
      </c>
      <c r="O1584" s="1">
        <f>result[[#This Row],[n_killed_mutants_cumulativa]]/result[[#This Row],[tot_mutants]]</f>
        <v>0.33333333333333331</v>
      </c>
    </row>
    <row r="1585" spans="1:16" hidden="1" x14ac:dyDescent="0.25">
      <c r="A1585" t="s">
        <v>234</v>
      </c>
      <c r="B1585" t="s">
        <v>49</v>
      </c>
      <c r="C1585" t="s">
        <v>16</v>
      </c>
      <c r="D1585">
        <v>113852</v>
      </c>
      <c r="E1585">
        <v>4368</v>
      </c>
      <c r="F1585">
        <v>160</v>
      </c>
      <c r="G1585">
        <v>25600</v>
      </c>
      <c r="H1585">
        <v>76800</v>
      </c>
      <c r="I1585">
        <v>102880</v>
      </c>
      <c r="J1585">
        <v>0</v>
      </c>
      <c r="K1585">
        <v>0</v>
      </c>
      <c r="L1585">
        <v>3</v>
      </c>
      <c r="M1585">
        <v>1</v>
      </c>
      <c r="N1585" t="s">
        <v>57</v>
      </c>
      <c r="O1585" s="1">
        <f>result[[#This Row],[n_killed_mutants_cumulativa]]/result[[#This Row],[tot_mutants]]</f>
        <v>0.33333333333333331</v>
      </c>
    </row>
    <row r="1586" spans="1:16" x14ac:dyDescent="0.25">
      <c r="A1586" t="s">
        <v>234</v>
      </c>
      <c r="B1586" t="s">
        <v>22</v>
      </c>
      <c r="C1586" t="s">
        <v>16</v>
      </c>
      <c r="D1586">
        <v>635464</v>
      </c>
      <c r="E1586">
        <v>26232</v>
      </c>
      <c r="F1586">
        <v>1360</v>
      </c>
      <c r="G1586">
        <v>149600</v>
      </c>
      <c r="H1586">
        <v>448800</v>
      </c>
      <c r="I1586">
        <v>602480</v>
      </c>
      <c r="J1586">
        <v>0</v>
      </c>
      <c r="K1586">
        <v>0</v>
      </c>
      <c r="L1586">
        <v>3</v>
      </c>
      <c r="M1586">
        <v>1</v>
      </c>
      <c r="N1586" t="s">
        <v>57</v>
      </c>
      <c r="O1586" s="1">
        <f>result[[#This Row],[n_killed_mutants_cumulativa]]/result[[#This Row],[tot_mutants]]</f>
        <v>0.33333333333333331</v>
      </c>
      <c r="P1586" s="9" t="s">
        <v>359</v>
      </c>
    </row>
    <row r="1587" spans="1:16" hidden="1" x14ac:dyDescent="0.25">
      <c r="A1587" t="s">
        <v>235</v>
      </c>
      <c r="B1587" t="s">
        <v>15</v>
      </c>
      <c r="C1587" t="s">
        <v>16</v>
      </c>
      <c r="D1587">
        <v>6707</v>
      </c>
      <c r="E1587">
        <v>5396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2</v>
      </c>
      <c r="L1587">
        <v>51</v>
      </c>
      <c r="M1587">
        <v>0</v>
      </c>
      <c r="N1587" t="s">
        <v>17</v>
      </c>
      <c r="O1587" s="1">
        <f>result[[#This Row],[n_killed_mutants_cumulativa]]/result[[#This Row],[tot_mutants]]</f>
        <v>0</v>
      </c>
    </row>
    <row r="1588" spans="1:16" hidden="1" x14ac:dyDescent="0.25">
      <c r="A1588" t="s">
        <v>235</v>
      </c>
      <c r="B1588" t="s">
        <v>18</v>
      </c>
      <c r="C1588" t="s">
        <v>16</v>
      </c>
      <c r="D1588">
        <v>8159</v>
      </c>
      <c r="E1588">
        <v>8082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51</v>
      </c>
      <c r="M1588">
        <v>0</v>
      </c>
      <c r="N1588" t="s">
        <v>17</v>
      </c>
      <c r="O1588" s="1">
        <f>result[[#This Row],[n_killed_mutants_cumulativa]]/result[[#This Row],[tot_mutants]]</f>
        <v>0</v>
      </c>
    </row>
    <row r="1589" spans="1:16" hidden="1" x14ac:dyDescent="0.25">
      <c r="A1589" t="s">
        <v>235</v>
      </c>
      <c r="B1589" t="s">
        <v>19</v>
      </c>
      <c r="C1589" t="s">
        <v>16</v>
      </c>
      <c r="D1589">
        <v>7423</v>
      </c>
      <c r="E1589">
        <v>7370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51</v>
      </c>
      <c r="M1589">
        <v>0</v>
      </c>
      <c r="N1589" t="s">
        <v>17</v>
      </c>
      <c r="O1589" s="1">
        <f>result[[#This Row],[n_killed_mutants_cumulativa]]/result[[#This Row],[tot_mutants]]</f>
        <v>0</v>
      </c>
    </row>
    <row r="1590" spans="1:16" hidden="1" x14ac:dyDescent="0.25">
      <c r="A1590" t="s">
        <v>235</v>
      </c>
      <c r="B1590" t="s">
        <v>20</v>
      </c>
      <c r="C1590" t="s">
        <v>16</v>
      </c>
      <c r="D1590">
        <v>16151</v>
      </c>
      <c r="E1590">
        <v>16097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51</v>
      </c>
      <c r="M1590">
        <v>0</v>
      </c>
      <c r="N1590" t="s">
        <v>17</v>
      </c>
      <c r="O1590" s="1">
        <f>result[[#This Row],[n_killed_mutants_cumulativa]]/result[[#This Row],[tot_mutants]]</f>
        <v>0</v>
      </c>
    </row>
    <row r="1591" spans="1:16" hidden="1" x14ac:dyDescent="0.25">
      <c r="A1591" t="s">
        <v>235</v>
      </c>
      <c r="B1591" t="s">
        <v>21</v>
      </c>
      <c r="C1591" t="s">
        <v>16</v>
      </c>
      <c r="D1591">
        <v>22176</v>
      </c>
      <c r="E1591">
        <v>22135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51</v>
      </c>
      <c r="M1591">
        <v>0</v>
      </c>
      <c r="N1591" t="s">
        <v>17</v>
      </c>
      <c r="O1591" s="1">
        <f>result[[#This Row],[n_killed_mutants_cumulativa]]/result[[#This Row],[tot_mutants]]</f>
        <v>0</v>
      </c>
    </row>
    <row r="1592" spans="1:16" hidden="1" x14ac:dyDescent="0.25">
      <c r="A1592" t="s">
        <v>235</v>
      </c>
      <c r="B1592" t="s">
        <v>22</v>
      </c>
      <c r="C1592" t="s">
        <v>16</v>
      </c>
      <c r="D1592">
        <v>60616</v>
      </c>
      <c r="E1592">
        <v>59080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2</v>
      </c>
      <c r="L1592">
        <v>51</v>
      </c>
      <c r="M1592">
        <v>0</v>
      </c>
      <c r="N1592" t="s">
        <v>17</v>
      </c>
      <c r="O1592" s="1">
        <f>result[[#This Row],[n_killed_mutants_cumulativa]]/result[[#This Row],[tot_mutants]]</f>
        <v>0</v>
      </c>
    </row>
    <row r="1593" spans="1:16" hidden="1" x14ac:dyDescent="0.25">
      <c r="A1593" t="s">
        <v>236</v>
      </c>
      <c r="B1593" t="s">
        <v>15</v>
      </c>
      <c r="C1593" t="s">
        <v>16</v>
      </c>
      <c r="D1593">
        <v>2051</v>
      </c>
      <c r="E1593">
        <v>404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10</v>
      </c>
      <c r="L1593">
        <v>5</v>
      </c>
      <c r="M1593">
        <v>0</v>
      </c>
      <c r="N1593" t="s">
        <v>17</v>
      </c>
      <c r="O1593" s="1">
        <f>result[[#This Row],[n_killed_mutants_cumulativa]]/result[[#This Row],[tot_mutants]]</f>
        <v>0</v>
      </c>
    </row>
    <row r="1594" spans="1:16" hidden="1" x14ac:dyDescent="0.25">
      <c r="A1594" t="s">
        <v>236</v>
      </c>
      <c r="B1594" t="s">
        <v>18</v>
      </c>
      <c r="C1594" t="s">
        <v>16</v>
      </c>
      <c r="D1594">
        <v>1540</v>
      </c>
      <c r="E1594">
        <v>495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20</v>
      </c>
      <c r="L1594">
        <v>5</v>
      </c>
      <c r="M1594">
        <v>0</v>
      </c>
      <c r="N1594" t="s">
        <v>17</v>
      </c>
      <c r="O1594" s="1">
        <f>result[[#This Row],[n_killed_mutants_cumulativa]]/result[[#This Row],[tot_mutants]]</f>
        <v>0</v>
      </c>
    </row>
    <row r="1595" spans="1:16" hidden="1" x14ac:dyDescent="0.25">
      <c r="A1595" t="s">
        <v>236</v>
      </c>
      <c r="B1595" t="s">
        <v>19</v>
      </c>
      <c r="C1595" t="s">
        <v>16</v>
      </c>
      <c r="D1595">
        <v>1325</v>
      </c>
      <c r="E1595">
        <v>298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30</v>
      </c>
      <c r="L1595">
        <v>5</v>
      </c>
      <c r="M1595">
        <v>0</v>
      </c>
      <c r="N1595" t="s">
        <v>17</v>
      </c>
      <c r="O1595" s="1">
        <f>result[[#This Row],[n_killed_mutants_cumulativa]]/result[[#This Row],[tot_mutants]]</f>
        <v>0</v>
      </c>
    </row>
    <row r="1596" spans="1:16" hidden="1" x14ac:dyDescent="0.25">
      <c r="A1596" t="s">
        <v>236</v>
      </c>
      <c r="B1596" t="s">
        <v>20</v>
      </c>
      <c r="C1596" t="s">
        <v>16</v>
      </c>
      <c r="D1596">
        <v>1530</v>
      </c>
      <c r="E1596">
        <v>510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40</v>
      </c>
      <c r="L1596">
        <v>5</v>
      </c>
      <c r="M1596">
        <v>0</v>
      </c>
      <c r="N1596" t="s">
        <v>17</v>
      </c>
      <c r="O1596" s="1">
        <f>result[[#This Row],[n_killed_mutants_cumulativa]]/result[[#This Row],[tot_mutants]]</f>
        <v>0</v>
      </c>
    </row>
    <row r="1597" spans="1:16" hidden="1" x14ac:dyDescent="0.25">
      <c r="A1597" t="s">
        <v>236</v>
      </c>
      <c r="B1597" t="s">
        <v>21</v>
      </c>
      <c r="C1597" t="s">
        <v>16</v>
      </c>
      <c r="D1597">
        <v>1552</v>
      </c>
      <c r="E1597">
        <v>435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50</v>
      </c>
      <c r="L1597">
        <v>5</v>
      </c>
      <c r="M1597">
        <v>0</v>
      </c>
      <c r="N1597" t="s">
        <v>17</v>
      </c>
      <c r="O1597" s="1">
        <f>result[[#This Row],[n_killed_mutants_cumulativa]]/result[[#This Row],[tot_mutants]]</f>
        <v>0</v>
      </c>
    </row>
    <row r="1598" spans="1:16" hidden="1" x14ac:dyDescent="0.25">
      <c r="A1598" t="s">
        <v>236</v>
      </c>
      <c r="B1598" t="s">
        <v>22</v>
      </c>
      <c r="C1598" t="s">
        <v>16</v>
      </c>
      <c r="D1598">
        <v>7998</v>
      </c>
      <c r="E1598">
        <v>2142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150</v>
      </c>
      <c r="L1598">
        <v>5</v>
      </c>
      <c r="M1598">
        <v>0</v>
      </c>
      <c r="N1598" t="s">
        <v>17</v>
      </c>
      <c r="O1598" s="1">
        <f>result[[#This Row],[n_killed_mutants_cumulativa]]/result[[#This Row],[tot_mutants]]</f>
        <v>0</v>
      </c>
    </row>
    <row r="1599" spans="1:16" hidden="1" x14ac:dyDescent="0.25">
      <c r="A1599" t="s">
        <v>237</v>
      </c>
      <c r="B1599" t="s">
        <v>15</v>
      </c>
      <c r="C1599" t="s">
        <v>16</v>
      </c>
      <c r="D1599">
        <v>2679</v>
      </c>
      <c r="E1599">
        <v>113</v>
      </c>
      <c r="F1599">
        <v>10</v>
      </c>
      <c r="G1599">
        <v>100</v>
      </c>
      <c r="H1599">
        <v>0</v>
      </c>
      <c r="I1599">
        <v>110</v>
      </c>
      <c r="J1599">
        <v>0</v>
      </c>
      <c r="K1599">
        <v>0</v>
      </c>
      <c r="L1599">
        <v>2</v>
      </c>
      <c r="M1599">
        <v>0</v>
      </c>
      <c r="N1599" t="s">
        <v>17</v>
      </c>
      <c r="O1599" s="1">
        <f>result[[#This Row],[n_killed_mutants_cumulativa]]/result[[#This Row],[tot_mutants]]</f>
        <v>0</v>
      </c>
    </row>
    <row r="1600" spans="1:16" hidden="1" x14ac:dyDescent="0.25">
      <c r="A1600" t="s">
        <v>237</v>
      </c>
      <c r="B1600" t="s">
        <v>18</v>
      </c>
      <c r="C1600" t="s">
        <v>16</v>
      </c>
      <c r="D1600">
        <v>2379</v>
      </c>
      <c r="E1600">
        <v>79</v>
      </c>
      <c r="F1600">
        <v>20</v>
      </c>
      <c r="G1600">
        <v>400</v>
      </c>
      <c r="H1600">
        <v>0</v>
      </c>
      <c r="I1600">
        <v>420</v>
      </c>
      <c r="J1600">
        <v>0</v>
      </c>
      <c r="K1600">
        <v>0</v>
      </c>
      <c r="L1600">
        <v>2</v>
      </c>
      <c r="M1600">
        <v>0</v>
      </c>
      <c r="N1600" t="s">
        <v>17</v>
      </c>
      <c r="O1600" s="1">
        <f>result[[#This Row],[n_killed_mutants_cumulativa]]/result[[#This Row],[tot_mutants]]</f>
        <v>0</v>
      </c>
    </row>
    <row r="1601" spans="1:15" hidden="1" x14ac:dyDescent="0.25">
      <c r="A1601" t="s">
        <v>237</v>
      </c>
      <c r="B1601" t="s">
        <v>19</v>
      </c>
      <c r="C1601" t="s">
        <v>16</v>
      </c>
      <c r="D1601">
        <v>3035</v>
      </c>
      <c r="E1601">
        <v>86</v>
      </c>
      <c r="F1601">
        <v>30</v>
      </c>
      <c r="G1601">
        <v>900</v>
      </c>
      <c r="H1601">
        <v>0</v>
      </c>
      <c r="I1601">
        <v>930</v>
      </c>
      <c r="J1601">
        <v>0</v>
      </c>
      <c r="K1601">
        <v>0</v>
      </c>
      <c r="L1601">
        <v>2</v>
      </c>
      <c r="M1601">
        <v>0</v>
      </c>
      <c r="N1601" t="s">
        <v>17</v>
      </c>
      <c r="O1601" s="1">
        <f>result[[#This Row],[n_killed_mutants_cumulativa]]/result[[#This Row],[tot_mutants]]</f>
        <v>0</v>
      </c>
    </row>
    <row r="1602" spans="1:15" hidden="1" x14ac:dyDescent="0.25">
      <c r="A1602" t="s">
        <v>237</v>
      </c>
      <c r="B1602" t="s">
        <v>20</v>
      </c>
      <c r="C1602" t="s">
        <v>16</v>
      </c>
      <c r="D1602">
        <v>3974</v>
      </c>
      <c r="E1602">
        <v>198</v>
      </c>
      <c r="F1602">
        <v>40</v>
      </c>
      <c r="G1602">
        <v>1600</v>
      </c>
      <c r="H1602">
        <v>0</v>
      </c>
      <c r="I1602">
        <v>1640</v>
      </c>
      <c r="J1602">
        <v>0</v>
      </c>
      <c r="K1602">
        <v>0</v>
      </c>
      <c r="L1602">
        <v>2</v>
      </c>
      <c r="M1602">
        <v>0</v>
      </c>
      <c r="N1602" t="s">
        <v>17</v>
      </c>
      <c r="O1602" s="1">
        <f>result[[#This Row],[n_killed_mutants_cumulativa]]/result[[#This Row],[tot_mutants]]</f>
        <v>0</v>
      </c>
    </row>
    <row r="1603" spans="1:15" hidden="1" x14ac:dyDescent="0.25">
      <c r="A1603" t="s">
        <v>237</v>
      </c>
      <c r="B1603" t="s">
        <v>21</v>
      </c>
      <c r="C1603" t="s">
        <v>16</v>
      </c>
      <c r="D1603">
        <v>5200</v>
      </c>
      <c r="E1603">
        <v>186</v>
      </c>
      <c r="F1603">
        <v>50</v>
      </c>
      <c r="G1603">
        <v>2500</v>
      </c>
      <c r="H1603">
        <v>0</v>
      </c>
      <c r="I1603">
        <v>2550</v>
      </c>
      <c r="J1603">
        <v>0</v>
      </c>
      <c r="K1603">
        <v>0</v>
      </c>
      <c r="L1603">
        <v>2</v>
      </c>
      <c r="M1603">
        <v>0</v>
      </c>
      <c r="N1603" t="s">
        <v>17</v>
      </c>
      <c r="O1603" s="1">
        <f>result[[#This Row],[n_killed_mutants_cumulativa]]/result[[#This Row],[tot_mutants]]</f>
        <v>0</v>
      </c>
    </row>
    <row r="1604" spans="1:15" hidden="1" x14ac:dyDescent="0.25">
      <c r="A1604" t="s">
        <v>237</v>
      </c>
      <c r="B1604" t="s">
        <v>24</v>
      </c>
      <c r="C1604" t="s">
        <v>16</v>
      </c>
      <c r="D1604">
        <v>7178</v>
      </c>
      <c r="E1604">
        <v>327</v>
      </c>
      <c r="F1604">
        <v>60</v>
      </c>
      <c r="G1604">
        <v>3600</v>
      </c>
      <c r="H1604">
        <v>0</v>
      </c>
      <c r="I1604">
        <v>3780</v>
      </c>
      <c r="J1604">
        <v>0</v>
      </c>
      <c r="K1604">
        <v>0</v>
      </c>
      <c r="L1604">
        <v>2</v>
      </c>
      <c r="M1604">
        <v>0</v>
      </c>
      <c r="N1604" t="s">
        <v>17</v>
      </c>
      <c r="O1604" s="1">
        <f>result[[#This Row],[n_killed_mutants_cumulativa]]/result[[#This Row],[tot_mutants]]</f>
        <v>0</v>
      </c>
    </row>
    <row r="1605" spans="1:15" hidden="1" x14ac:dyDescent="0.25">
      <c r="A1605" t="s">
        <v>237</v>
      </c>
      <c r="B1605" t="s">
        <v>25</v>
      </c>
      <c r="C1605" t="s">
        <v>16</v>
      </c>
      <c r="D1605">
        <v>9466</v>
      </c>
      <c r="E1605">
        <v>357</v>
      </c>
      <c r="F1605">
        <v>70</v>
      </c>
      <c r="G1605">
        <v>4900</v>
      </c>
      <c r="H1605">
        <v>0</v>
      </c>
      <c r="I1605">
        <v>5810</v>
      </c>
      <c r="J1605">
        <v>0</v>
      </c>
      <c r="K1605">
        <v>0</v>
      </c>
      <c r="L1605">
        <v>2</v>
      </c>
      <c r="M1605">
        <v>0</v>
      </c>
      <c r="N1605" t="s">
        <v>17</v>
      </c>
      <c r="O1605" s="1">
        <f>result[[#This Row],[n_killed_mutants_cumulativa]]/result[[#This Row],[tot_mutants]]</f>
        <v>0</v>
      </c>
    </row>
    <row r="1606" spans="1:15" hidden="1" x14ac:dyDescent="0.25">
      <c r="A1606" t="s">
        <v>237</v>
      </c>
      <c r="B1606" t="s">
        <v>26</v>
      </c>
      <c r="C1606" t="s">
        <v>16</v>
      </c>
      <c r="D1606">
        <v>12263</v>
      </c>
      <c r="E1606">
        <v>466</v>
      </c>
      <c r="F1606">
        <v>80</v>
      </c>
      <c r="G1606">
        <v>6400</v>
      </c>
      <c r="H1606">
        <v>0</v>
      </c>
      <c r="I1606">
        <v>8240</v>
      </c>
      <c r="J1606">
        <v>0</v>
      </c>
      <c r="K1606">
        <v>0</v>
      </c>
      <c r="L1606">
        <v>2</v>
      </c>
      <c r="M1606">
        <v>0</v>
      </c>
      <c r="N1606" t="s">
        <v>17</v>
      </c>
      <c r="O1606" s="1">
        <f>result[[#This Row],[n_killed_mutants_cumulativa]]/result[[#This Row],[tot_mutants]]</f>
        <v>0</v>
      </c>
    </row>
    <row r="1607" spans="1:15" hidden="1" x14ac:dyDescent="0.25">
      <c r="A1607" t="s">
        <v>237</v>
      </c>
      <c r="B1607" t="s">
        <v>27</v>
      </c>
      <c r="C1607" t="s">
        <v>16</v>
      </c>
      <c r="D1607">
        <v>15541</v>
      </c>
      <c r="E1607">
        <v>587</v>
      </c>
      <c r="F1607">
        <v>90</v>
      </c>
      <c r="G1607">
        <v>8100</v>
      </c>
      <c r="H1607">
        <v>0</v>
      </c>
      <c r="I1607">
        <v>11070</v>
      </c>
      <c r="J1607">
        <v>0</v>
      </c>
      <c r="K1607">
        <v>0</v>
      </c>
      <c r="L1607">
        <v>2</v>
      </c>
      <c r="M1607">
        <v>0</v>
      </c>
      <c r="N1607" t="s">
        <v>17</v>
      </c>
      <c r="O1607" s="1">
        <f>result[[#This Row],[n_killed_mutants_cumulativa]]/result[[#This Row],[tot_mutants]]</f>
        <v>0</v>
      </c>
    </row>
    <row r="1608" spans="1:15" hidden="1" x14ac:dyDescent="0.25">
      <c r="A1608" t="s">
        <v>237</v>
      </c>
      <c r="B1608" t="s">
        <v>30</v>
      </c>
      <c r="C1608" t="s">
        <v>16</v>
      </c>
      <c r="D1608">
        <v>19254</v>
      </c>
      <c r="E1608">
        <v>722</v>
      </c>
      <c r="F1608">
        <v>100</v>
      </c>
      <c r="G1608">
        <v>10000</v>
      </c>
      <c r="H1608">
        <v>0</v>
      </c>
      <c r="I1608">
        <v>14300</v>
      </c>
      <c r="J1608">
        <v>0</v>
      </c>
      <c r="K1608">
        <v>0</v>
      </c>
      <c r="L1608">
        <v>2</v>
      </c>
      <c r="M1608">
        <v>0</v>
      </c>
      <c r="N1608" t="s">
        <v>17</v>
      </c>
      <c r="O1608" s="1">
        <f>result[[#This Row],[n_killed_mutants_cumulativa]]/result[[#This Row],[tot_mutants]]</f>
        <v>0</v>
      </c>
    </row>
    <row r="1609" spans="1:15" hidden="1" x14ac:dyDescent="0.25">
      <c r="A1609" t="s">
        <v>237</v>
      </c>
      <c r="B1609" t="s">
        <v>31</v>
      </c>
      <c r="C1609" t="s">
        <v>16</v>
      </c>
      <c r="D1609">
        <v>23644</v>
      </c>
      <c r="E1609">
        <v>881</v>
      </c>
      <c r="F1609">
        <v>110</v>
      </c>
      <c r="G1609">
        <v>12100</v>
      </c>
      <c r="H1609">
        <v>0</v>
      </c>
      <c r="I1609">
        <v>17930</v>
      </c>
      <c r="J1609">
        <v>0</v>
      </c>
      <c r="K1609">
        <v>0</v>
      </c>
      <c r="L1609">
        <v>2</v>
      </c>
      <c r="M1609">
        <v>0</v>
      </c>
      <c r="N1609" t="s">
        <v>17</v>
      </c>
      <c r="O1609" s="1">
        <f>result[[#This Row],[n_killed_mutants_cumulativa]]/result[[#This Row],[tot_mutants]]</f>
        <v>0</v>
      </c>
    </row>
    <row r="1610" spans="1:15" hidden="1" x14ac:dyDescent="0.25">
      <c r="A1610" t="s">
        <v>237</v>
      </c>
      <c r="B1610" t="s">
        <v>36</v>
      </c>
      <c r="C1610" t="s">
        <v>16</v>
      </c>
      <c r="D1610">
        <v>29088</v>
      </c>
      <c r="E1610">
        <v>1077</v>
      </c>
      <c r="F1610">
        <v>120</v>
      </c>
      <c r="G1610">
        <v>14400</v>
      </c>
      <c r="H1610">
        <v>0</v>
      </c>
      <c r="I1610">
        <v>21960</v>
      </c>
      <c r="J1610">
        <v>0</v>
      </c>
      <c r="K1610">
        <v>0</v>
      </c>
      <c r="L1610">
        <v>2</v>
      </c>
      <c r="M1610">
        <v>0</v>
      </c>
      <c r="N1610" t="s">
        <v>17</v>
      </c>
      <c r="O1610" s="1">
        <f>result[[#This Row],[n_killed_mutants_cumulativa]]/result[[#This Row],[tot_mutants]]</f>
        <v>0</v>
      </c>
    </row>
    <row r="1611" spans="1:15" hidden="1" x14ac:dyDescent="0.25">
      <c r="A1611" t="s">
        <v>237</v>
      </c>
      <c r="B1611" t="s">
        <v>40</v>
      </c>
      <c r="C1611" t="s">
        <v>16</v>
      </c>
      <c r="D1611">
        <v>34801</v>
      </c>
      <c r="E1611">
        <v>1212</v>
      </c>
      <c r="F1611">
        <v>130</v>
      </c>
      <c r="G1611">
        <v>16900</v>
      </c>
      <c r="H1611">
        <v>0</v>
      </c>
      <c r="I1611">
        <v>26390</v>
      </c>
      <c r="J1611">
        <v>0</v>
      </c>
      <c r="K1611">
        <v>0</v>
      </c>
      <c r="L1611">
        <v>2</v>
      </c>
      <c r="M1611">
        <v>0</v>
      </c>
      <c r="N1611" t="s">
        <v>17</v>
      </c>
      <c r="O1611" s="1">
        <f>result[[#This Row],[n_killed_mutants_cumulativa]]/result[[#This Row],[tot_mutants]]</f>
        <v>0</v>
      </c>
    </row>
    <row r="1612" spans="1:15" hidden="1" x14ac:dyDescent="0.25">
      <c r="A1612" t="s">
        <v>237</v>
      </c>
      <c r="B1612" t="s">
        <v>47</v>
      </c>
      <c r="C1612" t="s">
        <v>16</v>
      </c>
      <c r="D1612">
        <v>40908</v>
      </c>
      <c r="E1612">
        <v>1403</v>
      </c>
      <c r="F1612">
        <v>140</v>
      </c>
      <c r="G1612">
        <v>19600</v>
      </c>
      <c r="H1612">
        <v>0</v>
      </c>
      <c r="I1612">
        <v>31220</v>
      </c>
      <c r="J1612">
        <v>0</v>
      </c>
      <c r="K1612">
        <v>0</v>
      </c>
      <c r="L1612">
        <v>2</v>
      </c>
      <c r="M1612">
        <v>0</v>
      </c>
      <c r="N1612" t="s">
        <v>17</v>
      </c>
      <c r="O1612" s="1">
        <f>result[[#This Row],[n_killed_mutants_cumulativa]]/result[[#This Row],[tot_mutants]]</f>
        <v>0</v>
      </c>
    </row>
    <row r="1613" spans="1:15" hidden="1" x14ac:dyDescent="0.25">
      <c r="A1613" t="s">
        <v>237</v>
      </c>
      <c r="B1613" t="s">
        <v>48</v>
      </c>
      <c r="C1613" t="s">
        <v>16</v>
      </c>
      <c r="D1613">
        <v>48001</v>
      </c>
      <c r="E1613">
        <v>1615</v>
      </c>
      <c r="F1613">
        <v>150</v>
      </c>
      <c r="G1613">
        <v>22500</v>
      </c>
      <c r="H1613">
        <v>0</v>
      </c>
      <c r="I1613">
        <v>36450</v>
      </c>
      <c r="J1613">
        <v>0</v>
      </c>
      <c r="K1613">
        <v>0</v>
      </c>
      <c r="L1613">
        <v>2</v>
      </c>
      <c r="M1613">
        <v>0</v>
      </c>
      <c r="N1613" t="s">
        <v>17</v>
      </c>
      <c r="O1613" s="1">
        <f>result[[#This Row],[n_killed_mutants_cumulativa]]/result[[#This Row],[tot_mutants]]</f>
        <v>0</v>
      </c>
    </row>
    <row r="1614" spans="1:15" hidden="1" x14ac:dyDescent="0.25">
      <c r="A1614" t="s">
        <v>237</v>
      </c>
      <c r="B1614" t="s">
        <v>49</v>
      </c>
      <c r="C1614" t="s">
        <v>16</v>
      </c>
      <c r="D1614">
        <v>55560</v>
      </c>
      <c r="E1614">
        <v>1872</v>
      </c>
      <c r="F1614">
        <v>160</v>
      </c>
      <c r="G1614">
        <v>25600</v>
      </c>
      <c r="H1614">
        <v>0</v>
      </c>
      <c r="I1614">
        <v>42080</v>
      </c>
      <c r="J1614">
        <v>0</v>
      </c>
      <c r="K1614">
        <v>0</v>
      </c>
      <c r="L1614">
        <v>2</v>
      </c>
      <c r="M1614">
        <v>0</v>
      </c>
      <c r="N1614" t="s">
        <v>17</v>
      </c>
      <c r="O1614" s="1">
        <f>result[[#This Row],[n_killed_mutants_cumulativa]]/result[[#This Row],[tot_mutants]]</f>
        <v>0</v>
      </c>
    </row>
    <row r="1615" spans="1:15" hidden="1" x14ac:dyDescent="0.25">
      <c r="A1615" t="s">
        <v>237</v>
      </c>
      <c r="B1615" t="s">
        <v>50</v>
      </c>
      <c r="C1615" t="s">
        <v>16</v>
      </c>
      <c r="D1615">
        <v>64206</v>
      </c>
      <c r="E1615">
        <v>2072</v>
      </c>
      <c r="F1615">
        <v>170</v>
      </c>
      <c r="G1615">
        <v>28900</v>
      </c>
      <c r="H1615">
        <v>0</v>
      </c>
      <c r="I1615">
        <v>48110</v>
      </c>
      <c r="J1615">
        <v>0</v>
      </c>
      <c r="K1615">
        <v>0</v>
      </c>
      <c r="L1615">
        <v>2</v>
      </c>
      <c r="M1615">
        <v>0</v>
      </c>
      <c r="N1615" t="s">
        <v>17</v>
      </c>
      <c r="O1615" s="1">
        <f>result[[#This Row],[n_killed_mutants_cumulativa]]/result[[#This Row],[tot_mutants]]</f>
        <v>0</v>
      </c>
    </row>
    <row r="1616" spans="1:15" hidden="1" x14ac:dyDescent="0.25">
      <c r="A1616" t="s">
        <v>237</v>
      </c>
      <c r="B1616" t="s">
        <v>51</v>
      </c>
      <c r="C1616" t="s">
        <v>16</v>
      </c>
      <c r="D1616">
        <v>73388</v>
      </c>
      <c r="E1616">
        <v>2331</v>
      </c>
      <c r="F1616">
        <v>180</v>
      </c>
      <c r="G1616">
        <v>32400</v>
      </c>
      <c r="H1616">
        <v>0</v>
      </c>
      <c r="I1616">
        <v>54540</v>
      </c>
      <c r="J1616">
        <v>0</v>
      </c>
      <c r="K1616">
        <v>0</v>
      </c>
      <c r="L1616">
        <v>2</v>
      </c>
      <c r="M1616">
        <v>0</v>
      </c>
      <c r="N1616" t="s">
        <v>17</v>
      </c>
      <c r="O1616" s="1">
        <f>result[[#This Row],[n_killed_mutants_cumulativa]]/result[[#This Row],[tot_mutants]]</f>
        <v>0</v>
      </c>
    </row>
    <row r="1617" spans="1:16" hidden="1" x14ac:dyDescent="0.25">
      <c r="A1617" t="s">
        <v>237</v>
      </c>
      <c r="B1617" t="s">
        <v>52</v>
      </c>
      <c r="C1617" t="s">
        <v>16</v>
      </c>
      <c r="D1617">
        <v>83739</v>
      </c>
      <c r="E1617">
        <v>2656</v>
      </c>
      <c r="F1617">
        <v>190</v>
      </c>
      <c r="G1617">
        <v>36100</v>
      </c>
      <c r="H1617">
        <v>0</v>
      </c>
      <c r="I1617">
        <v>61370</v>
      </c>
      <c r="J1617">
        <v>0</v>
      </c>
      <c r="K1617">
        <v>0</v>
      </c>
      <c r="L1617">
        <v>2</v>
      </c>
      <c r="M1617">
        <v>0</v>
      </c>
      <c r="N1617" t="s">
        <v>17</v>
      </c>
      <c r="O1617" s="1">
        <f>result[[#This Row],[n_killed_mutants_cumulativa]]/result[[#This Row],[tot_mutants]]</f>
        <v>0</v>
      </c>
    </row>
    <row r="1618" spans="1:16" hidden="1" x14ac:dyDescent="0.25">
      <c r="A1618" t="s">
        <v>237</v>
      </c>
      <c r="B1618" t="s">
        <v>53</v>
      </c>
      <c r="C1618" t="s">
        <v>16</v>
      </c>
      <c r="D1618">
        <v>94388</v>
      </c>
      <c r="E1618">
        <v>2881</v>
      </c>
      <c r="F1618">
        <v>200</v>
      </c>
      <c r="G1618">
        <v>40000</v>
      </c>
      <c r="H1618">
        <v>0</v>
      </c>
      <c r="I1618">
        <v>68600</v>
      </c>
      <c r="J1618">
        <v>0</v>
      </c>
      <c r="K1618">
        <v>0</v>
      </c>
      <c r="L1618">
        <v>2</v>
      </c>
      <c r="M1618">
        <v>0</v>
      </c>
      <c r="N1618" t="s">
        <v>17</v>
      </c>
      <c r="O1618" s="1">
        <f>result[[#This Row],[n_killed_mutants_cumulativa]]/result[[#This Row],[tot_mutants]]</f>
        <v>0</v>
      </c>
    </row>
    <row r="1619" spans="1:16" hidden="1" x14ac:dyDescent="0.25">
      <c r="A1619" t="s">
        <v>237</v>
      </c>
      <c r="B1619" t="s">
        <v>22</v>
      </c>
      <c r="C1619" t="s">
        <v>16</v>
      </c>
      <c r="D1619">
        <v>628692</v>
      </c>
      <c r="E1619">
        <v>21121</v>
      </c>
      <c r="F1619">
        <v>2100</v>
      </c>
      <c r="G1619">
        <v>287000</v>
      </c>
      <c r="H1619">
        <v>0</v>
      </c>
      <c r="I1619">
        <v>457500</v>
      </c>
      <c r="J1619">
        <v>0</v>
      </c>
      <c r="K1619">
        <v>0</v>
      </c>
      <c r="L1619">
        <v>2</v>
      </c>
      <c r="M1619">
        <v>0</v>
      </c>
      <c r="N1619" t="s">
        <v>17</v>
      </c>
      <c r="O1619" s="1">
        <f>result[[#This Row],[n_killed_mutants_cumulativa]]/result[[#This Row],[tot_mutants]]</f>
        <v>0</v>
      </c>
      <c r="P1619" s="9" t="s">
        <v>351</v>
      </c>
    </row>
    <row r="1620" spans="1:16" hidden="1" x14ac:dyDescent="0.25">
      <c r="A1620" t="s">
        <v>238</v>
      </c>
      <c r="B1620" t="s">
        <v>15</v>
      </c>
      <c r="C1620" t="s">
        <v>16</v>
      </c>
      <c r="D1620">
        <v>1845</v>
      </c>
      <c r="E1620">
        <v>274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10</v>
      </c>
      <c r="L1620">
        <v>1</v>
      </c>
      <c r="M1620">
        <v>0</v>
      </c>
      <c r="N1620" t="s">
        <v>17</v>
      </c>
      <c r="O1620" s="1">
        <f>result[[#This Row],[n_killed_mutants_cumulativa]]/result[[#This Row],[tot_mutants]]</f>
        <v>0</v>
      </c>
    </row>
    <row r="1621" spans="1:16" hidden="1" x14ac:dyDescent="0.25">
      <c r="A1621" t="s">
        <v>238</v>
      </c>
      <c r="B1621" t="s">
        <v>18</v>
      </c>
      <c r="C1621" t="s">
        <v>16</v>
      </c>
      <c r="D1621">
        <v>1223</v>
      </c>
      <c r="E1621">
        <v>331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20</v>
      </c>
      <c r="L1621">
        <v>1</v>
      </c>
      <c r="M1621">
        <v>0</v>
      </c>
      <c r="N1621" t="s">
        <v>17</v>
      </c>
      <c r="O1621" s="1">
        <f>result[[#This Row],[n_killed_mutants_cumulativa]]/result[[#This Row],[tot_mutants]]</f>
        <v>0</v>
      </c>
    </row>
    <row r="1622" spans="1:16" hidden="1" x14ac:dyDescent="0.25">
      <c r="A1622" t="s">
        <v>238</v>
      </c>
      <c r="B1622" t="s">
        <v>19</v>
      </c>
      <c r="C1622" t="s">
        <v>16</v>
      </c>
      <c r="D1622">
        <v>1298</v>
      </c>
      <c r="E1622">
        <v>377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30</v>
      </c>
      <c r="L1622">
        <v>1</v>
      </c>
      <c r="M1622">
        <v>0</v>
      </c>
      <c r="N1622" t="s">
        <v>17</v>
      </c>
      <c r="O1622" s="1">
        <f>result[[#This Row],[n_killed_mutants_cumulativa]]/result[[#This Row],[tot_mutants]]</f>
        <v>0</v>
      </c>
    </row>
    <row r="1623" spans="1:16" hidden="1" x14ac:dyDescent="0.25">
      <c r="A1623" t="s">
        <v>238</v>
      </c>
      <c r="B1623" t="s">
        <v>20</v>
      </c>
      <c r="C1623" t="s">
        <v>16</v>
      </c>
      <c r="D1623">
        <v>1918</v>
      </c>
      <c r="E1623">
        <v>714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40</v>
      </c>
      <c r="L1623">
        <v>1</v>
      </c>
      <c r="M1623">
        <v>0</v>
      </c>
      <c r="N1623" t="s">
        <v>17</v>
      </c>
      <c r="O1623" s="1">
        <f>result[[#This Row],[n_killed_mutants_cumulativa]]/result[[#This Row],[tot_mutants]]</f>
        <v>0</v>
      </c>
    </row>
    <row r="1624" spans="1:16" hidden="1" x14ac:dyDescent="0.25">
      <c r="A1624" t="s">
        <v>238</v>
      </c>
      <c r="B1624" t="s">
        <v>21</v>
      </c>
      <c r="C1624" t="s">
        <v>16</v>
      </c>
      <c r="D1624">
        <v>1976</v>
      </c>
      <c r="E1624">
        <v>770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50</v>
      </c>
      <c r="L1624">
        <v>1</v>
      </c>
      <c r="M1624">
        <v>0</v>
      </c>
      <c r="N1624" t="s">
        <v>17</v>
      </c>
      <c r="O1624" s="1">
        <f>result[[#This Row],[n_killed_mutants_cumulativa]]/result[[#This Row],[tot_mutants]]</f>
        <v>0</v>
      </c>
    </row>
    <row r="1625" spans="1:16" hidden="1" x14ac:dyDescent="0.25">
      <c r="A1625" t="s">
        <v>238</v>
      </c>
      <c r="B1625" t="s">
        <v>22</v>
      </c>
      <c r="C1625" t="s">
        <v>16</v>
      </c>
      <c r="D1625">
        <v>8260</v>
      </c>
      <c r="E1625">
        <v>2466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150</v>
      </c>
      <c r="L1625">
        <v>1</v>
      </c>
      <c r="M1625">
        <v>0</v>
      </c>
      <c r="N1625" t="s">
        <v>17</v>
      </c>
      <c r="O1625" s="1">
        <f>result[[#This Row],[n_killed_mutants_cumulativa]]/result[[#This Row],[tot_mutants]]</f>
        <v>0</v>
      </c>
    </row>
    <row r="1626" spans="1:16" hidden="1" x14ac:dyDescent="0.25">
      <c r="A1626" t="s">
        <v>239</v>
      </c>
      <c r="B1626" t="s">
        <v>15</v>
      </c>
      <c r="C1626" t="s">
        <v>16</v>
      </c>
      <c r="D1626">
        <v>3018</v>
      </c>
      <c r="E1626">
        <v>678</v>
      </c>
      <c r="F1626">
        <v>0</v>
      </c>
      <c r="G1626">
        <v>0</v>
      </c>
      <c r="H1626">
        <v>0</v>
      </c>
      <c r="I1626">
        <v>0</v>
      </c>
      <c r="J1626">
        <v>8</v>
      </c>
      <c r="K1626">
        <v>2</v>
      </c>
      <c r="L1626">
        <v>31</v>
      </c>
      <c r="M1626">
        <v>0</v>
      </c>
      <c r="N1626" t="s">
        <v>17</v>
      </c>
      <c r="O1626" s="1">
        <f>result[[#This Row],[n_killed_mutants_cumulativa]]/result[[#This Row],[tot_mutants]]</f>
        <v>0</v>
      </c>
    </row>
    <row r="1627" spans="1:16" hidden="1" x14ac:dyDescent="0.25">
      <c r="A1627" t="s">
        <v>239</v>
      </c>
      <c r="B1627" t="s">
        <v>18</v>
      </c>
      <c r="C1627" t="s">
        <v>16</v>
      </c>
      <c r="D1627">
        <v>3108</v>
      </c>
      <c r="E1627">
        <v>1153</v>
      </c>
      <c r="F1627">
        <v>0</v>
      </c>
      <c r="G1627">
        <v>0</v>
      </c>
      <c r="H1627">
        <v>0</v>
      </c>
      <c r="I1627">
        <v>0</v>
      </c>
      <c r="J1627">
        <v>15</v>
      </c>
      <c r="K1627">
        <v>5</v>
      </c>
      <c r="L1627">
        <v>31</v>
      </c>
      <c r="M1627">
        <v>0</v>
      </c>
      <c r="N1627" t="s">
        <v>17</v>
      </c>
      <c r="O1627" s="1">
        <f>result[[#This Row],[n_killed_mutants_cumulativa]]/result[[#This Row],[tot_mutants]]</f>
        <v>0</v>
      </c>
    </row>
    <row r="1628" spans="1:16" hidden="1" x14ac:dyDescent="0.25">
      <c r="A1628" t="s">
        <v>239</v>
      </c>
      <c r="B1628" t="s">
        <v>19</v>
      </c>
      <c r="C1628" t="s">
        <v>16</v>
      </c>
      <c r="D1628">
        <v>3663</v>
      </c>
      <c r="E1628">
        <v>1482</v>
      </c>
      <c r="F1628">
        <v>0</v>
      </c>
      <c r="G1628">
        <v>0</v>
      </c>
      <c r="H1628">
        <v>0</v>
      </c>
      <c r="I1628">
        <v>0</v>
      </c>
      <c r="J1628">
        <v>20</v>
      </c>
      <c r="K1628">
        <v>10</v>
      </c>
      <c r="L1628">
        <v>31</v>
      </c>
      <c r="M1628">
        <v>0</v>
      </c>
      <c r="N1628" t="s">
        <v>17</v>
      </c>
      <c r="O1628" s="1">
        <f>result[[#This Row],[n_killed_mutants_cumulativa]]/result[[#This Row],[tot_mutants]]</f>
        <v>0</v>
      </c>
    </row>
    <row r="1629" spans="1:16" hidden="1" x14ac:dyDescent="0.25">
      <c r="A1629" t="s">
        <v>239</v>
      </c>
      <c r="B1629" t="s">
        <v>20</v>
      </c>
      <c r="C1629" t="s">
        <v>16</v>
      </c>
      <c r="D1629">
        <v>5199</v>
      </c>
      <c r="E1629">
        <v>2481</v>
      </c>
      <c r="F1629">
        <v>0</v>
      </c>
      <c r="G1629">
        <v>0</v>
      </c>
      <c r="H1629">
        <v>0</v>
      </c>
      <c r="I1629">
        <v>0</v>
      </c>
      <c r="J1629">
        <v>23</v>
      </c>
      <c r="K1629">
        <v>17</v>
      </c>
      <c r="L1629">
        <v>31</v>
      </c>
      <c r="M1629">
        <v>0</v>
      </c>
      <c r="N1629" t="s">
        <v>17</v>
      </c>
      <c r="O1629" s="1">
        <f>result[[#This Row],[n_killed_mutants_cumulativa]]/result[[#This Row],[tot_mutants]]</f>
        <v>0</v>
      </c>
    </row>
    <row r="1630" spans="1:16" hidden="1" x14ac:dyDescent="0.25">
      <c r="A1630" t="s">
        <v>239</v>
      </c>
      <c r="B1630" t="s">
        <v>21</v>
      </c>
      <c r="C1630" t="s">
        <v>16</v>
      </c>
      <c r="D1630">
        <v>7368</v>
      </c>
      <c r="E1630">
        <v>3760</v>
      </c>
      <c r="F1630">
        <v>0</v>
      </c>
      <c r="G1630">
        <v>0</v>
      </c>
      <c r="H1630">
        <v>0</v>
      </c>
      <c r="I1630">
        <v>0</v>
      </c>
      <c r="J1630">
        <v>30</v>
      </c>
      <c r="K1630">
        <v>20</v>
      </c>
      <c r="L1630">
        <v>31</v>
      </c>
      <c r="M1630">
        <v>0</v>
      </c>
      <c r="N1630" t="s">
        <v>17</v>
      </c>
      <c r="O1630" s="1">
        <f>result[[#This Row],[n_killed_mutants_cumulativa]]/result[[#This Row],[tot_mutants]]</f>
        <v>0</v>
      </c>
    </row>
    <row r="1631" spans="1:16" hidden="1" x14ac:dyDescent="0.25">
      <c r="A1631" t="s">
        <v>239</v>
      </c>
      <c r="B1631" t="s">
        <v>22</v>
      </c>
      <c r="C1631" t="s">
        <v>16</v>
      </c>
      <c r="D1631">
        <v>22356</v>
      </c>
      <c r="E1631">
        <v>9554</v>
      </c>
      <c r="F1631">
        <v>0</v>
      </c>
      <c r="G1631">
        <v>0</v>
      </c>
      <c r="H1631">
        <v>0</v>
      </c>
      <c r="I1631">
        <v>0</v>
      </c>
      <c r="J1631">
        <v>96</v>
      </c>
      <c r="K1631">
        <v>54</v>
      </c>
      <c r="L1631">
        <v>31</v>
      </c>
      <c r="M1631">
        <v>0</v>
      </c>
      <c r="N1631" t="s">
        <v>17</v>
      </c>
      <c r="O1631" s="1">
        <f>result[[#This Row],[n_killed_mutants_cumulativa]]/result[[#This Row],[tot_mutants]]</f>
        <v>0</v>
      </c>
    </row>
    <row r="1632" spans="1:16" hidden="1" x14ac:dyDescent="0.25">
      <c r="A1632" t="s">
        <v>240</v>
      </c>
      <c r="B1632" t="s">
        <v>15</v>
      </c>
      <c r="C1632" t="s">
        <v>16</v>
      </c>
      <c r="D1632">
        <v>1904</v>
      </c>
      <c r="E1632">
        <v>136</v>
      </c>
      <c r="F1632">
        <v>0</v>
      </c>
      <c r="G1632">
        <v>0</v>
      </c>
      <c r="H1632">
        <v>0</v>
      </c>
      <c r="I1632">
        <v>0</v>
      </c>
      <c r="J1632">
        <v>10</v>
      </c>
      <c r="K1632">
        <v>0</v>
      </c>
      <c r="L1632">
        <v>2</v>
      </c>
      <c r="M1632">
        <v>0</v>
      </c>
      <c r="N1632" t="s">
        <v>17</v>
      </c>
      <c r="O1632" s="1">
        <f>result[[#This Row],[n_killed_mutants_cumulativa]]/result[[#This Row],[tot_mutants]]</f>
        <v>0</v>
      </c>
    </row>
    <row r="1633" spans="1:16" hidden="1" x14ac:dyDescent="0.25">
      <c r="A1633" t="s">
        <v>240</v>
      </c>
      <c r="B1633" t="s">
        <v>18</v>
      </c>
      <c r="C1633" t="s">
        <v>16</v>
      </c>
      <c r="D1633">
        <v>1397</v>
      </c>
      <c r="E1633">
        <v>217</v>
      </c>
      <c r="F1633">
        <v>0</v>
      </c>
      <c r="G1633">
        <v>0</v>
      </c>
      <c r="H1633">
        <v>0</v>
      </c>
      <c r="I1633">
        <v>0</v>
      </c>
      <c r="J1633">
        <v>20</v>
      </c>
      <c r="K1633">
        <v>0</v>
      </c>
      <c r="L1633">
        <v>2</v>
      </c>
      <c r="M1633">
        <v>0</v>
      </c>
      <c r="N1633" t="s">
        <v>17</v>
      </c>
      <c r="O1633" s="1">
        <f>result[[#This Row],[n_killed_mutants_cumulativa]]/result[[#This Row],[tot_mutants]]</f>
        <v>0</v>
      </c>
    </row>
    <row r="1634" spans="1:16" hidden="1" x14ac:dyDescent="0.25">
      <c r="A1634" t="s">
        <v>240</v>
      </c>
      <c r="B1634" t="s">
        <v>19</v>
      </c>
      <c r="C1634" t="s">
        <v>16</v>
      </c>
      <c r="D1634">
        <v>1389</v>
      </c>
      <c r="E1634">
        <v>187</v>
      </c>
      <c r="F1634">
        <v>0</v>
      </c>
      <c r="G1634">
        <v>0</v>
      </c>
      <c r="H1634">
        <v>0</v>
      </c>
      <c r="I1634">
        <v>0</v>
      </c>
      <c r="J1634">
        <v>30</v>
      </c>
      <c r="K1634">
        <v>0</v>
      </c>
      <c r="L1634">
        <v>2</v>
      </c>
      <c r="M1634">
        <v>0</v>
      </c>
      <c r="N1634" t="s">
        <v>17</v>
      </c>
      <c r="O1634" s="1">
        <f>result[[#This Row],[n_killed_mutants_cumulativa]]/result[[#This Row],[tot_mutants]]</f>
        <v>0</v>
      </c>
    </row>
    <row r="1635" spans="1:16" hidden="1" x14ac:dyDescent="0.25">
      <c r="A1635" t="s">
        <v>240</v>
      </c>
      <c r="B1635" t="s">
        <v>20</v>
      </c>
      <c r="C1635" t="s">
        <v>16</v>
      </c>
      <c r="D1635">
        <v>1801</v>
      </c>
      <c r="E1635">
        <v>220</v>
      </c>
      <c r="F1635">
        <v>0</v>
      </c>
      <c r="G1635">
        <v>0</v>
      </c>
      <c r="H1635">
        <v>0</v>
      </c>
      <c r="I1635">
        <v>0</v>
      </c>
      <c r="J1635">
        <v>40</v>
      </c>
      <c r="K1635">
        <v>0</v>
      </c>
      <c r="L1635">
        <v>2</v>
      </c>
      <c r="M1635">
        <v>0</v>
      </c>
      <c r="N1635" t="s">
        <v>17</v>
      </c>
      <c r="O1635" s="1">
        <f>result[[#This Row],[n_killed_mutants_cumulativa]]/result[[#This Row],[tot_mutants]]</f>
        <v>0</v>
      </c>
    </row>
    <row r="1636" spans="1:16" hidden="1" x14ac:dyDescent="0.25">
      <c r="A1636" t="s">
        <v>240</v>
      </c>
      <c r="B1636" t="s">
        <v>21</v>
      </c>
      <c r="C1636" t="s">
        <v>16</v>
      </c>
      <c r="D1636">
        <v>1968</v>
      </c>
      <c r="E1636">
        <v>258</v>
      </c>
      <c r="F1636">
        <v>0</v>
      </c>
      <c r="G1636">
        <v>0</v>
      </c>
      <c r="H1636">
        <v>0</v>
      </c>
      <c r="I1636">
        <v>0</v>
      </c>
      <c r="J1636">
        <v>50</v>
      </c>
      <c r="K1636">
        <v>0</v>
      </c>
      <c r="L1636">
        <v>2</v>
      </c>
      <c r="M1636">
        <v>0</v>
      </c>
      <c r="N1636" t="s">
        <v>17</v>
      </c>
      <c r="O1636" s="1">
        <f>result[[#This Row],[n_killed_mutants_cumulativa]]/result[[#This Row],[tot_mutants]]</f>
        <v>0</v>
      </c>
    </row>
    <row r="1637" spans="1:16" hidden="1" x14ac:dyDescent="0.25">
      <c r="A1637" t="s">
        <v>240</v>
      </c>
      <c r="B1637" t="s">
        <v>22</v>
      </c>
      <c r="C1637" t="s">
        <v>16</v>
      </c>
      <c r="D1637">
        <v>8459</v>
      </c>
      <c r="E1637">
        <v>1018</v>
      </c>
      <c r="F1637">
        <v>0</v>
      </c>
      <c r="G1637">
        <v>0</v>
      </c>
      <c r="H1637">
        <v>0</v>
      </c>
      <c r="I1637">
        <v>0</v>
      </c>
      <c r="J1637">
        <v>150</v>
      </c>
      <c r="K1637">
        <v>0</v>
      </c>
      <c r="L1637">
        <v>2</v>
      </c>
      <c r="M1637">
        <v>0</v>
      </c>
      <c r="N1637" t="s">
        <v>17</v>
      </c>
      <c r="O1637" s="1">
        <f>result[[#This Row],[n_killed_mutants_cumulativa]]/result[[#This Row],[tot_mutants]]</f>
        <v>0</v>
      </c>
    </row>
    <row r="1638" spans="1:16" hidden="1" x14ac:dyDescent="0.25">
      <c r="A1638" t="s">
        <v>241</v>
      </c>
      <c r="B1638" t="s">
        <v>15</v>
      </c>
      <c r="C1638" t="s">
        <v>16</v>
      </c>
      <c r="D1638">
        <v>1596</v>
      </c>
      <c r="E1638">
        <v>83</v>
      </c>
      <c r="F1638">
        <v>10</v>
      </c>
      <c r="G1638">
        <v>100</v>
      </c>
      <c r="H1638">
        <v>100</v>
      </c>
      <c r="I1638">
        <v>110</v>
      </c>
      <c r="J1638">
        <v>0</v>
      </c>
      <c r="K1638">
        <v>0</v>
      </c>
      <c r="L1638">
        <v>1</v>
      </c>
      <c r="M1638">
        <v>1</v>
      </c>
      <c r="N1638" t="s">
        <v>55</v>
      </c>
      <c r="O1638" s="1">
        <f>result[[#This Row],[n_killed_mutants_cumulativa]]/result[[#This Row],[tot_mutants]]</f>
        <v>1</v>
      </c>
    </row>
    <row r="1639" spans="1:16" x14ac:dyDescent="0.25">
      <c r="A1639" t="s">
        <v>241</v>
      </c>
      <c r="B1639" t="s">
        <v>22</v>
      </c>
      <c r="C1639" t="s">
        <v>16</v>
      </c>
      <c r="D1639">
        <v>1596</v>
      </c>
      <c r="E1639">
        <v>83</v>
      </c>
      <c r="F1639">
        <v>10</v>
      </c>
      <c r="G1639">
        <v>100</v>
      </c>
      <c r="H1639">
        <v>100</v>
      </c>
      <c r="I1639">
        <v>110</v>
      </c>
      <c r="J1639">
        <v>0</v>
      </c>
      <c r="K1639">
        <v>0</v>
      </c>
      <c r="L1639">
        <v>1</v>
      </c>
      <c r="M1639">
        <v>1</v>
      </c>
      <c r="N1639" t="s">
        <v>55</v>
      </c>
      <c r="O1639" s="1">
        <f>result[[#This Row],[n_killed_mutants_cumulativa]]/result[[#This Row],[tot_mutants]]</f>
        <v>1</v>
      </c>
      <c r="P1639" s="9" t="s">
        <v>359</v>
      </c>
    </row>
    <row r="1640" spans="1:16" hidden="1" x14ac:dyDescent="0.25">
      <c r="A1640" t="s">
        <v>242</v>
      </c>
      <c r="B1640" t="s">
        <v>15</v>
      </c>
      <c r="C1640" t="s">
        <v>16</v>
      </c>
      <c r="D1640">
        <v>8475</v>
      </c>
      <c r="E1640">
        <v>302</v>
      </c>
      <c r="F1640">
        <v>10</v>
      </c>
      <c r="G1640">
        <v>100</v>
      </c>
      <c r="H1640">
        <v>132</v>
      </c>
      <c r="I1640">
        <v>480</v>
      </c>
      <c r="J1640">
        <v>0</v>
      </c>
      <c r="K1640">
        <v>0</v>
      </c>
      <c r="L1640">
        <v>15</v>
      </c>
      <c r="M1640">
        <v>0</v>
      </c>
      <c r="N1640" t="s">
        <v>17</v>
      </c>
      <c r="O1640" s="1">
        <f>result[[#This Row],[n_killed_mutants_cumulativa]]/result[[#This Row],[tot_mutants]]</f>
        <v>0</v>
      </c>
    </row>
    <row r="1641" spans="1:16" hidden="1" x14ac:dyDescent="0.25">
      <c r="A1641" t="s">
        <v>242</v>
      </c>
      <c r="B1641" t="s">
        <v>18</v>
      </c>
      <c r="C1641" t="s">
        <v>16</v>
      </c>
      <c r="D1641">
        <v>13217</v>
      </c>
      <c r="E1641">
        <v>372</v>
      </c>
      <c r="F1641">
        <v>20</v>
      </c>
      <c r="G1641">
        <v>400</v>
      </c>
      <c r="H1641">
        <v>568</v>
      </c>
      <c r="I1641">
        <v>2117</v>
      </c>
      <c r="J1641">
        <v>0</v>
      </c>
      <c r="K1641">
        <v>0</v>
      </c>
      <c r="L1641">
        <v>15</v>
      </c>
      <c r="M1641">
        <v>0</v>
      </c>
      <c r="N1641" t="s">
        <v>17</v>
      </c>
      <c r="O1641" s="1">
        <f>result[[#This Row],[n_killed_mutants_cumulativa]]/result[[#This Row],[tot_mutants]]</f>
        <v>0</v>
      </c>
    </row>
    <row r="1642" spans="1:16" hidden="1" x14ac:dyDescent="0.25">
      <c r="A1642" t="s">
        <v>242</v>
      </c>
      <c r="B1642" t="s">
        <v>19</v>
      </c>
      <c r="C1642" t="s">
        <v>16</v>
      </c>
      <c r="D1642">
        <v>23427</v>
      </c>
      <c r="E1642">
        <v>686</v>
      </c>
      <c r="F1642">
        <v>30</v>
      </c>
      <c r="G1642">
        <v>900</v>
      </c>
      <c r="H1642">
        <v>1269</v>
      </c>
      <c r="I1642">
        <v>4961</v>
      </c>
      <c r="J1642">
        <v>0</v>
      </c>
      <c r="K1642">
        <v>0</v>
      </c>
      <c r="L1642">
        <v>15</v>
      </c>
      <c r="M1642">
        <v>0</v>
      </c>
      <c r="N1642" t="s">
        <v>17</v>
      </c>
      <c r="O1642" s="1">
        <f>result[[#This Row],[n_killed_mutants_cumulativa]]/result[[#This Row],[tot_mutants]]</f>
        <v>0</v>
      </c>
    </row>
    <row r="1643" spans="1:16" hidden="1" x14ac:dyDescent="0.25">
      <c r="A1643" t="s">
        <v>242</v>
      </c>
      <c r="B1643" t="s">
        <v>20</v>
      </c>
      <c r="C1643" t="s">
        <v>16</v>
      </c>
      <c r="D1643">
        <v>37916</v>
      </c>
      <c r="E1643">
        <v>1646</v>
      </c>
      <c r="F1643">
        <v>40</v>
      </c>
      <c r="G1643">
        <v>1600</v>
      </c>
      <c r="H1643">
        <v>2247</v>
      </c>
      <c r="I1643">
        <v>8938</v>
      </c>
      <c r="J1643">
        <v>0</v>
      </c>
      <c r="K1643">
        <v>0</v>
      </c>
      <c r="L1643">
        <v>15</v>
      </c>
      <c r="M1643">
        <v>0</v>
      </c>
      <c r="N1643" t="s">
        <v>17</v>
      </c>
      <c r="O1643" s="1">
        <f>result[[#This Row],[n_killed_mutants_cumulativa]]/result[[#This Row],[tot_mutants]]</f>
        <v>0</v>
      </c>
    </row>
    <row r="1644" spans="1:16" hidden="1" x14ac:dyDescent="0.25">
      <c r="A1644" t="s">
        <v>242</v>
      </c>
      <c r="B1644" t="s">
        <v>21</v>
      </c>
      <c r="C1644" t="s">
        <v>16</v>
      </c>
      <c r="D1644">
        <v>57627</v>
      </c>
      <c r="E1644">
        <v>3014</v>
      </c>
      <c r="F1644">
        <v>50</v>
      </c>
      <c r="G1644">
        <v>2500</v>
      </c>
      <c r="H1644">
        <v>3525</v>
      </c>
      <c r="I1644">
        <v>14543</v>
      </c>
      <c r="J1644">
        <v>0</v>
      </c>
      <c r="K1644">
        <v>0</v>
      </c>
      <c r="L1644">
        <v>15</v>
      </c>
      <c r="M1644">
        <v>0</v>
      </c>
      <c r="N1644" t="s">
        <v>17</v>
      </c>
      <c r="O1644" s="1">
        <f>result[[#This Row],[n_killed_mutants_cumulativa]]/result[[#This Row],[tot_mutants]]</f>
        <v>0</v>
      </c>
    </row>
    <row r="1645" spans="1:16" hidden="1" x14ac:dyDescent="0.25">
      <c r="A1645" t="s">
        <v>242</v>
      </c>
      <c r="B1645" t="s">
        <v>24</v>
      </c>
      <c r="C1645" t="s">
        <v>16</v>
      </c>
      <c r="D1645">
        <v>81579</v>
      </c>
      <c r="E1645">
        <v>5035</v>
      </c>
      <c r="F1645">
        <v>60</v>
      </c>
      <c r="G1645">
        <v>3600</v>
      </c>
      <c r="H1645">
        <v>5043</v>
      </c>
      <c r="I1645">
        <v>21092</v>
      </c>
      <c r="J1645">
        <v>0</v>
      </c>
      <c r="K1645">
        <v>0</v>
      </c>
      <c r="L1645">
        <v>15</v>
      </c>
      <c r="M1645">
        <v>0</v>
      </c>
      <c r="N1645" t="s">
        <v>17</v>
      </c>
      <c r="O1645" s="1">
        <f>result[[#This Row],[n_killed_mutants_cumulativa]]/result[[#This Row],[tot_mutants]]</f>
        <v>0</v>
      </c>
    </row>
    <row r="1646" spans="1:16" hidden="1" x14ac:dyDescent="0.25">
      <c r="A1646" t="s">
        <v>242</v>
      </c>
      <c r="B1646" t="s">
        <v>25</v>
      </c>
      <c r="C1646" t="s">
        <v>16</v>
      </c>
      <c r="D1646">
        <v>111988</v>
      </c>
      <c r="E1646">
        <v>7928</v>
      </c>
      <c r="F1646">
        <v>70</v>
      </c>
      <c r="G1646">
        <v>4900</v>
      </c>
      <c r="H1646">
        <v>6873</v>
      </c>
      <c r="I1646">
        <v>29420</v>
      </c>
      <c r="J1646">
        <v>0</v>
      </c>
      <c r="K1646">
        <v>0</v>
      </c>
      <c r="L1646">
        <v>15</v>
      </c>
      <c r="M1646">
        <v>0</v>
      </c>
      <c r="N1646" t="s">
        <v>17</v>
      </c>
      <c r="O1646" s="1">
        <f>result[[#This Row],[n_killed_mutants_cumulativa]]/result[[#This Row],[tot_mutants]]</f>
        <v>0</v>
      </c>
    </row>
    <row r="1647" spans="1:16" hidden="1" x14ac:dyDescent="0.25">
      <c r="A1647" t="s">
        <v>242</v>
      </c>
      <c r="B1647" t="s">
        <v>26</v>
      </c>
      <c r="C1647" t="s">
        <v>16</v>
      </c>
      <c r="D1647">
        <v>152047</v>
      </c>
      <c r="E1647">
        <v>11771</v>
      </c>
      <c r="F1647">
        <v>80</v>
      </c>
      <c r="G1647">
        <v>6400</v>
      </c>
      <c r="H1647">
        <v>9076</v>
      </c>
      <c r="I1647">
        <v>39810</v>
      </c>
      <c r="J1647">
        <v>0</v>
      </c>
      <c r="K1647">
        <v>0</v>
      </c>
      <c r="L1647">
        <v>15</v>
      </c>
      <c r="M1647">
        <v>0</v>
      </c>
      <c r="N1647" t="s">
        <v>17</v>
      </c>
      <c r="O1647" s="1">
        <f>result[[#This Row],[n_killed_mutants_cumulativa]]/result[[#This Row],[tot_mutants]]</f>
        <v>0</v>
      </c>
    </row>
    <row r="1648" spans="1:16" hidden="1" x14ac:dyDescent="0.25">
      <c r="A1648" t="s">
        <v>242</v>
      </c>
      <c r="B1648" t="s">
        <v>27</v>
      </c>
      <c r="C1648" t="s">
        <v>16</v>
      </c>
      <c r="D1648">
        <v>195816</v>
      </c>
      <c r="E1648">
        <v>16727</v>
      </c>
      <c r="F1648">
        <v>90</v>
      </c>
      <c r="G1648">
        <v>8100</v>
      </c>
      <c r="H1648">
        <v>11396</v>
      </c>
      <c r="I1648">
        <v>50869</v>
      </c>
      <c r="J1648">
        <v>0</v>
      </c>
      <c r="K1648">
        <v>0</v>
      </c>
      <c r="L1648">
        <v>15</v>
      </c>
      <c r="M1648">
        <v>0</v>
      </c>
      <c r="N1648" t="s">
        <v>17</v>
      </c>
      <c r="O1648" s="1">
        <f>result[[#This Row],[n_killed_mutants_cumulativa]]/result[[#This Row],[tot_mutants]]</f>
        <v>0</v>
      </c>
    </row>
    <row r="1649" spans="1:16" hidden="1" x14ac:dyDescent="0.25">
      <c r="A1649" t="s">
        <v>242</v>
      </c>
      <c r="B1649" t="s">
        <v>22</v>
      </c>
      <c r="C1649" t="s">
        <v>16</v>
      </c>
      <c r="D1649">
        <v>682092</v>
      </c>
      <c r="E1649">
        <v>47481</v>
      </c>
      <c r="F1649">
        <v>450</v>
      </c>
      <c r="G1649">
        <v>28500</v>
      </c>
      <c r="H1649">
        <v>40129</v>
      </c>
      <c r="I1649">
        <v>172230</v>
      </c>
      <c r="J1649">
        <v>0</v>
      </c>
      <c r="K1649">
        <v>0</v>
      </c>
      <c r="L1649">
        <v>15</v>
      </c>
      <c r="M1649">
        <v>0</v>
      </c>
      <c r="N1649" t="s">
        <v>17</v>
      </c>
      <c r="O1649" s="1">
        <f>result[[#This Row],[n_killed_mutants_cumulativa]]/result[[#This Row],[tot_mutants]]</f>
        <v>0</v>
      </c>
      <c r="P1649" s="10" t="s">
        <v>346</v>
      </c>
    </row>
    <row r="1650" spans="1:16" hidden="1" x14ac:dyDescent="0.25">
      <c r="A1650" t="s">
        <v>243</v>
      </c>
      <c r="B1650" t="s">
        <v>15</v>
      </c>
      <c r="C1650" t="s">
        <v>16</v>
      </c>
      <c r="D1650">
        <v>3196</v>
      </c>
      <c r="E1650">
        <v>153</v>
      </c>
      <c r="F1650">
        <v>10</v>
      </c>
      <c r="G1650">
        <v>100</v>
      </c>
      <c r="H1650">
        <v>54</v>
      </c>
      <c r="I1650">
        <v>220</v>
      </c>
      <c r="J1650">
        <v>0</v>
      </c>
      <c r="K1650">
        <v>0</v>
      </c>
      <c r="L1650">
        <v>2</v>
      </c>
      <c r="M1650">
        <v>0</v>
      </c>
      <c r="N1650" t="s">
        <v>17</v>
      </c>
      <c r="O1650" s="1">
        <f>result[[#This Row],[n_killed_mutants_cumulativa]]/result[[#This Row],[tot_mutants]]</f>
        <v>0</v>
      </c>
    </row>
    <row r="1651" spans="1:16" hidden="1" x14ac:dyDescent="0.25">
      <c r="A1651" t="s">
        <v>243</v>
      </c>
      <c r="B1651" t="s">
        <v>18</v>
      </c>
      <c r="C1651" t="s">
        <v>16</v>
      </c>
      <c r="D1651">
        <v>2661</v>
      </c>
      <c r="E1651">
        <v>79</v>
      </c>
      <c r="F1651">
        <v>20</v>
      </c>
      <c r="G1651">
        <v>400</v>
      </c>
      <c r="H1651">
        <v>110</v>
      </c>
      <c r="I1651">
        <v>840</v>
      </c>
      <c r="J1651">
        <v>0</v>
      </c>
      <c r="K1651">
        <v>0</v>
      </c>
      <c r="L1651">
        <v>2</v>
      </c>
      <c r="M1651">
        <v>0</v>
      </c>
      <c r="N1651" t="s">
        <v>17</v>
      </c>
      <c r="O1651" s="1">
        <f>result[[#This Row],[n_killed_mutants_cumulativa]]/result[[#This Row],[tot_mutants]]</f>
        <v>0</v>
      </c>
    </row>
    <row r="1652" spans="1:16" hidden="1" x14ac:dyDescent="0.25">
      <c r="A1652" t="s">
        <v>243</v>
      </c>
      <c r="B1652" t="s">
        <v>19</v>
      </c>
      <c r="C1652" t="s">
        <v>16</v>
      </c>
      <c r="D1652">
        <v>3971</v>
      </c>
      <c r="E1652">
        <v>75</v>
      </c>
      <c r="F1652">
        <v>30</v>
      </c>
      <c r="G1652">
        <v>900</v>
      </c>
      <c r="H1652">
        <v>190</v>
      </c>
      <c r="I1652">
        <v>1860</v>
      </c>
      <c r="J1652">
        <v>0</v>
      </c>
      <c r="K1652">
        <v>0</v>
      </c>
      <c r="L1652">
        <v>2</v>
      </c>
      <c r="M1652">
        <v>0</v>
      </c>
      <c r="N1652" t="s">
        <v>17</v>
      </c>
      <c r="O1652" s="1">
        <f>result[[#This Row],[n_killed_mutants_cumulativa]]/result[[#This Row],[tot_mutants]]</f>
        <v>0</v>
      </c>
    </row>
    <row r="1653" spans="1:16" hidden="1" x14ac:dyDescent="0.25">
      <c r="A1653" t="s">
        <v>243</v>
      </c>
      <c r="B1653" t="s">
        <v>20</v>
      </c>
      <c r="C1653" t="s">
        <v>16</v>
      </c>
      <c r="D1653">
        <v>5281</v>
      </c>
      <c r="E1653">
        <v>111</v>
      </c>
      <c r="F1653">
        <v>40</v>
      </c>
      <c r="G1653">
        <v>1600</v>
      </c>
      <c r="H1653">
        <v>228</v>
      </c>
      <c r="I1653">
        <v>3280</v>
      </c>
      <c r="J1653">
        <v>0</v>
      </c>
      <c r="K1653">
        <v>0</v>
      </c>
      <c r="L1653">
        <v>2</v>
      </c>
      <c r="M1653">
        <v>0</v>
      </c>
      <c r="N1653" t="s">
        <v>17</v>
      </c>
      <c r="O1653" s="1">
        <f>result[[#This Row],[n_killed_mutants_cumulativa]]/result[[#This Row],[tot_mutants]]</f>
        <v>0</v>
      </c>
    </row>
    <row r="1654" spans="1:16" hidden="1" x14ac:dyDescent="0.25">
      <c r="A1654" t="s">
        <v>243</v>
      </c>
      <c r="B1654" t="s">
        <v>21</v>
      </c>
      <c r="C1654" t="s">
        <v>16</v>
      </c>
      <c r="D1654">
        <v>6749</v>
      </c>
      <c r="E1654">
        <v>101</v>
      </c>
      <c r="F1654">
        <v>50</v>
      </c>
      <c r="G1654">
        <v>2500</v>
      </c>
      <c r="H1654">
        <v>304</v>
      </c>
      <c r="I1654">
        <v>5100</v>
      </c>
      <c r="J1654">
        <v>0</v>
      </c>
      <c r="K1654">
        <v>0</v>
      </c>
      <c r="L1654">
        <v>2</v>
      </c>
      <c r="M1654">
        <v>0</v>
      </c>
      <c r="N1654" t="s">
        <v>17</v>
      </c>
      <c r="O1654" s="1">
        <f>result[[#This Row],[n_killed_mutants_cumulativa]]/result[[#This Row],[tot_mutants]]</f>
        <v>0</v>
      </c>
    </row>
    <row r="1655" spans="1:16" hidden="1" x14ac:dyDescent="0.25">
      <c r="A1655" t="s">
        <v>243</v>
      </c>
      <c r="B1655" t="s">
        <v>24</v>
      </c>
      <c r="C1655" t="s">
        <v>16</v>
      </c>
      <c r="D1655">
        <v>8612</v>
      </c>
      <c r="E1655">
        <v>114</v>
      </c>
      <c r="F1655">
        <v>60</v>
      </c>
      <c r="G1655">
        <v>3600</v>
      </c>
      <c r="H1655">
        <v>364</v>
      </c>
      <c r="I1655">
        <v>7320</v>
      </c>
      <c r="J1655">
        <v>0</v>
      </c>
      <c r="K1655">
        <v>0</v>
      </c>
      <c r="L1655">
        <v>2</v>
      </c>
      <c r="M1655">
        <v>0</v>
      </c>
      <c r="N1655" t="s">
        <v>17</v>
      </c>
      <c r="O1655" s="1">
        <f>result[[#This Row],[n_killed_mutants_cumulativa]]/result[[#This Row],[tot_mutants]]</f>
        <v>0</v>
      </c>
    </row>
    <row r="1656" spans="1:16" hidden="1" x14ac:dyDescent="0.25">
      <c r="A1656" t="s">
        <v>243</v>
      </c>
      <c r="B1656" t="s">
        <v>25</v>
      </c>
      <c r="C1656" t="s">
        <v>16</v>
      </c>
      <c r="D1656">
        <v>11262</v>
      </c>
      <c r="E1656">
        <v>144</v>
      </c>
      <c r="F1656">
        <v>70</v>
      </c>
      <c r="G1656">
        <v>4900</v>
      </c>
      <c r="H1656">
        <v>414</v>
      </c>
      <c r="I1656">
        <v>9940</v>
      </c>
      <c r="J1656">
        <v>0</v>
      </c>
      <c r="K1656">
        <v>0</v>
      </c>
      <c r="L1656">
        <v>2</v>
      </c>
      <c r="M1656">
        <v>0</v>
      </c>
      <c r="N1656" t="s">
        <v>17</v>
      </c>
      <c r="O1656" s="1">
        <f>result[[#This Row],[n_killed_mutants_cumulativa]]/result[[#This Row],[tot_mutants]]</f>
        <v>0</v>
      </c>
    </row>
    <row r="1657" spans="1:16" hidden="1" x14ac:dyDescent="0.25">
      <c r="A1657" t="s">
        <v>243</v>
      </c>
      <c r="B1657" t="s">
        <v>26</v>
      </c>
      <c r="C1657" t="s">
        <v>16</v>
      </c>
      <c r="D1657">
        <v>14158</v>
      </c>
      <c r="E1657">
        <v>167</v>
      </c>
      <c r="F1657">
        <v>80</v>
      </c>
      <c r="G1657">
        <v>6400</v>
      </c>
      <c r="H1657">
        <v>500</v>
      </c>
      <c r="I1657">
        <v>12960</v>
      </c>
      <c r="J1657">
        <v>0</v>
      </c>
      <c r="K1657">
        <v>0</v>
      </c>
      <c r="L1657">
        <v>2</v>
      </c>
      <c r="M1657">
        <v>0</v>
      </c>
      <c r="N1657" t="s">
        <v>17</v>
      </c>
      <c r="O1657" s="1">
        <f>result[[#This Row],[n_killed_mutants_cumulativa]]/result[[#This Row],[tot_mutants]]</f>
        <v>0</v>
      </c>
    </row>
    <row r="1658" spans="1:16" hidden="1" x14ac:dyDescent="0.25">
      <c r="A1658" t="s">
        <v>243</v>
      </c>
      <c r="B1658" t="s">
        <v>27</v>
      </c>
      <c r="C1658" t="s">
        <v>16</v>
      </c>
      <c r="D1658">
        <v>17536</v>
      </c>
      <c r="E1658">
        <v>198</v>
      </c>
      <c r="F1658">
        <v>90</v>
      </c>
      <c r="G1658">
        <v>8100</v>
      </c>
      <c r="H1658">
        <v>554</v>
      </c>
      <c r="I1658">
        <v>16380</v>
      </c>
      <c r="J1658">
        <v>0</v>
      </c>
      <c r="K1658">
        <v>0</v>
      </c>
      <c r="L1658">
        <v>2</v>
      </c>
      <c r="M1658">
        <v>0</v>
      </c>
      <c r="N1658" t="s">
        <v>17</v>
      </c>
      <c r="O1658" s="1">
        <f>result[[#This Row],[n_killed_mutants_cumulativa]]/result[[#This Row],[tot_mutants]]</f>
        <v>0</v>
      </c>
    </row>
    <row r="1659" spans="1:16" hidden="1" x14ac:dyDescent="0.25">
      <c r="A1659" t="s">
        <v>243</v>
      </c>
      <c r="B1659" t="s">
        <v>30</v>
      </c>
      <c r="C1659" t="s">
        <v>16</v>
      </c>
      <c r="D1659">
        <v>21544</v>
      </c>
      <c r="E1659">
        <v>225</v>
      </c>
      <c r="F1659">
        <v>100</v>
      </c>
      <c r="G1659">
        <v>10000</v>
      </c>
      <c r="H1659">
        <v>626</v>
      </c>
      <c r="I1659">
        <v>20200</v>
      </c>
      <c r="J1659">
        <v>0</v>
      </c>
      <c r="K1659">
        <v>0</v>
      </c>
      <c r="L1659">
        <v>2</v>
      </c>
      <c r="M1659">
        <v>0</v>
      </c>
      <c r="N1659" t="s">
        <v>17</v>
      </c>
      <c r="O1659" s="1">
        <f>result[[#This Row],[n_killed_mutants_cumulativa]]/result[[#This Row],[tot_mutants]]</f>
        <v>0</v>
      </c>
    </row>
    <row r="1660" spans="1:16" hidden="1" x14ac:dyDescent="0.25">
      <c r="A1660" t="s">
        <v>243</v>
      </c>
      <c r="B1660" t="s">
        <v>31</v>
      </c>
      <c r="C1660" t="s">
        <v>16</v>
      </c>
      <c r="D1660">
        <v>25872</v>
      </c>
      <c r="E1660">
        <v>259</v>
      </c>
      <c r="F1660">
        <v>110</v>
      </c>
      <c r="G1660">
        <v>12100</v>
      </c>
      <c r="H1660">
        <v>652</v>
      </c>
      <c r="I1660">
        <v>24420</v>
      </c>
      <c r="J1660">
        <v>0</v>
      </c>
      <c r="K1660">
        <v>0</v>
      </c>
      <c r="L1660">
        <v>2</v>
      </c>
      <c r="M1660">
        <v>0</v>
      </c>
      <c r="N1660" t="s">
        <v>17</v>
      </c>
      <c r="O1660" s="1">
        <f>result[[#This Row],[n_killed_mutants_cumulativa]]/result[[#This Row],[tot_mutants]]</f>
        <v>0</v>
      </c>
    </row>
    <row r="1661" spans="1:16" hidden="1" x14ac:dyDescent="0.25">
      <c r="A1661" t="s">
        <v>243</v>
      </c>
      <c r="B1661" t="s">
        <v>36</v>
      </c>
      <c r="C1661" t="s">
        <v>16</v>
      </c>
      <c r="D1661">
        <v>30671</v>
      </c>
      <c r="E1661">
        <v>342</v>
      </c>
      <c r="F1661">
        <v>120</v>
      </c>
      <c r="G1661">
        <v>14400</v>
      </c>
      <c r="H1661">
        <v>720</v>
      </c>
      <c r="I1661">
        <v>29040</v>
      </c>
      <c r="J1661">
        <v>0</v>
      </c>
      <c r="K1661">
        <v>0</v>
      </c>
      <c r="L1661">
        <v>2</v>
      </c>
      <c r="M1661">
        <v>0</v>
      </c>
      <c r="N1661" t="s">
        <v>17</v>
      </c>
      <c r="O1661" s="1">
        <f>result[[#This Row],[n_killed_mutants_cumulativa]]/result[[#This Row],[tot_mutants]]</f>
        <v>0</v>
      </c>
    </row>
    <row r="1662" spans="1:16" hidden="1" x14ac:dyDescent="0.25">
      <c r="A1662" t="s">
        <v>243</v>
      </c>
      <c r="B1662" t="s">
        <v>40</v>
      </c>
      <c r="C1662" t="s">
        <v>16</v>
      </c>
      <c r="D1662">
        <v>36377</v>
      </c>
      <c r="E1662">
        <v>346</v>
      </c>
      <c r="F1662">
        <v>130</v>
      </c>
      <c r="G1662">
        <v>16900</v>
      </c>
      <c r="H1662">
        <v>814</v>
      </c>
      <c r="I1662">
        <v>34060</v>
      </c>
      <c r="J1662">
        <v>0</v>
      </c>
      <c r="K1662">
        <v>0</v>
      </c>
      <c r="L1662">
        <v>2</v>
      </c>
      <c r="M1662">
        <v>0</v>
      </c>
      <c r="N1662" t="s">
        <v>17</v>
      </c>
      <c r="O1662" s="1">
        <f>result[[#This Row],[n_killed_mutants_cumulativa]]/result[[#This Row],[tot_mutants]]</f>
        <v>0</v>
      </c>
    </row>
    <row r="1663" spans="1:16" hidden="1" x14ac:dyDescent="0.25">
      <c r="A1663" t="s">
        <v>243</v>
      </c>
      <c r="B1663" t="s">
        <v>47</v>
      </c>
      <c r="C1663" t="s">
        <v>16</v>
      </c>
      <c r="D1663">
        <v>42324</v>
      </c>
      <c r="E1663">
        <v>362</v>
      </c>
      <c r="F1663">
        <v>140</v>
      </c>
      <c r="G1663">
        <v>19600</v>
      </c>
      <c r="H1663">
        <v>868</v>
      </c>
      <c r="I1663">
        <v>39480</v>
      </c>
      <c r="J1663">
        <v>0</v>
      </c>
      <c r="K1663">
        <v>0</v>
      </c>
      <c r="L1663">
        <v>2</v>
      </c>
      <c r="M1663">
        <v>0</v>
      </c>
      <c r="N1663" t="s">
        <v>17</v>
      </c>
      <c r="O1663" s="1">
        <f>result[[#This Row],[n_killed_mutants_cumulativa]]/result[[#This Row],[tot_mutants]]</f>
        <v>0</v>
      </c>
    </row>
    <row r="1664" spans="1:16" hidden="1" x14ac:dyDescent="0.25">
      <c r="A1664" t="s">
        <v>243</v>
      </c>
      <c r="B1664" t="s">
        <v>48</v>
      </c>
      <c r="C1664" t="s">
        <v>16</v>
      </c>
      <c r="D1664">
        <v>50046</v>
      </c>
      <c r="E1664">
        <v>404</v>
      </c>
      <c r="F1664">
        <v>150</v>
      </c>
      <c r="G1664">
        <v>22500</v>
      </c>
      <c r="H1664">
        <v>948</v>
      </c>
      <c r="I1664">
        <v>45300</v>
      </c>
      <c r="J1664">
        <v>0</v>
      </c>
      <c r="K1664">
        <v>0</v>
      </c>
      <c r="L1664">
        <v>2</v>
      </c>
      <c r="M1664">
        <v>0</v>
      </c>
      <c r="N1664" t="s">
        <v>17</v>
      </c>
      <c r="O1664" s="1">
        <f>result[[#This Row],[n_killed_mutants_cumulativa]]/result[[#This Row],[tot_mutants]]</f>
        <v>0</v>
      </c>
    </row>
    <row r="1665" spans="1:16" hidden="1" x14ac:dyDescent="0.25">
      <c r="A1665" t="s">
        <v>243</v>
      </c>
      <c r="B1665" t="s">
        <v>49</v>
      </c>
      <c r="C1665" t="s">
        <v>16</v>
      </c>
      <c r="D1665">
        <v>58181</v>
      </c>
      <c r="E1665">
        <v>437</v>
      </c>
      <c r="F1665">
        <v>160</v>
      </c>
      <c r="G1665">
        <v>25600</v>
      </c>
      <c r="H1665">
        <v>980</v>
      </c>
      <c r="I1665">
        <v>51520</v>
      </c>
      <c r="J1665">
        <v>0</v>
      </c>
      <c r="K1665">
        <v>0</v>
      </c>
      <c r="L1665">
        <v>2</v>
      </c>
      <c r="M1665">
        <v>0</v>
      </c>
      <c r="N1665" t="s">
        <v>17</v>
      </c>
      <c r="O1665" s="1">
        <f>result[[#This Row],[n_killed_mutants_cumulativa]]/result[[#This Row],[tot_mutants]]</f>
        <v>0</v>
      </c>
    </row>
    <row r="1666" spans="1:16" hidden="1" x14ac:dyDescent="0.25">
      <c r="A1666" t="s">
        <v>243</v>
      </c>
      <c r="B1666" t="s">
        <v>50</v>
      </c>
      <c r="C1666" t="s">
        <v>16</v>
      </c>
      <c r="D1666">
        <v>66315</v>
      </c>
      <c r="E1666">
        <v>484</v>
      </c>
      <c r="F1666">
        <v>170</v>
      </c>
      <c r="G1666">
        <v>28900</v>
      </c>
      <c r="H1666">
        <v>1046</v>
      </c>
      <c r="I1666">
        <v>58140</v>
      </c>
      <c r="J1666">
        <v>0</v>
      </c>
      <c r="K1666">
        <v>0</v>
      </c>
      <c r="L1666">
        <v>2</v>
      </c>
      <c r="M1666">
        <v>0</v>
      </c>
      <c r="N1666" t="s">
        <v>17</v>
      </c>
      <c r="O1666" s="1">
        <f>result[[#This Row],[n_killed_mutants_cumulativa]]/result[[#This Row],[tot_mutants]]</f>
        <v>0</v>
      </c>
    </row>
    <row r="1667" spans="1:16" hidden="1" x14ac:dyDescent="0.25">
      <c r="A1667" t="s">
        <v>243</v>
      </c>
      <c r="B1667" t="s">
        <v>51</v>
      </c>
      <c r="C1667" t="s">
        <v>16</v>
      </c>
      <c r="D1667">
        <v>75808</v>
      </c>
      <c r="E1667">
        <v>536</v>
      </c>
      <c r="F1667">
        <v>180</v>
      </c>
      <c r="G1667">
        <v>32400</v>
      </c>
      <c r="H1667">
        <v>1126</v>
      </c>
      <c r="I1667">
        <v>65160</v>
      </c>
      <c r="J1667">
        <v>0</v>
      </c>
      <c r="K1667">
        <v>0</v>
      </c>
      <c r="L1667">
        <v>2</v>
      </c>
      <c r="M1667">
        <v>0</v>
      </c>
      <c r="N1667" t="s">
        <v>17</v>
      </c>
      <c r="O1667" s="1">
        <f>result[[#This Row],[n_killed_mutants_cumulativa]]/result[[#This Row],[tot_mutants]]</f>
        <v>0</v>
      </c>
    </row>
    <row r="1668" spans="1:16" hidden="1" x14ac:dyDescent="0.25">
      <c r="A1668" t="s">
        <v>243</v>
      </c>
      <c r="B1668" t="s">
        <v>52</v>
      </c>
      <c r="C1668" t="s">
        <v>16</v>
      </c>
      <c r="D1668">
        <v>85603</v>
      </c>
      <c r="E1668">
        <v>577</v>
      </c>
      <c r="F1668">
        <v>190</v>
      </c>
      <c r="G1668">
        <v>36100</v>
      </c>
      <c r="H1668">
        <v>1140</v>
      </c>
      <c r="I1668">
        <v>72580</v>
      </c>
      <c r="J1668">
        <v>0</v>
      </c>
      <c r="K1668">
        <v>0</v>
      </c>
      <c r="L1668">
        <v>2</v>
      </c>
      <c r="M1668">
        <v>0</v>
      </c>
      <c r="N1668" t="s">
        <v>17</v>
      </c>
      <c r="O1668" s="1">
        <f>result[[#This Row],[n_killed_mutants_cumulativa]]/result[[#This Row],[tot_mutants]]</f>
        <v>0</v>
      </c>
    </row>
    <row r="1669" spans="1:16" hidden="1" x14ac:dyDescent="0.25">
      <c r="A1669" t="s">
        <v>243</v>
      </c>
      <c r="B1669" t="s">
        <v>53</v>
      </c>
      <c r="C1669" t="s">
        <v>16</v>
      </c>
      <c r="D1669">
        <v>96495</v>
      </c>
      <c r="E1669">
        <v>630</v>
      </c>
      <c r="F1669">
        <v>200</v>
      </c>
      <c r="G1669">
        <v>40000</v>
      </c>
      <c r="H1669">
        <v>1230</v>
      </c>
      <c r="I1669">
        <v>80400</v>
      </c>
      <c r="J1669">
        <v>0</v>
      </c>
      <c r="K1669">
        <v>0</v>
      </c>
      <c r="L1669">
        <v>2</v>
      </c>
      <c r="M1669">
        <v>0</v>
      </c>
      <c r="N1669" t="s">
        <v>17</v>
      </c>
      <c r="O1669" s="1">
        <f>result[[#This Row],[n_killed_mutants_cumulativa]]/result[[#This Row],[tot_mutants]]</f>
        <v>0</v>
      </c>
    </row>
    <row r="1670" spans="1:16" hidden="1" x14ac:dyDescent="0.25">
      <c r="A1670" t="s">
        <v>243</v>
      </c>
      <c r="B1670" t="s">
        <v>22</v>
      </c>
      <c r="C1670" t="s">
        <v>16</v>
      </c>
      <c r="D1670">
        <v>662662</v>
      </c>
      <c r="E1670">
        <v>5744</v>
      </c>
      <c r="F1670">
        <v>2100</v>
      </c>
      <c r="G1670">
        <v>287000</v>
      </c>
      <c r="H1670">
        <v>12868</v>
      </c>
      <c r="I1670">
        <v>578200</v>
      </c>
      <c r="J1670">
        <v>0</v>
      </c>
      <c r="K1670">
        <v>0</v>
      </c>
      <c r="L1670">
        <v>2</v>
      </c>
      <c r="M1670">
        <v>0</v>
      </c>
      <c r="N1670" t="s">
        <v>17</v>
      </c>
      <c r="O1670" s="1">
        <f>result[[#This Row],[n_killed_mutants_cumulativa]]/result[[#This Row],[tot_mutants]]</f>
        <v>0</v>
      </c>
      <c r="P1670" s="9" t="s">
        <v>346</v>
      </c>
    </row>
    <row r="1671" spans="1:16" hidden="1" x14ac:dyDescent="0.25">
      <c r="A1671" t="s">
        <v>244</v>
      </c>
      <c r="B1671" t="s">
        <v>15</v>
      </c>
      <c r="C1671" t="s">
        <v>16</v>
      </c>
      <c r="D1671">
        <v>5879</v>
      </c>
      <c r="E1671">
        <v>931</v>
      </c>
      <c r="F1671">
        <v>10</v>
      </c>
      <c r="G1671">
        <v>100</v>
      </c>
      <c r="H1671">
        <v>0</v>
      </c>
      <c r="I1671">
        <v>560</v>
      </c>
      <c r="J1671">
        <v>0</v>
      </c>
      <c r="K1671">
        <v>0</v>
      </c>
      <c r="L1671">
        <v>1</v>
      </c>
      <c r="M1671">
        <v>0</v>
      </c>
      <c r="N1671" t="s">
        <v>17</v>
      </c>
      <c r="O1671" s="1">
        <f>result[[#This Row],[n_killed_mutants_cumulativa]]/result[[#This Row],[tot_mutants]]</f>
        <v>0</v>
      </c>
    </row>
    <row r="1672" spans="1:16" hidden="1" x14ac:dyDescent="0.25">
      <c r="A1672" t="s">
        <v>244</v>
      </c>
      <c r="B1672" t="s">
        <v>18</v>
      </c>
      <c r="C1672" t="s">
        <v>16</v>
      </c>
      <c r="D1672">
        <v>9338</v>
      </c>
      <c r="E1672">
        <v>1031</v>
      </c>
      <c r="F1672">
        <v>20</v>
      </c>
      <c r="G1672">
        <v>400</v>
      </c>
      <c r="H1672">
        <v>0</v>
      </c>
      <c r="I1672">
        <v>1520</v>
      </c>
      <c r="J1672">
        <v>0</v>
      </c>
      <c r="K1672">
        <v>0</v>
      </c>
      <c r="L1672">
        <v>1</v>
      </c>
      <c r="M1672">
        <v>0</v>
      </c>
      <c r="N1672" t="s">
        <v>17</v>
      </c>
      <c r="O1672" s="1">
        <f>result[[#This Row],[n_killed_mutants_cumulativa]]/result[[#This Row],[tot_mutants]]</f>
        <v>0</v>
      </c>
    </row>
    <row r="1673" spans="1:16" hidden="1" x14ac:dyDescent="0.25">
      <c r="A1673" t="s">
        <v>244</v>
      </c>
      <c r="B1673" t="s">
        <v>19</v>
      </c>
      <c r="C1673" t="s">
        <v>16</v>
      </c>
      <c r="D1673">
        <v>16897</v>
      </c>
      <c r="E1673">
        <v>1738</v>
      </c>
      <c r="F1673">
        <v>30</v>
      </c>
      <c r="G1673">
        <v>900</v>
      </c>
      <c r="H1673">
        <v>0</v>
      </c>
      <c r="I1673">
        <v>2880</v>
      </c>
      <c r="J1673">
        <v>0</v>
      </c>
      <c r="K1673">
        <v>0</v>
      </c>
      <c r="L1673">
        <v>1</v>
      </c>
      <c r="M1673">
        <v>0</v>
      </c>
      <c r="N1673" t="s">
        <v>17</v>
      </c>
      <c r="O1673" s="1">
        <f>result[[#This Row],[n_killed_mutants_cumulativa]]/result[[#This Row],[tot_mutants]]</f>
        <v>0</v>
      </c>
    </row>
    <row r="1674" spans="1:16" hidden="1" x14ac:dyDescent="0.25">
      <c r="A1674" t="s">
        <v>244</v>
      </c>
      <c r="B1674" t="s">
        <v>20</v>
      </c>
      <c r="C1674" t="s">
        <v>16</v>
      </c>
      <c r="D1674">
        <v>27583</v>
      </c>
      <c r="E1674">
        <v>2903</v>
      </c>
      <c r="F1674">
        <v>40</v>
      </c>
      <c r="G1674">
        <v>1600</v>
      </c>
      <c r="H1674">
        <v>0</v>
      </c>
      <c r="I1674">
        <v>4640</v>
      </c>
      <c r="J1674">
        <v>0</v>
      </c>
      <c r="K1674">
        <v>0</v>
      </c>
      <c r="L1674">
        <v>1</v>
      </c>
      <c r="M1674">
        <v>0</v>
      </c>
      <c r="N1674" t="s">
        <v>17</v>
      </c>
      <c r="O1674" s="1">
        <f>result[[#This Row],[n_killed_mutants_cumulativa]]/result[[#This Row],[tot_mutants]]</f>
        <v>0</v>
      </c>
    </row>
    <row r="1675" spans="1:16" hidden="1" x14ac:dyDescent="0.25">
      <c r="A1675" t="s">
        <v>244</v>
      </c>
      <c r="B1675" t="s">
        <v>21</v>
      </c>
      <c r="C1675" t="s">
        <v>16</v>
      </c>
      <c r="D1675">
        <v>41143</v>
      </c>
      <c r="E1675">
        <v>4425</v>
      </c>
      <c r="F1675">
        <v>50</v>
      </c>
      <c r="G1675">
        <v>2500</v>
      </c>
      <c r="H1675">
        <v>0</v>
      </c>
      <c r="I1675">
        <v>6800</v>
      </c>
      <c r="J1675">
        <v>0</v>
      </c>
      <c r="K1675">
        <v>0</v>
      </c>
      <c r="L1675">
        <v>1</v>
      </c>
      <c r="M1675">
        <v>0</v>
      </c>
      <c r="N1675" t="s">
        <v>17</v>
      </c>
      <c r="O1675" s="1">
        <f>result[[#This Row],[n_killed_mutants_cumulativa]]/result[[#This Row],[tot_mutants]]</f>
        <v>0</v>
      </c>
    </row>
    <row r="1676" spans="1:16" hidden="1" x14ac:dyDescent="0.25">
      <c r="A1676" t="s">
        <v>244</v>
      </c>
      <c r="B1676" t="s">
        <v>24</v>
      </c>
      <c r="C1676" t="s">
        <v>16</v>
      </c>
      <c r="D1676">
        <v>58854</v>
      </c>
      <c r="E1676">
        <v>6204</v>
      </c>
      <c r="F1676">
        <v>60</v>
      </c>
      <c r="G1676">
        <v>3600</v>
      </c>
      <c r="H1676">
        <v>0</v>
      </c>
      <c r="I1676">
        <v>9360</v>
      </c>
      <c r="J1676">
        <v>0</v>
      </c>
      <c r="K1676">
        <v>0</v>
      </c>
      <c r="L1676">
        <v>1</v>
      </c>
      <c r="M1676">
        <v>0</v>
      </c>
      <c r="N1676" t="s">
        <v>17</v>
      </c>
      <c r="O1676" s="1">
        <f>result[[#This Row],[n_killed_mutants_cumulativa]]/result[[#This Row],[tot_mutants]]</f>
        <v>0</v>
      </c>
    </row>
    <row r="1677" spans="1:16" hidden="1" x14ac:dyDescent="0.25">
      <c r="A1677" t="s">
        <v>244</v>
      </c>
      <c r="B1677" t="s">
        <v>25</v>
      </c>
      <c r="C1677" t="s">
        <v>16</v>
      </c>
      <c r="D1677">
        <v>78887</v>
      </c>
      <c r="E1677">
        <v>8544</v>
      </c>
      <c r="F1677">
        <v>70</v>
      </c>
      <c r="G1677">
        <v>4900</v>
      </c>
      <c r="H1677">
        <v>0</v>
      </c>
      <c r="I1677">
        <v>12320</v>
      </c>
      <c r="J1677">
        <v>0</v>
      </c>
      <c r="K1677">
        <v>0</v>
      </c>
      <c r="L1677">
        <v>1</v>
      </c>
      <c r="M1677">
        <v>0</v>
      </c>
      <c r="N1677" t="s">
        <v>17</v>
      </c>
      <c r="O1677" s="1">
        <f>result[[#This Row],[n_killed_mutants_cumulativa]]/result[[#This Row],[tot_mutants]]</f>
        <v>0</v>
      </c>
    </row>
    <row r="1678" spans="1:16" hidden="1" x14ac:dyDescent="0.25">
      <c r="A1678" t="s">
        <v>244</v>
      </c>
      <c r="B1678" t="s">
        <v>26</v>
      </c>
      <c r="C1678" t="s">
        <v>16</v>
      </c>
      <c r="D1678">
        <v>101980</v>
      </c>
      <c r="E1678">
        <v>10563</v>
      </c>
      <c r="F1678">
        <v>80</v>
      </c>
      <c r="G1678">
        <v>6400</v>
      </c>
      <c r="H1678">
        <v>0</v>
      </c>
      <c r="I1678">
        <v>15680</v>
      </c>
      <c r="J1678">
        <v>0</v>
      </c>
      <c r="K1678">
        <v>0</v>
      </c>
      <c r="L1678">
        <v>1</v>
      </c>
      <c r="M1678">
        <v>0</v>
      </c>
      <c r="N1678" t="s">
        <v>17</v>
      </c>
      <c r="O1678" s="1">
        <f>result[[#This Row],[n_killed_mutants_cumulativa]]/result[[#This Row],[tot_mutants]]</f>
        <v>0</v>
      </c>
    </row>
    <row r="1679" spans="1:16" hidden="1" x14ac:dyDescent="0.25">
      <c r="A1679" t="s">
        <v>244</v>
      </c>
      <c r="B1679" t="s">
        <v>27</v>
      </c>
      <c r="C1679" t="s">
        <v>16</v>
      </c>
      <c r="D1679">
        <v>128349</v>
      </c>
      <c r="E1679">
        <v>13260</v>
      </c>
      <c r="F1679">
        <v>90</v>
      </c>
      <c r="G1679">
        <v>8100</v>
      </c>
      <c r="H1679">
        <v>0</v>
      </c>
      <c r="I1679">
        <v>19440</v>
      </c>
      <c r="J1679">
        <v>0</v>
      </c>
      <c r="K1679">
        <v>0</v>
      </c>
      <c r="L1679">
        <v>1</v>
      </c>
      <c r="M1679">
        <v>0</v>
      </c>
      <c r="N1679" t="s">
        <v>17</v>
      </c>
      <c r="O1679" s="1">
        <f>result[[#This Row],[n_killed_mutants_cumulativa]]/result[[#This Row],[tot_mutants]]</f>
        <v>0</v>
      </c>
    </row>
    <row r="1680" spans="1:16" hidden="1" x14ac:dyDescent="0.25">
      <c r="A1680" t="s">
        <v>244</v>
      </c>
      <c r="B1680" t="s">
        <v>30</v>
      </c>
      <c r="C1680" t="s">
        <v>16</v>
      </c>
      <c r="D1680">
        <v>159984</v>
      </c>
      <c r="E1680">
        <v>16734</v>
      </c>
      <c r="F1680">
        <v>100</v>
      </c>
      <c r="G1680">
        <v>10000</v>
      </c>
      <c r="H1680">
        <v>0</v>
      </c>
      <c r="I1680">
        <v>23600</v>
      </c>
      <c r="J1680">
        <v>0</v>
      </c>
      <c r="K1680">
        <v>0</v>
      </c>
      <c r="L1680">
        <v>1</v>
      </c>
      <c r="M1680">
        <v>0</v>
      </c>
      <c r="N1680" t="s">
        <v>17</v>
      </c>
      <c r="O1680" s="1">
        <f>result[[#This Row],[n_killed_mutants_cumulativa]]/result[[#This Row],[tot_mutants]]</f>
        <v>0</v>
      </c>
    </row>
    <row r="1681" spans="1:16" hidden="1" x14ac:dyDescent="0.25">
      <c r="A1681" t="s">
        <v>244</v>
      </c>
      <c r="B1681" t="s">
        <v>22</v>
      </c>
      <c r="C1681" t="s">
        <v>16</v>
      </c>
      <c r="D1681">
        <v>628894</v>
      </c>
      <c r="E1681">
        <v>66333</v>
      </c>
      <c r="F1681">
        <v>550</v>
      </c>
      <c r="G1681">
        <v>38500</v>
      </c>
      <c r="H1681">
        <v>0</v>
      </c>
      <c r="I1681">
        <v>96800</v>
      </c>
      <c r="J1681">
        <v>0</v>
      </c>
      <c r="K1681">
        <v>0</v>
      </c>
      <c r="L1681">
        <v>1</v>
      </c>
      <c r="M1681">
        <v>0</v>
      </c>
      <c r="N1681" t="s">
        <v>17</v>
      </c>
      <c r="O1681" s="1">
        <f>result[[#This Row],[n_killed_mutants_cumulativa]]/result[[#This Row],[tot_mutants]]</f>
        <v>0</v>
      </c>
      <c r="P1681" s="9" t="s">
        <v>346</v>
      </c>
    </row>
    <row r="1682" spans="1:16" hidden="1" x14ac:dyDescent="0.25">
      <c r="A1682" t="s">
        <v>245</v>
      </c>
      <c r="B1682" t="s">
        <v>15</v>
      </c>
      <c r="C1682" t="s">
        <v>16</v>
      </c>
      <c r="D1682">
        <v>2867</v>
      </c>
      <c r="E1682">
        <v>100</v>
      </c>
      <c r="F1682">
        <v>10</v>
      </c>
      <c r="G1682">
        <v>100</v>
      </c>
      <c r="H1682">
        <v>30</v>
      </c>
      <c r="I1682">
        <v>220</v>
      </c>
      <c r="J1682">
        <v>0</v>
      </c>
      <c r="K1682">
        <v>0</v>
      </c>
      <c r="L1682">
        <v>2</v>
      </c>
      <c r="M1682">
        <v>0</v>
      </c>
      <c r="N1682" t="s">
        <v>17</v>
      </c>
      <c r="O1682" s="1">
        <f>result[[#This Row],[n_killed_mutants_cumulativa]]/result[[#This Row],[tot_mutants]]</f>
        <v>0</v>
      </c>
    </row>
    <row r="1683" spans="1:16" hidden="1" x14ac:dyDescent="0.25">
      <c r="A1683" t="s">
        <v>245</v>
      </c>
      <c r="B1683" t="s">
        <v>18</v>
      </c>
      <c r="C1683" t="s">
        <v>16</v>
      </c>
      <c r="D1683">
        <v>2516</v>
      </c>
      <c r="E1683">
        <v>50</v>
      </c>
      <c r="F1683">
        <v>20</v>
      </c>
      <c r="G1683">
        <v>400</v>
      </c>
      <c r="H1683">
        <v>54</v>
      </c>
      <c r="I1683">
        <v>840</v>
      </c>
      <c r="J1683">
        <v>0</v>
      </c>
      <c r="K1683">
        <v>0</v>
      </c>
      <c r="L1683">
        <v>2</v>
      </c>
      <c r="M1683">
        <v>0</v>
      </c>
      <c r="N1683" t="s">
        <v>17</v>
      </c>
      <c r="O1683" s="1">
        <f>result[[#This Row],[n_killed_mutants_cumulativa]]/result[[#This Row],[tot_mutants]]</f>
        <v>0</v>
      </c>
    </row>
    <row r="1684" spans="1:16" hidden="1" x14ac:dyDescent="0.25">
      <c r="A1684" t="s">
        <v>245</v>
      </c>
      <c r="B1684" t="s">
        <v>19</v>
      </c>
      <c r="C1684" t="s">
        <v>16</v>
      </c>
      <c r="D1684">
        <v>3647</v>
      </c>
      <c r="E1684">
        <v>54</v>
      </c>
      <c r="F1684">
        <v>30</v>
      </c>
      <c r="G1684">
        <v>900</v>
      </c>
      <c r="H1684">
        <v>78</v>
      </c>
      <c r="I1684">
        <v>1860</v>
      </c>
      <c r="J1684">
        <v>0</v>
      </c>
      <c r="K1684">
        <v>0</v>
      </c>
      <c r="L1684">
        <v>2</v>
      </c>
      <c r="M1684">
        <v>0</v>
      </c>
      <c r="N1684" t="s">
        <v>17</v>
      </c>
      <c r="O1684" s="1">
        <f>result[[#This Row],[n_killed_mutants_cumulativa]]/result[[#This Row],[tot_mutants]]</f>
        <v>0</v>
      </c>
    </row>
    <row r="1685" spans="1:16" hidden="1" x14ac:dyDescent="0.25">
      <c r="A1685" t="s">
        <v>245</v>
      </c>
      <c r="B1685" t="s">
        <v>20</v>
      </c>
      <c r="C1685" t="s">
        <v>16</v>
      </c>
      <c r="D1685">
        <v>4735</v>
      </c>
      <c r="E1685">
        <v>71</v>
      </c>
      <c r="F1685">
        <v>40</v>
      </c>
      <c r="G1685">
        <v>1600</v>
      </c>
      <c r="H1685">
        <v>94</v>
      </c>
      <c r="I1685">
        <v>3280</v>
      </c>
      <c r="J1685">
        <v>0</v>
      </c>
      <c r="K1685">
        <v>0</v>
      </c>
      <c r="L1685">
        <v>2</v>
      </c>
      <c r="M1685">
        <v>0</v>
      </c>
      <c r="N1685" t="s">
        <v>17</v>
      </c>
      <c r="O1685" s="1">
        <f>result[[#This Row],[n_killed_mutants_cumulativa]]/result[[#This Row],[tot_mutants]]</f>
        <v>0</v>
      </c>
    </row>
    <row r="1686" spans="1:16" hidden="1" x14ac:dyDescent="0.25">
      <c r="A1686" t="s">
        <v>245</v>
      </c>
      <c r="B1686" t="s">
        <v>21</v>
      </c>
      <c r="C1686" t="s">
        <v>16</v>
      </c>
      <c r="D1686">
        <v>6483</v>
      </c>
      <c r="E1686">
        <v>60</v>
      </c>
      <c r="F1686">
        <v>50</v>
      </c>
      <c r="G1686">
        <v>2500</v>
      </c>
      <c r="H1686">
        <v>124</v>
      </c>
      <c r="I1686">
        <v>5100</v>
      </c>
      <c r="J1686">
        <v>0</v>
      </c>
      <c r="K1686">
        <v>0</v>
      </c>
      <c r="L1686">
        <v>2</v>
      </c>
      <c r="M1686">
        <v>0</v>
      </c>
      <c r="N1686" t="s">
        <v>17</v>
      </c>
      <c r="O1686" s="1">
        <f>result[[#This Row],[n_killed_mutants_cumulativa]]/result[[#This Row],[tot_mutants]]</f>
        <v>0</v>
      </c>
    </row>
    <row r="1687" spans="1:16" hidden="1" x14ac:dyDescent="0.25">
      <c r="A1687" t="s">
        <v>245</v>
      </c>
      <c r="B1687" t="s">
        <v>24</v>
      </c>
      <c r="C1687" t="s">
        <v>16</v>
      </c>
      <c r="D1687">
        <v>8453</v>
      </c>
      <c r="E1687">
        <v>71</v>
      </c>
      <c r="F1687">
        <v>60</v>
      </c>
      <c r="G1687">
        <v>3600</v>
      </c>
      <c r="H1687">
        <v>140</v>
      </c>
      <c r="I1687">
        <v>7320</v>
      </c>
      <c r="J1687">
        <v>0</v>
      </c>
      <c r="K1687">
        <v>0</v>
      </c>
      <c r="L1687">
        <v>2</v>
      </c>
      <c r="M1687">
        <v>0</v>
      </c>
      <c r="N1687" t="s">
        <v>17</v>
      </c>
      <c r="O1687" s="1">
        <f>result[[#This Row],[n_killed_mutants_cumulativa]]/result[[#This Row],[tot_mutants]]</f>
        <v>0</v>
      </c>
    </row>
    <row r="1688" spans="1:16" hidden="1" x14ac:dyDescent="0.25">
      <c r="A1688" t="s">
        <v>245</v>
      </c>
      <c r="B1688" t="s">
        <v>25</v>
      </c>
      <c r="C1688" t="s">
        <v>16</v>
      </c>
      <c r="D1688">
        <v>10955</v>
      </c>
      <c r="E1688">
        <v>91</v>
      </c>
      <c r="F1688">
        <v>70</v>
      </c>
      <c r="G1688">
        <v>4900</v>
      </c>
      <c r="H1688">
        <v>170</v>
      </c>
      <c r="I1688">
        <v>9940</v>
      </c>
      <c r="J1688">
        <v>0</v>
      </c>
      <c r="K1688">
        <v>0</v>
      </c>
      <c r="L1688">
        <v>2</v>
      </c>
      <c r="M1688">
        <v>0</v>
      </c>
      <c r="N1688" t="s">
        <v>17</v>
      </c>
      <c r="O1688" s="1">
        <f>result[[#This Row],[n_killed_mutants_cumulativa]]/result[[#This Row],[tot_mutants]]</f>
        <v>0</v>
      </c>
    </row>
    <row r="1689" spans="1:16" hidden="1" x14ac:dyDescent="0.25">
      <c r="A1689" t="s">
        <v>245</v>
      </c>
      <c r="B1689" t="s">
        <v>26</v>
      </c>
      <c r="C1689" t="s">
        <v>16</v>
      </c>
      <c r="D1689">
        <v>13807</v>
      </c>
      <c r="E1689">
        <v>113</v>
      </c>
      <c r="F1689">
        <v>80</v>
      </c>
      <c r="G1689">
        <v>6400</v>
      </c>
      <c r="H1689">
        <v>186</v>
      </c>
      <c r="I1689">
        <v>12960</v>
      </c>
      <c r="J1689">
        <v>0</v>
      </c>
      <c r="K1689">
        <v>0</v>
      </c>
      <c r="L1689">
        <v>2</v>
      </c>
      <c r="M1689">
        <v>0</v>
      </c>
      <c r="N1689" t="s">
        <v>17</v>
      </c>
      <c r="O1689" s="1">
        <f>result[[#This Row],[n_killed_mutants_cumulativa]]/result[[#This Row],[tot_mutants]]</f>
        <v>0</v>
      </c>
    </row>
    <row r="1690" spans="1:16" hidden="1" x14ac:dyDescent="0.25">
      <c r="A1690" t="s">
        <v>245</v>
      </c>
      <c r="B1690" t="s">
        <v>27</v>
      </c>
      <c r="C1690" t="s">
        <v>16</v>
      </c>
      <c r="D1690">
        <v>17076</v>
      </c>
      <c r="E1690">
        <v>130</v>
      </c>
      <c r="F1690">
        <v>90</v>
      </c>
      <c r="G1690">
        <v>8100</v>
      </c>
      <c r="H1690">
        <v>218</v>
      </c>
      <c r="I1690">
        <v>16380</v>
      </c>
      <c r="J1690">
        <v>0</v>
      </c>
      <c r="K1690">
        <v>0</v>
      </c>
      <c r="L1690">
        <v>2</v>
      </c>
      <c r="M1690">
        <v>0</v>
      </c>
      <c r="N1690" t="s">
        <v>17</v>
      </c>
      <c r="O1690" s="1">
        <f>result[[#This Row],[n_killed_mutants_cumulativa]]/result[[#This Row],[tot_mutants]]</f>
        <v>0</v>
      </c>
    </row>
    <row r="1691" spans="1:16" hidden="1" x14ac:dyDescent="0.25">
      <c r="A1691" t="s">
        <v>245</v>
      </c>
      <c r="B1691" t="s">
        <v>30</v>
      </c>
      <c r="C1691" t="s">
        <v>16</v>
      </c>
      <c r="D1691">
        <v>20773</v>
      </c>
      <c r="E1691">
        <v>159</v>
      </c>
      <c r="F1691">
        <v>100</v>
      </c>
      <c r="G1691">
        <v>10000</v>
      </c>
      <c r="H1691">
        <v>234</v>
      </c>
      <c r="I1691">
        <v>20200</v>
      </c>
      <c r="J1691">
        <v>0</v>
      </c>
      <c r="K1691">
        <v>0</v>
      </c>
      <c r="L1691">
        <v>2</v>
      </c>
      <c r="M1691">
        <v>0</v>
      </c>
      <c r="N1691" t="s">
        <v>17</v>
      </c>
      <c r="O1691" s="1">
        <f>result[[#This Row],[n_killed_mutants_cumulativa]]/result[[#This Row],[tot_mutants]]</f>
        <v>0</v>
      </c>
    </row>
    <row r="1692" spans="1:16" hidden="1" x14ac:dyDescent="0.25">
      <c r="A1692" t="s">
        <v>245</v>
      </c>
      <c r="B1692" t="s">
        <v>31</v>
      </c>
      <c r="C1692" t="s">
        <v>16</v>
      </c>
      <c r="D1692">
        <v>25076</v>
      </c>
      <c r="E1692">
        <v>186</v>
      </c>
      <c r="F1692">
        <v>110</v>
      </c>
      <c r="G1692">
        <v>12100</v>
      </c>
      <c r="H1692">
        <v>256</v>
      </c>
      <c r="I1692">
        <v>24420</v>
      </c>
      <c r="J1692">
        <v>0</v>
      </c>
      <c r="K1692">
        <v>0</v>
      </c>
      <c r="L1692">
        <v>2</v>
      </c>
      <c r="M1692">
        <v>0</v>
      </c>
      <c r="N1692" t="s">
        <v>17</v>
      </c>
      <c r="O1692" s="1">
        <f>result[[#This Row],[n_killed_mutants_cumulativa]]/result[[#This Row],[tot_mutants]]</f>
        <v>0</v>
      </c>
    </row>
    <row r="1693" spans="1:16" hidden="1" x14ac:dyDescent="0.25">
      <c r="A1693" t="s">
        <v>245</v>
      </c>
      <c r="B1693" t="s">
        <v>36</v>
      </c>
      <c r="C1693" t="s">
        <v>16</v>
      </c>
      <c r="D1693">
        <v>30197</v>
      </c>
      <c r="E1693">
        <v>221</v>
      </c>
      <c r="F1693">
        <v>120</v>
      </c>
      <c r="G1693">
        <v>14400</v>
      </c>
      <c r="H1693">
        <v>296</v>
      </c>
      <c r="I1693">
        <v>29040</v>
      </c>
      <c r="J1693">
        <v>0</v>
      </c>
      <c r="K1693">
        <v>0</v>
      </c>
      <c r="L1693">
        <v>2</v>
      </c>
      <c r="M1693">
        <v>0</v>
      </c>
      <c r="N1693" t="s">
        <v>17</v>
      </c>
      <c r="O1693" s="1">
        <f>result[[#This Row],[n_killed_mutants_cumulativa]]/result[[#This Row],[tot_mutants]]</f>
        <v>0</v>
      </c>
    </row>
    <row r="1694" spans="1:16" hidden="1" x14ac:dyDescent="0.25">
      <c r="A1694" t="s">
        <v>245</v>
      </c>
      <c r="B1694" t="s">
        <v>40</v>
      </c>
      <c r="C1694" t="s">
        <v>16</v>
      </c>
      <c r="D1694">
        <v>35717</v>
      </c>
      <c r="E1694">
        <v>251</v>
      </c>
      <c r="F1694">
        <v>130</v>
      </c>
      <c r="G1694">
        <v>16900</v>
      </c>
      <c r="H1694">
        <v>318</v>
      </c>
      <c r="I1694">
        <v>34060</v>
      </c>
      <c r="J1694">
        <v>0</v>
      </c>
      <c r="K1694">
        <v>0</v>
      </c>
      <c r="L1694">
        <v>2</v>
      </c>
      <c r="M1694">
        <v>0</v>
      </c>
      <c r="N1694" t="s">
        <v>17</v>
      </c>
      <c r="O1694" s="1">
        <f>result[[#This Row],[n_killed_mutants_cumulativa]]/result[[#This Row],[tot_mutants]]</f>
        <v>0</v>
      </c>
    </row>
    <row r="1695" spans="1:16" hidden="1" x14ac:dyDescent="0.25">
      <c r="A1695" t="s">
        <v>245</v>
      </c>
      <c r="B1695" t="s">
        <v>47</v>
      </c>
      <c r="C1695" t="s">
        <v>16</v>
      </c>
      <c r="D1695">
        <v>41714</v>
      </c>
      <c r="E1695">
        <v>275</v>
      </c>
      <c r="F1695">
        <v>140</v>
      </c>
      <c r="G1695">
        <v>19600</v>
      </c>
      <c r="H1695">
        <v>340</v>
      </c>
      <c r="I1695">
        <v>39480</v>
      </c>
      <c r="J1695">
        <v>0</v>
      </c>
      <c r="K1695">
        <v>0</v>
      </c>
      <c r="L1695">
        <v>2</v>
      </c>
      <c r="M1695">
        <v>0</v>
      </c>
      <c r="N1695" t="s">
        <v>17</v>
      </c>
      <c r="O1695" s="1">
        <f>result[[#This Row],[n_killed_mutants_cumulativa]]/result[[#This Row],[tot_mutants]]</f>
        <v>0</v>
      </c>
    </row>
    <row r="1696" spans="1:16" hidden="1" x14ac:dyDescent="0.25">
      <c r="A1696" t="s">
        <v>245</v>
      </c>
      <c r="B1696" t="s">
        <v>48</v>
      </c>
      <c r="C1696" t="s">
        <v>16</v>
      </c>
      <c r="D1696">
        <v>48764</v>
      </c>
      <c r="E1696">
        <v>315</v>
      </c>
      <c r="F1696">
        <v>150</v>
      </c>
      <c r="G1696">
        <v>22500</v>
      </c>
      <c r="H1696">
        <v>376</v>
      </c>
      <c r="I1696">
        <v>45300</v>
      </c>
      <c r="J1696">
        <v>0</v>
      </c>
      <c r="K1696">
        <v>0</v>
      </c>
      <c r="L1696">
        <v>2</v>
      </c>
      <c r="M1696">
        <v>0</v>
      </c>
      <c r="N1696" t="s">
        <v>17</v>
      </c>
      <c r="O1696" s="1">
        <f>result[[#This Row],[n_killed_mutants_cumulativa]]/result[[#This Row],[tot_mutants]]</f>
        <v>0</v>
      </c>
    </row>
    <row r="1697" spans="1:16" hidden="1" x14ac:dyDescent="0.25">
      <c r="A1697" t="s">
        <v>245</v>
      </c>
      <c r="B1697" t="s">
        <v>49</v>
      </c>
      <c r="C1697" t="s">
        <v>16</v>
      </c>
      <c r="D1697">
        <v>57513</v>
      </c>
      <c r="E1697">
        <v>349</v>
      </c>
      <c r="F1697">
        <v>160</v>
      </c>
      <c r="G1697">
        <v>25600</v>
      </c>
      <c r="H1697">
        <v>390</v>
      </c>
      <c r="I1697">
        <v>51520</v>
      </c>
      <c r="J1697">
        <v>0</v>
      </c>
      <c r="K1697">
        <v>0</v>
      </c>
      <c r="L1697">
        <v>2</v>
      </c>
      <c r="M1697">
        <v>0</v>
      </c>
      <c r="N1697" t="s">
        <v>17</v>
      </c>
      <c r="O1697" s="1">
        <f>result[[#This Row],[n_killed_mutants_cumulativa]]/result[[#This Row],[tot_mutants]]</f>
        <v>0</v>
      </c>
    </row>
    <row r="1698" spans="1:16" hidden="1" x14ac:dyDescent="0.25">
      <c r="A1698" t="s">
        <v>245</v>
      </c>
      <c r="B1698" t="s">
        <v>50</v>
      </c>
      <c r="C1698" t="s">
        <v>16</v>
      </c>
      <c r="D1698">
        <v>65911</v>
      </c>
      <c r="E1698">
        <v>384</v>
      </c>
      <c r="F1698">
        <v>170</v>
      </c>
      <c r="G1698">
        <v>28900</v>
      </c>
      <c r="H1698">
        <v>396</v>
      </c>
      <c r="I1698">
        <v>58140</v>
      </c>
      <c r="J1698">
        <v>0</v>
      </c>
      <c r="K1698">
        <v>0</v>
      </c>
      <c r="L1698">
        <v>2</v>
      </c>
      <c r="M1698">
        <v>0</v>
      </c>
      <c r="N1698" t="s">
        <v>17</v>
      </c>
      <c r="O1698" s="1">
        <f>result[[#This Row],[n_killed_mutants_cumulativa]]/result[[#This Row],[tot_mutants]]</f>
        <v>0</v>
      </c>
    </row>
    <row r="1699" spans="1:16" hidden="1" x14ac:dyDescent="0.25">
      <c r="A1699" t="s">
        <v>245</v>
      </c>
      <c r="B1699" t="s">
        <v>51</v>
      </c>
      <c r="C1699" t="s">
        <v>16</v>
      </c>
      <c r="D1699">
        <v>74767</v>
      </c>
      <c r="E1699">
        <v>436</v>
      </c>
      <c r="F1699">
        <v>180</v>
      </c>
      <c r="G1699">
        <v>32400</v>
      </c>
      <c r="H1699">
        <v>436</v>
      </c>
      <c r="I1699">
        <v>65160</v>
      </c>
      <c r="J1699">
        <v>0</v>
      </c>
      <c r="K1699">
        <v>0</v>
      </c>
      <c r="L1699">
        <v>2</v>
      </c>
      <c r="M1699">
        <v>0</v>
      </c>
      <c r="N1699" t="s">
        <v>17</v>
      </c>
      <c r="O1699" s="1">
        <f>result[[#This Row],[n_killed_mutants_cumulativa]]/result[[#This Row],[tot_mutants]]</f>
        <v>0</v>
      </c>
    </row>
    <row r="1700" spans="1:16" hidden="1" x14ac:dyDescent="0.25">
      <c r="A1700" t="s">
        <v>245</v>
      </c>
      <c r="B1700" t="s">
        <v>52</v>
      </c>
      <c r="C1700" t="s">
        <v>16</v>
      </c>
      <c r="D1700">
        <v>85410</v>
      </c>
      <c r="E1700">
        <v>479</v>
      </c>
      <c r="F1700">
        <v>190</v>
      </c>
      <c r="G1700">
        <v>36100</v>
      </c>
      <c r="H1700">
        <v>466</v>
      </c>
      <c r="I1700">
        <v>72580</v>
      </c>
      <c r="J1700">
        <v>0</v>
      </c>
      <c r="K1700">
        <v>0</v>
      </c>
      <c r="L1700">
        <v>2</v>
      </c>
      <c r="M1700">
        <v>0</v>
      </c>
      <c r="N1700" t="s">
        <v>17</v>
      </c>
      <c r="O1700" s="1">
        <f>result[[#This Row],[n_killed_mutants_cumulativa]]/result[[#This Row],[tot_mutants]]</f>
        <v>0</v>
      </c>
    </row>
    <row r="1701" spans="1:16" hidden="1" x14ac:dyDescent="0.25">
      <c r="A1701" t="s">
        <v>245</v>
      </c>
      <c r="B1701" t="s">
        <v>53</v>
      </c>
      <c r="C1701" t="s">
        <v>16</v>
      </c>
      <c r="D1701">
        <v>96240</v>
      </c>
      <c r="E1701">
        <v>524</v>
      </c>
      <c r="F1701">
        <v>200</v>
      </c>
      <c r="G1701">
        <v>40000</v>
      </c>
      <c r="H1701">
        <v>464</v>
      </c>
      <c r="I1701">
        <v>80400</v>
      </c>
      <c r="J1701">
        <v>0</v>
      </c>
      <c r="K1701">
        <v>0</v>
      </c>
      <c r="L1701">
        <v>2</v>
      </c>
      <c r="M1701">
        <v>0</v>
      </c>
      <c r="N1701" t="s">
        <v>17</v>
      </c>
      <c r="O1701" s="1">
        <f>result[[#This Row],[n_killed_mutants_cumulativa]]/result[[#This Row],[tot_mutants]]</f>
        <v>0</v>
      </c>
    </row>
    <row r="1702" spans="1:16" hidden="1" x14ac:dyDescent="0.25">
      <c r="A1702" t="s">
        <v>245</v>
      </c>
      <c r="B1702" t="s">
        <v>22</v>
      </c>
      <c r="C1702" t="s">
        <v>16</v>
      </c>
      <c r="D1702">
        <v>652621</v>
      </c>
      <c r="E1702">
        <v>4319</v>
      </c>
      <c r="F1702">
        <v>2100</v>
      </c>
      <c r="G1702">
        <v>287000</v>
      </c>
      <c r="H1702">
        <v>5066</v>
      </c>
      <c r="I1702">
        <v>578200</v>
      </c>
      <c r="J1702">
        <v>0</v>
      </c>
      <c r="K1702">
        <v>0</v>
      </c>
      <c r="L1702">
        <v>2</v>
      </c>
      <c r="M1702">
        <v>0</v>
      </c>
      <c r="N1702" t="s">
        <v>17</v>
      </c>
      <c r="O1702" s="1">
        <f>result[[#This Row],[n_killed_mutants_cumulativa]]/result[[#This Row],[tot_mutants]]</f>
        <v>0</v>
      </c>
      <c r="P1702" s="9" t="s">
        <v>346</v>
      </c>
    </row>
    <row r="1703" spans="1:16" hidden="1" x14ac:dyDescent="0.25">
      <c r="A1703" t="s">
        <v>246</v>
      </c>
      <c r="B1703" t="s">
        <v>15</v>
      </c>
      <c r="C1703" t="s">
        <v>16</v>
      </c>
      <c r="D1703">
        <v>2671</v>
      </c>
      <c r="E1703">
        <v>160</v>
      </c>
      <c r="F1703">
        <v>10</v>
      </c>
      <c r="G1703">
        <v>100</v>
      </c>
      <c r="H1703">
        <v>155</v>
      </c>
      <c r="I1703">
        <v>220</v>
      </c>
      <c r="J1703">
        <v>0</v>
      </c>
      <c r="K1703">
        <v>0</v>
      </c>
      <c r="L1703">
        <v>1</v>
      </c>
      <c r="M1703">
        <v>0</v>
      </c>
      <c r="N1703" t="s">
        <v>17</v>
      </c>
      <c r="O1703" s="1">
        <f>result[[#This Row],[n_killed_mutants_cumulativa]]/result[[#This Row],[tot_mutants]]</f>
        <v>0</v>
      </c>
    </row>
    <row r="1704" spans="1:16" hidden="1" x14ac:dyDescent="0.25">
      <c r="A1704" t="s">
        <v>246</v>
      </c>
      <c r="B1704" t="s">
        <v>18</v>
      </c>
      <c r="C1704" t="s">
        <v>16</v>
      </c>
      <c r="D1704">
        <v>2447</v>
      </c>
      <c r="E1704">
        <v>160</v>
      </c>
      <c r="F1704">
        <v>20</v>
      </c>
      <c r="G1704">
        <v>400</v>
      </c>
      <c r="H1704">
        <v>535</v>
      </c>
      <c r="I1704">
        <v>840</v>
      </c>
      <c r="J1704">
        <v>0</v>
      </c>
      <c r="K1704">
        <v>0</v>
      </c>
      <c r="L1704">
        <v>1</v>
      </c>
      <c r="M1704">
        <v>0</v>
      </c>
      <c r="N1704" t="s">
        <v>17</v>
      </c>
      <c r="O1704" s="1">
        <f>result[[#This Row],[n_killed_mutants_cumulativa]]/result[[#This Row],[tot_mutants]]</f>
        <v>0</v>
      </c>
    </row>
    <row r="1705" spans="1:16" hidden="1" x14ac:dyDescent="0.25">
      <c r="A1705" t="s">
        <v>246</v>
      </c>
      <c r="B1705" t="s">
        <v>19</v>
      </c>
      <c r="C1705" t="s">
        <v>16</v>
      </c>
      <c r="D1705">
        <v>3017</v>
      </c>
      <c r="E1705">
        <v>139</v>
      </c>
      <c r="F1705">
        <v>30</v>
      </c>
      <c r="G1705">
        <v>900</v>
      </c>
      <c r="H1705">
        <v>910</v>
      </c>
      <c r="I1705">
        <v>1860</v>
      </c>
      <c r="J1705">
        <v>0</v>
      </c>
      <c r="K1705">
        <v>0</v>
      </c>
      <c r="L1705">
        <v>1</v>
      </c>
      <c r="M1705">
        <v>0</v>
      </c>
      <c r="N1705" t="s">
        <v>17</v>
      </c>
      <c r="O1705" s="1">
        <f>result[[#This Row],[n_killed_mutants_cumulativa]]/result[[#This Row],[tot_mutants]]</f>
        <v>0</v>
      </c>
    </row>
    <row r="1706" spans="1:16" hidden="1" x14ac:dyDescent="0.25">
      <c r="A1706" t="s">
        <v>246</v>
      </c>
      <c r="B1706" t="s">
        <v>20</v>
      </c>
      <c r="C1706" t="s">
        <v>16</v>
      </c>
      <c r="D1706">
        <v>3690</v>
      </c>
      <c r="E1706">
        <v>138</v>
      </c>
      <c r="F1706">
        <v>40</v>
      </c>
      <c r="G1706">
        <v>1600</v>
      </c>
      <c r="H1706">
        <v>1324</v>
      </c>
      <c r="I1706">
        <v>3280</v>
      </c>
      <c r="J1706">
        <v>0</v>
      </c>
      <c r="K1706">
        <v>0</v>
      </c>
      <c r="L1706">
        <v>1</v>
      </c>
      <c r="M1706">
        <v>0</v>
      </c>
      <c r="N1706" t="s">
        <v>17</v>
      </c>
      <c r="O1706" s="1">
        <f>result[[#This Row],[n_killed_mutants_cumulativa]]/result[[#This Row],[tot_mutants]]</f>
        <v>0</v>
      </c>
    </row>
    <row r="1707" spans="1:16" hidden="1" x14ac:dyDescent="0.25">
      <c r="A1707" t="s">
        <v>246</v>
      </c>
      <c r="B1707" t="s">
        <v>21</v>
      </c>
      <c r="C1707" t="s">
        <v>16</v>
      </c>
      <c r="D1707">
        <v>5177</v>
      </c>
      <c r="E1707">
        <v>200</v>
      </c>
      <c r="F1707">
        <v>50</v>
      </c>
      <c r="G1707">
        <v>2500</v>
      </c>
      <c r="H1707">
        <v>2137</v>
      </c>
      <c r="I1707">
        <v>5100</v>
      </c>
      <c r="J1707">
        <v>0</v>
      </c>
      <c r="K1707">
        <v>0</v>
      </c>
      <c r="L1707">
        <v>1</v>
      </c>
      <c r="M1707">
        <v>0</v>
      </c>
      <c r="N1707" t="s">
        <v>17</v>
      </c>
      <c r="O1707" s="1">
        <f>result[[#This Row],[n_killed_mutants_cumulativa]]/result[[#This Row],[tot_mutants]]</f>
        <v>0</v>
      </c>
    </row>
    <row r="1708" spans="1:16" hidden="1" x14ac:dyDescent="0.25">
      <c r="A1708" t="s">
        <v>246</v>
      </c>
      <c r="B1708" t="s">
        <v>24</v>
      </c>
      <c r="C1708" t="s">
        <v>16</v>
      </c>
      <c r="D1708">
        <v>7134</v>
      </c>
      <c r="E1708">
        <v>409</v>
      </c>
      <c r="F1708">
        <v>60</v>
      </c>
      <c r="G1708">
        <v>3600</v>
      </c>
      <c r="H1708">
        <v>3019</v>
      </c>
      <c r="I1708">
        <v>7320</v>
      </c>
      <c r="J1708">
        <v>0</v>
      </c>
      <c r="K1708">
        <v>0</v>
      </c>
      <c r="L1708">
        <v>1</v>
      </c>
      <c r="M1708">
        <v>0</v>
      </c>
      <c r="N1708" t="s">
        <v>17</v>
      </c>
      <c r="O1708" s="1">
        <f>result[[#This Row],[n_killed_mutants_cumulativa]]/result[[#This Row],[tot_mutants]]</f>
        <v>0</v>
      </c>
    </row>
    <row r="1709" spans="1:16" hidden="1" x14ac:dyDescent="0.25">
      <c r="A1709" t="s">
        <v>246</v>
      </c>
      <c r="B1709" t="s">
        <v>25</v>
      </c>
      <c r="C1709" t="s">
        <v>16</v>
      </c>
      <c r="D1709">
        <v>9180</v>
      </c>
      <c r="E1709">
        <v>269</v>
      </c>
      <c r="F1709">
        <v>70</v>
      </c>
      <c r="G1709">
        <v>4900</v>
      </c>
      <c r="H1709">
        <v>3157</v>
      </c>
      <c r="I1709">
        <v>9940</v>
      </c>
      <c r="J1709">
        <v>0</v>
      </c>
      <c r="K1709">
        <v>0</v>
      </c>
      <c r="L1709">
        <v>1</v>
      </c>
      <c r="M1709">
        <v>0</v>
      </c>
      <c r="N1709" t="s">
        <v>17</v>
      </c>
      <c r="O1709" s="1">
        <f>result[[#This Row],[n_killed_mutants_cumulativa]]/result[[#This Row],[tot_mutants]]</f>
        <v>0</v>
      </c>
    </row>
    <row r="1710" spans="1:16" hidden="1" x14ac:dyDescent="0.25">
      <c r="A1710" t="s">
        <v>246</v>
      </c>
      <c r="B1710" t="s">
        <v>26</v>
      </c>
      <c r="C1710" t="s">
        <v>16</v>
      </c>
      <c r="D1710">
        <v>10952</v>
      </c>
      <c r="E1710">
        <v>373</v>
      </c>
      <c r="F1710">
        <v>80</v>
      </c>
      <c r="G1710">
        <v>6400</v>
      </c>
      <c r="H1710">
        <v>3889</v>
      </c>
      <c r="I1710">
        <v>12960</v>
      </c>
      <c r="J1710">
        <v>0</v>
      </c>
      <c r="K1710">
        <v>0</v>
      </c>
      <c r="L1710">
        <v>1</v>
      </c>
      <c r="M1710">
        <v>0</v>
      </c>
      <c r="N1710" t="s">
        <v>17</v>
      </c>
      <c r="O1710" s="1">
        <f>result[[#This Row],[n_killed_mutants_cumulativa]]/result[[#This Row],[tot_mutants]]</f>
        <v>0</v>
      </c>
    </row>
    <row r="1711" spans="1:16" hidden="1" x14ac:dyDescent="0.25">
      <c r="A1711" t="s">
        <v>246</v>
      </c>
      <c r="B1711" t="s">
        <v>27</v>
      </c>
      <c r="C1711" t="s">
        <v>16</v>
      </c>
      <c r="D1711">
        <v>13862</v>
      </c>
      <c r="E1711">
        <v>477</v>
      </c>
      <c r="F1711">
        <v>90</v>
      </c>
      <c r="G1711">
        <v>8100</v>
      </c>
      <c r="H1711">
        <v>4724</v>
      </c>
      <c r="I1711">
        <v>16380</v>
      </c>
      <c r="J1711">
        <v>0</v>
      </c>
      <c r="K1711">
        <v>0</v>
      </c>
      <c r="L1711">
        <v>1</v>
      </c>
      <c r="M1711">
        <v>0</v>
      </c>
      <c r="N1711" t="s">
        <v>17</v>
      </c>
      <c r="O1711" s="1">
        <f>result[[#This Row],[n_killed_mutants_cumulativa]]/result[[#This Row],[tot_mutants]]</f>
        <v>0</v>
      </c>
    </row>
    <row r="1712" spans="1:16" hidden="1" x14ac:dyDescent="0.25">
      <c r="A1712" t="s">
        <v>246</v>
      </c>
      <c r="B1712" t="s">
        <v>30</v>
      </c>
      <c r="C1712" t="s">
        <v>16</v>
      </c>
      <c r="D1712">
        <v>16311</v>
      </c>
      <c r="E1712">
        <v>453</v>
      </c>
      <c r="F1712">
        <v>100</v>
      </c>
      <c r="G1712">
        <v>10000</v>
      </c>
      <c r="H1712">
        <v>5091</v>
      </c>
      <c r="I1712">
        <v>20200</v>
      </c>
      <c r="J1712">
        <v>0</v>
      </c>
      <c r="K1712">
        <v>0</v>
      </c>
      <c r="L1712">
        <v>1</v>
      </c>
      <c r="M1712">
        <v>0</v>
      </c>
      <c r="N1712" t="s">
        <v>17</v>
      </c>
      <c r="O1712" s="1">
        <f>result[[#This Row],[n_killed_mutants_cumulativa]]/result[[#This Row],[tot_mutants]]</f>
        <v>0</v>
      </c>
    </row>
    <row r="1713" spans="1:16" hidden="1" x14ac:dyDescent="0.25">
      <c r="A1713" t="s">
        <v>246</v>
      </c>
      <c r="B1713" t="s">
        <v>31</v>
      </c>
      <c r="C1713" t="s">
        <v>16</v>
      </c>
      <c r="D1713">
        <v>19135</v>
      </c>
      <c r="E1713">
        <v>538</v>
      </c>
      <c r="F1713">
        <v>110</v>
      </c>
      <c r="G1713">
        <v>12100</v>
      </c>
      <c r="H1713">
        <v>5884</v>
      </c>
      <c r="I1713">
        <v>24420</v>
      </c>
      <c r="J1713">
        <v>0</v>
      </c>
      <c r="K1713">
        <v>0</v>
      </c>
      <c r="L1713">
        <v>1</v>
      </c>
      <c r="M1713">
        <v>0</v>
      </c>
      <c r="N1713" t="s">
        <v>17</v>
      </c>
      <c r="O1713" s="1">
        <f>result[[#This Row],[n_killed_mutants_cumulativa]]/result[[#This Row],[tot_mutants]]</f>
        <v>0</v>
      </c>
    </row>
    <row r="1714" spans="1:16" hidden="1" x14ac:dyDescent="0.25">
      <c r="A1714" t="s">
        <v>246</v>
      </c>
      <c r="B1714" t="s">
        <v>36</v>
      </c>
      <c r="C1714" t="s">
        <v>16</v>
      </c>
      <c r="D1714">
        <v>22632</v>
      </c>
      <c r="E1714">
        <v>617</v>
      </c>
      <c r="F1714">
        <v>120</v>
      </c>
      <c r="G1714">
        <v>14400</v>
      </c>
      <c r="H1714">
        <v>5591</v>
      </c>
      <c r="I1714">
        <v>29040</v>
      </c>
      <c r="J1714">
        <v>0</v>
      </c>
      <c r="K1714">
        <v>0</v>
      </c>
      <c r="L1714">
        <v>1</v>
      </c>
      <c r="M1714">
        <v>0</v>
      </c>
      <c r="N1714" t="s">
        <v>17</v>
      </c>
      <c r="O1714" s="1">
        <f>result[[#This Row],[n_killed_mutants_cumulativa]]/result[[#This Row],[tot_mutants]]</f>
        <v>0</v>
      </c>
    </row>
    <row r="1715" spans="1:16" hidden="1" x14ac:dyDescent="0.25">
      <c r="A1715" t="s">
        <v>246</v>
      </c>
      <c r="B1715" t="s">
        <v>40</v>
      </c>
      <c r="C1715" t="s">
        <v>16</v>
      </c>
      <c r="D1715">
        <v>26863</v>
      </c>
      <c r="E1715">
        <v>608</v>
      </c>
      <c r="F1715">
        <v>130</v>
      </c>
      <c r="G1715">
        <v>16900</v>
      </c>
      <c r="H1715">
        <v>6271</v>
      </c>
      <c r="I1715">
        <v>34060</v>
      </c>
      <c r="J1715">
        <v>0</v>
      </c>
      <c r="K1715">
        <v>0</v>
      </c>
      <c r="L1715">
        <v>1</v>
      </c>
      <c r="M1715">
        <v>0</v>
      </c>
      <c r="N1715" t="s">
        <v>17</v>
      </c>
      <c r="O1715" s="1">
        <f>result[[#This Row],[n_killed_mutants_cumulativa]]/result[[#This Row],[tot_mutants]]</f>
        <v>0</v>
      </c>
    </row>
    <row r="1716" spans="1:16" hidden="1" x14ac:dyDescent="0.25">
      <c r="A1716" t="s">
        <v>246</v>
      </c>
      <c r="B1716" t="s">
        <v>47</v>
      </c>
      <c r="C1716" t="s">
        <v>16</v>
      </c>
      <c r="D1716">
        <v>31287</v>
      </c>
      <c r="E1716">
        <v>681</v>
      </c>
      <c r="F1716">
        <v>140</v>
      </c>
      <c r="G1716">
        <v>19600</v>
      </c>
      <c r="H1716">
        <v>6909</v>
      </c>
      <c r="I1716">
        <v>39480</v>
      </c>
      <c r="J1716">
        <v>0</v>
      </c>
      <c r="K1716">
        <v>0</v>
      </c>
      <c r="L1716">
        <v>1</v>
      </c>
      <c r="M1716">
        <v>0</v>
      </c>
      <c r="N1716" t="s">
        <v>17</v>
      </c>
      <c r="O1716" s="1">
        <f>result[[#This Row],[n_killed_mutants_cumulativa]]/result[[#This Row],[tot_mutants]]</f>
        <v>0</v>
      </c>
    </row>
    <row r="1717" spans="1:16" hidden="1" x14ac:dyDescent="0.25">
      <c r="A1717" t="s">
        <v>246</v>
      </c>
      <c r="B1717" t="s">
        <v>48</v>
      </c>
      <c r="C1717" t="s">
        <v>16</v>
      </c>
      <c r="D1717">
        <v>36011</v>
      </c>
      <c r="E1717">
        <v>769</v>
      </c>
      <c r="F1717">
        <v>150</v>
      </c>
      <c r="G1717">
        <v>22500</v>
      </c>
      <c r="H1717">
        <v>7797</v>
      </c>
      <c r="I1717">
        <v>45300</v>
      </c>
      <c r="J1717">
        <v>0</v>
      </c>
      <c r="K1717">
        <v>0</v>
      </c>
      <c r="L1717">
        <v>1</v>
      </c>
      <c r="M1717">
        <v>0</v>
      </c>
      <c r="N1717" t="s">
        <v>17</v>
      </c>
      <c r="O1717" s="1">
        <f>result[[#This Row],[n_killed_mutants_cumulativa]]/result[[#This Row],[tot_mutants]]</f>
        <v>0</v>
      </c>
    </row>
    <row r="1718" spans="1:16" hidden="1" x14ac:dyDescent="0.25">
      <c r="A1718" t="s">
        <v>246</v>
      </c>
      <c r="B1718" t="s">
        <v>49</v>
      </c>
      <c r="C1718" t="s">
        <v>16</v>
      </c>
      <c r="D1718">
        <v>41665</v>
      </c>
      <c r="E1718">
        <v>844</v>
      </c>
      <c r="F1718">
        <v>160</v>
      </c>
      <c r="G1718">
        <v>25600</v>
      </c>
      <c r="H1718">
        <v>8109</v>
      </c>
      <c r="I1718">
        <v>51520</v>
      </c>
      <c r="J1718">
        <v>0</v>
      </c>
      <c r="K1718">
        <v>0</v>
      </c>
      <c r="L1718">
        <v>1</v>
      </c>
      <c r="M1718">
        <v>0</v>
      </c>
      <c r="N1718" t="s">
        <v>17</v>
      </c>
      <c r="O1718" s="1">
        <f>result[[#This Row],[n_killed_mutants_cumulativa]]/result[[#This Row],[tot_mutants]]</f>
        <v>0</v>
      </c>
    </row>
    <row r="1719" spans="1:16" hidden="1" x14ac:dyDescent="0.25">
      <c r="A1719" t="s">
        <v>246</v>
      </c>
      <c r="B1719" t="s">
        <v>50</v>
      </c>
      <c r="C1719" t="s">
        <v>16</v>
      </c>
      <c r="D1719">
        <v>47977</v>
      </c>
      <c r="E1719">
        <v>924</v>
      </c>
      <c r="F1719">
        <v>170</v>
      </c>
      <c r="G1719">
        <v>28900</v>
      </c>
      <c r="H1719">
        <v>9006</v>
      </c>
      <c r="I1719">
        <v>58140</v>
      </c>
      <c r="J1719">
        <v>0</v>
      </c>
      <c r="K1719">
        <v>0</v>
      </c>
      <c r="L1719">
        <v>1</v>
      </c>
      <c r="M1719">
        <v>0</v>
      </c>
      <c r="N1719" t="s">
        <v>17</v>
      </c>
      <c r="O1719" s="1">
        <f>result[[#This Row],[n_killed_mutants_cumulativa]]/result[[#This Row],[tot_mutants]]</f>
        <v>0</v>
      </c>
    </row>
    <row r="1720" spans="1:16" hidden="1" x14ac:dyDescent="0.25">
      <c r="A1720" t="s">
        <v>246</v>
      </c>
      <c r="B1720" t="s">
        <v>51</v>
      </c>
      <c r="C1720" t="s">
        <v>16</v>
      </c>
      <c r="D1720">
        <v>54921</v>
      </c>
      <c r="E1720">
        <v>924</v>
      </c>
      <c r="F1720">
        <v>180</v>
      </c>
      <c r="G1720">
        <v>32400</v>
      </c>
      <c r="H1720">
        <v>8366</v>
      </c>
      <c r="I1720">
        <v>65160</v>
      </c>
      <c r="J1720">
        <v>0</v>
      </c>
      <c r="K1720">
        <v>0</v>
      </c>
      <c r="L1720">
        <v>1</v>
      </c>
      <c r="M1720">
        <v>0</v>
      </c>
      <c r="N1720" t="s">
        <v>17</v>
      </c>
      <c r="O1720" s="1">
        <f>result[[#This Row],[n_killed_mutants_cumulativa]]/result[[#This Row],[tot_mutants]]</f>
        <v>0</v>
      </c>
    </row>
    <row r="1721" spans="1:16" hidden="1" x14ac:dyDescent="0.25">
      <c r="A1721" t="s">
        <v>246</v>
      </c>
      <c r="B1721" t="s">
        <v>52</v>
      </c>
      <c r="C1721" t="s">
        <v>16</v>
      </c>
      <c r="D1721">
        <v>61916</v>
      </c>
      <c r="E1721">
        <v>1091</v>
      </c>
      <c r="F1721">
        <v>190</v>
      </c>
      <c r="G1721">
        <v>36100</v>
      </c>
      <c r="H1721">
        <v>9873</v>
      </c>
      <c r="I1721">
        <v>72580</v>
      </c>
      <c r="J1721">
        <v>0</v>
      </c>
      <c r="K1721">
        <v>0</v>
      </c>
      <c r="L1721">
        <v>1</v>
      </c>
      <c r="M1721">
        <v>0</v>
      </c>
      <c r="N1721" t="s">
        <v>17</v>
      </c>
      <c r="O1721" s="1">
        <f>result[[#This Row],[n_killed_mutants_cumulativa]]/result[[#This Row],[tot_mutants]]</f>
        <v>0</v>
      </c>
    </row>
    <row r="1722" spans="1:16" hidden="1" x14ac:dyDescent="0.25">
      <c r="A1722" t="s">
        <v>246</v>
      </c>
      <c r="B1722" t="s">
        <v>53</v>
      </c>
      <c r="C1722" t="s">
        <v>16</v>
      </c>
      <c r="D1722">
        <v>75874</v>
      </c>
      <c r="E1722">
        <v>1147</v>
      </c>
      <c r="F1722">
        <v>200</v>
      </c>
      <c r="G1722">
        <v>40000</v>
      </c>
      <c r="H1722">
        <v>10423</v>
      </c>
      <c r="I1722">
        <v>80400</v>
      </c>
      <c r="J1722">
        <v>0</v>
      </c>
      <c r="K1722">
        <v>0</v>
      </c>
      <c r="L1722">
        <v>1</v>
      </c>
      <c r="M1722">
        <v>0</v>
      </c>
      <c r="N1722" t="s">
        <v>17</v>
      </c>
      <c r="O1722" s="1">
        <f>result[[#This Row],[n_killed_mutants_cumulativa]]/result[[#This Row],[tot_mutants]]</f>
        <v>0</v>
      </c>
    </row>
    <row r="1723" spans="1:16" hidden="1" x14ac:dyDescent="0.25">
      <c r="A1723" t="s">
        <v>246</v>
      </c>
      <c r="B1723" t="s">
        <v>22</v>
      </c>
      <c r="C1723" t="s">
        <v>16</v>
      </c>
      <c r="D1723">
        <v>492722</v>
      </c>
      <c r="E1723">
        <v>10921</v>
      </c>
      <c r="F1723">
        <v>2100</v>
      </c>
      <c r="G1723">
        <v>287000</v>
      </c>
      <c r="H1723">
        <v>103170</v>
      </c>
      <c r="I1723">
        <v>578200</v>
      </c>
      <c r="J1723">
        <v>0</v>
      </c>
      <c r="K1723">
        <v>0</v>
      </c>
      <c r="L1723">
        <v>1</v>
      </c>
      <c r="M1723">
        <v>0</v>
      </c>
      <c r="N1723" t="s">
        <v>17</v>
      </c>
      <c r="O1723" s="1">
        <f>result[[#This Row],[n_killed_mutants_cumulativa]]/result[[#This Row],[tot_mutants]]</f>
        <v>0</v>
      </c>
      <c r="P1723" s="9" t="s">
        <v>346</v>
      </c>
    </row>
    <row r="1724" spans="1:16" hidden="1" x14ac:dyDescent="0.25">
      <c r="A1724" t="s">
        <v>247</v>
      </c>
      <c r="B1724" t="s">
        <v>15</v>
      </c>
      <c r="C1724" t="s">
        <v>16</v>
      </c>
      <c r="D1724">
        <v>1512</v>
      </c>
      <c r="E1724">
        <v>165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10</v>
      </c>
      <c r="L1724">
        <v>3</v>
      </c>
      <c r="M1724">
        <v>0</v>
      </c>
      <c r="N1724" t="s">
        <v>17</v>
      </c>
      <c r="O1724" s="1">
        <f>result[[#This Row],[n_killed_mutants_cumulativa]]/result[[#This Row],[tot_mutants]]</f>
        <v>0</v>
      </c>
    </row>
    <row r="1725" spans="1:16" hidden="1" x14ac:dyDescent="0.25">
      <c r="A1725" t="s">
        <v>247</v>
      </c>
      <c r="B1725" t="s">
        <v>18</v>
      </c>
      <c r="C1725" t="s">
        <v>16</v>
      </c>
      <c r="D1725">
        <v>1204</v>
      </c>
      <c r="E1725">
        <v>278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20</v>
      </c>
      <c r="L1725">
        <v>3</v>
      </c>
      <c r="M1725">
        <v>0</v>
      </c>
      <c r="N1725" t="s">
        <v>17</v>
      </c>
      <c r="O1725" s="1">
        <f>result[[#This Row],[n_killed_mutants_cumulativa]]/result[[#This Row],[tot_mutants]]</f>
        <v>0</v>
      </c>
    </row>
    <row r="1726" spans="1:16" hidden="1" x14ac:dyDescent="0.25">
      <c r="A1726" t="s">
        <v>247</v>
      </c>
      <c r="B1726" t="s">
        <v>19</v>
      </c>
      <c r="C1726" t="s">
        <v>16</v>
      </c>
      <c r="D1726">
        <v>1157</v>
      </c>
      <c r="E1726">
        <v>271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30</v>
      </c>
      <c r="L1726">
        <v>3</v>
      </c>
      <c r="M1726">
        <v>0</v>
      </c>
      <c r="N1726" t="s">
        <v>17</v>
      </c>
      <c r="O1726" s="1">
        <f>result[[#This Row],[n_killed_mutants_cumulativa]]/result[[#This Row],[tot_mutants]]</f>
        <v>0</v>
      </c>
    </row>
    <row r="1727" spans="1:16" hidden="1" x14ac:dyDescent="0.25">
      <c r="A1727" t="s">
        <v>247</v>
      </c>
      <c r="B1727" t="s">
        <v>20</v>
      </c>
      <c r="C1727" t="s">
        <v>16</v>
      </c>
      <c r="D1727">
        <v>1319</v>
      </c>
      <c r="E1727">
        <v>352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40</v>
      </c>
      <c r="L1727">
        <v>3</v>
      </c>
      <c r="M1727">
        <v>0</v>
      </c>
      <c r="N1727" t="s">
        <v>17</v>
      </c>
      <c r="O1727" s="1">
        <f>result[[#This Row],[n_killed_mutants_cumulativa]]/result[[#This Row],[tot_mutants]]</f>
        <v>0</v>
      </c>
    </row>
    <row r="1728" spans="1:16" hidden="1" x14ac:dyDescent="0.25">
      <c r="A1728" t="s">
        <v>247</v>
      </c>
      <c r="B1728" t="s">
        <v>21</v>
      </c>
      <c r="C1728" t="s">
        <v>16</v>
      </c>
      <c r="D1728">
        <v>1675</v>
      </c>
      <c r="E1728">
        <v>378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50</v>
      </c>
      <c r="L1728">
        <v>3</v>
      </c>
      <c r="M1728">
        <v>0</v>
      </c>
      <c r="N1728" t="s">
        <v>17</v>
      </c>
      <c r="O1728" s="1">
        <f>result[[#This Row],[n_killed_mutants_cumulativa]]/result[[#This Row],[tot_mutants]]</f>
        <v>0</v>
      </c>
    </row>
    <row r="1729" spans="1:16" hidden="1" x14ac:dyDescent="0.25">
      <c r="A1729" t="s">
        <v>247</v>
      </c>
      <c r="B1729" t="s">
        <v>22</v>
      </c>
      <c r="C1729" t="s">
        <v>16</v>
      </c>
      <c r="D1729">
        <v>6867</v>
      </c>
      <c r="E1729">
        <v>1444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150</v>
      </c>
      <c r="L1729">
        <v>3</v>
      </c>
      <c r="M1729">
        <v>0</v>
      </c>
      <c r="N1729" t="s">
        <v>17</v>
      </c>
      <c r="O1729" s="1">
        <f>result[[#This Row],[n_killed_mutants_cumulativa]]/result[[#This Row],[tot_mutants]]</f>
        <v>0</v>
      </c>
    </row>
    <row r="1730" spans="1:16" hidden="1" x14ac:dyDescent="0.25">
      <c r="A1730" t="s">
        <v>248</v>
      </c>
      <c r="B1730" t="s">
        <v>15</v>
      </c>
      <c r="C1730" t="s">
        <v>16</v>
      </c>
      <c r="D1730">
        <v>5261</v>
      </c>
      <c r="E1730">
        <v>151</v>
      </c>
      <c r="F1730">
        <v>10</v>
      </c>
      <c r="G1730">
        <v>100</v>
      </c>
      <c r="H1730">
        <v>61</v>
      </c>
      <c r="I1730">
        <v>264</v>
      </c>
      <c r="J1730">
        <v>0</v>
      </c>
      <c r="K1730">
        <v>0</v>
      </c>
      <c r="L1730">
        <v>9</v>
      </c>
      <c r="M1730">
        <v>1</v>
      </c>
      <c r="N1730" t="s">
        <v>86</v>
      </c>
      <c r="O1730" s="1">
        <f>result[[#This Row],[n_killed_mutants_cumulativa]]/result[[#This Row],[tot_mutants]]</f>
        <v>0.1111111111111111</v>
      </c>
    </row>
    <row r="1731" spans="1:16" hidden="1" x14ac:dyDescent="0.25">
      <c r="A1731" t="s">
        <v>248</v>
      </c>
      <c r="B1731" t="s">
        <v>18</v>
      </c>
      <c r="C1731" t="s">
        <v>16</v>
      </c>
      <c r="D1731">
        <v>5951</v>
      </c>
      <c r="E1731">
        <v>87</v>
      </c>
      <c r="F1731">
        <v>20</v>
      </c>
      <c r="G1731">
        <v>400</v>
      </c>
      <c r="H1731">
        <v>240</v>
      </c>
      <c r="I1731">
        <v>892</v>
      </c>
      <c r="J1731">
        <v>0</v>
      </c>
      <c r="K1731">
        <v>0</v>
      </c>
      <c r="L1731">
        <v>9</v>
      </c>
      <c r="M1731">
        <v>1</v>
      </c>
      <c r="N1731" t="s">
        <v>86</v>
      </c>
      <c r="O1731" s="1">
        <f>result[[#This Row],[n_killed_mutants_cumulativa]]/result[[#This Row],[tot_mutants]]</f>
        <v>0.1111111111111111</v>
      </c>
    </row>
    <row r="1732" spans="1:16" hidden="1" x14ac:dyDescent="0.25">
      <c r="A1732" t="s">
        <v>248</v>
      </c>
      <c r="B1732" t="s">
        <v>19</v>
      </c>
      <c r="C1732" t="s">
        <v>16</v>
      </c>
      <c r="D1732">
        <v>9098</v>
      </c>
      <c r="E1732">
        <v>148</v>
      </c>
      <c r="F1732">
        <v>30</v>
      </c>
      <c r="G1732">
        <v>900</v>
      </c>
      <c r="H1732">
        <v>484</v>
      </c>
      <c r="I1732">
        <v>1934</v>
      </c>
      <c r="J1732">
        <v>0</v>
      </c>
      <c r="K1732">
        <v>0</v>
      </c>
      <c r="L1732">
        <v>9</v>
      </c>
      <c r="M1732">
        <v>1</v>
      </c>
      <c r="N1732" t="s">
        <v>86</v>
      </c>
      <c r="O1732" s="1">
        <f>result[[#This Row],[n_killed_mutants_cumulativa]]/result[[#This Row],[tot_mutants]]</f>
        <v>0.1111111111111111</v>
      </c>
    </row>
    <row r="1733" spans="1:16" hidden="1" x14ac:dyDescent="0.25">
      <c r="A1733" t="s">
        <v>248</v>
      </c>
      <c r="B1733" t="s">
        <v>20</v>
      </c>
      <c r="C1733" t="s">
        <v>16</v>
      </c>
      <c r="D1733">
        <v>14246</v>
      </c>
      <c r="E1733">
        <v>162</v>
      </c>
      <c r="F1733">
        <v>40</v>
      </c>
      <c r="G1733">
        <v>1600</v>
      </c>
      <c r="H1733">
        <v>855</v>
      </c>
      <c r="I1733">
        <v>3428</v>
      </c>
      <c r="J1733">
        <v>0</v>
      </c>
      <c r="K1733">
        <v>0</v>
      </c>
      <c r="L1733">
        <v>9</v>
      </c>
      <c r="M1733">
        <v>1</v>
      </c>
      <c r="N1733" t="s">
        <v>86</v>
      </c>
      <c r="O1733" s="1">
        <f>result[[#This Row],[n_killed_mutants_cumulativa]]/result[[#This Row],[tot_mutants]]</f>
        <v>0.1111111111111111</v>
      </c>
    </row>
    <row r="1734" spans="1:16" hidden="1" x14ac:dyDescent="0.25">
      <c r="A1734" t="s">
        <v>248</v>
      </c>
      <c r="B1734" t="s">
        <v>21</v>
      </c>
      <c r="C1734" t="s">
        <v>16</v>
      </c>
      <c r="D1734">
        <v>19921</v>
      </c>
      <c r="E1734">
        <v>237</v>
      </c>
      <c r="F1734">
        <v>50</v>
      </c>
      <c r="G1734">
        <v>2500</v>
      </c>
      <c r="H1734">
        <v>1328</v>
      </c>
      <c r="I1734">
        <v>5222</v>
      </c>
      <c r="J1734">
        <v>0</v>
      </c>
      <c r="K1734">
        <v>0</v>
      </c>
      <c r="L1734">
        <v>9</v>
      </c>
      <c r="M1734">
        <v>1</v>
      </c>
      <c r="N1734" t="s">
        <v>86</v>
      </c>
      <c r="O1734" s="1">
        <f>result[[#This Row],[n_killed_mutants_cumulativa]]/result[[#This Row],[tot_mutants]]</f>
        <v>0.1111111111111111</v>
      </c>
    </row>
    <row r="1735" spans="1:16" hidden="1" x14ac:dyDescent="0.25">
      <c r="A1735" t="s">
        <v>248</v>
      </c>
      <c r="B1735" t="s">
        <v>24</v>
      </c>
      <c r="C1735" t="s">
        <v>16</v>
      </c>
      <c r="D1735">
        <v>26525</v>
      </c>
      <c r="E1735">
        <v>316</v>
      </c>
      <c r="F1735">
        <v>60</v>
      </c>
      <c r="G1735">
        <v>3600</v>
      </c>
      <c r="H1735">
        <v>1886</v>
      </c>
      <c r="I1735">
        <v>7554</v>
      </c>
      <c r="J1735">
        <v>0</v>
      </c>
      <c r="K1735">
        <v>0</v>
      </c>
      <c r="L1735">
        <v>9</v>
      </c>
      <c r="M1735">
        <v>1</v>
      </c>
      <c r="N1735" t="s">
        <v>86</v>
      </c>
      <c r="O1735" s="1">
        <f>result[[#This Row],[n_killed_mutants_cumulativa]]/result[[#This Row],[tot_mutants]]</f>
        <v>0.1111111111111111</v>
      </c>
    </row>
    <row r="1736" spans="1:16" hidden="1" x14ac:dyDescent="0.25">
      <c r="A1736" t="s">
        <v>248</v>
      </c>
      <c r="B1736" t="s">
        <v>25</v>
      </c>
      <c r="C1736" t="s">
        <v>16</v>
      </c>
      <c r="D1736">
        <v>34579</v>
      </c>
      <c r="E1736">
        <v>426</v>
      </c>
      <c r="F1736">
        <v>70</v>
      </c>
      <c r="G1736">
        <v>4900</v>
      </c>
      <c r="H1736">
        <v>2527</v>
      </c>
      <c r="I1736">
        <v>10108</v>
      </c>
      <c r="J1736">
        <v>0</v>
      </c>
      <c r="K1736">
        <v>0</v>
      </c>
      <c r="L1736">
        <v>9</v>
      </c>
      <c r="M1736">
        <v>1</v>
      </c>
      <c r="N1736" t="s">
        <v>86</v>
      </c>
      <c r="O1736" s="1">
        <f>result[[#This Row],[n_killed_mutants_cumulativa]]/result[[#This Row],[tot_mutants]]</f>
        <v>0.1111111111111111</v>
      </c>
    </row>
    <row r="1737" spans="1:16" hidden="1" x14ac:dyDescent="0.25">
      <c r="A1737" t="s">
        <v>248</v>
      </c>
      <c r="B1737" t="s">
        <v>26</v>
      </c>
      <c r="C1737" t="s">
        <v>16</v>
      </c>
      <c r="D1737">
        <v>44446</v>
      </c>
      <c r="E1737">
        <v>553</v>
      </c>
      <c r="F1737">
        <v>80</v>
      </c>
      <c r="G1737">
        <v>6400</v>
      </c>
      <c r="H1737">
        <v>3266</v>
      </c>
      <c r="I1737">
        <v>13292</v>
      </c>
      <c r="J1737">
        <v>0</v>
      </c>
      <c r="K1737">
        <v>0</v>
      </c>
      <c r="L1737">
        <v>9</v>
      </c>
      <c r="M1737">
        <v>1</v>
      </c>
      <c r="N1737" t="s">
        <v>86</v>
      </c>
      <c r="O1737" s="1">
        <f>result[[#This Row],[n_killed_mutants_cumulativa]]/result[[#This Row],[tot_mutants]]</f>
        <v>0.1111111111111111</v>
      </c>
    </row>
    <row r="1738" spans="1:16" hidden="1" x14ac:dyDescent="0.25">
      <c r="A1738" t="s">
        <v>248</v>
      </c>
      <c r="B1738" t="s">
        <v>27</v>
      </c>
      <c r="C1738" t="s">
        <v>16</v>
      </c>
      <c r="D1738">
        <v>55395</v>
      </c>
      <c r="E1738">
        <v>692</v>
      </c>
      <c r="F1738">
        <v>90</v>
      </c>
      <c r="G1738">
        <v>8100</v>
      </c>
      <c r="H1738">
        <v>4161</v>
      </c>
      <c r="I1738">
        <v>16520</v>
      </c>
      <c r="J1738">
        <v>0</v>
      </c>
      <c r="K1738">
        <v>0</v>
      </c>
      <c r="L1738">
        <v>9</v>
      </c>
      <c r="M1738">
        <v>1</v>
      </c>
      <c r="N1738" t="s">
        <v>86</v>
      </c>
      <c r="O1738" s="1">
        <f>result[[#This Row],[n_killed_mutants_cumulativa]]/result[[#This Row],[tot_mutants]]</f>
        <v>0.1111111111111111</v>
      </c>
    </row>
    <row r="1739" spans="1:16" hidden="1" x14ac:dyDescent="0.25">
      <c r="A1739" t="s">
        <v>248</v>
      </c>
      <c r="B1739" t="s">
        <v>30</v>
      </c>
      <c r="C1739" t="s">
        <v>16</v>
      </c>
      <c r="D1739">
        <v>69034</v>
      </c>
      <c r="E1739">
        <v>854</v>
      </c>
      <c r="F1739">
        <v>100</v>
      </c>
      <c r="G1739">
        <v>10000</v>
      </c>
      <c r="H1739">
        <v>5015</v>
      </c>
      <c r="I1739">
        <v>20386</v>
      </c>
      <c r="J1739">
        <v>0</v>
      </c>
      <c r="K1739">
        <v>0</v>
      </c>
      <c r="L1739">
        <v>9</v>
      </c>
      <c r="M1739">
        <v>1</v>
      </c>
      <c r="N1739" t="s">
        <v>86</v>
      </c>
      <c r="O1739" s="1">
        <f>result[[#This Row],[n_killed_mutants_cumulativa]]/result[[#This Row],[tot_mutants]]</f>
        <v>0.1111111111111111</v>
      </c>
    </row>
    <row r="1740" spans="1:16" hidden="1" x14ac:dyDescent="0.25">
      <c r="A1740" t="s">
        <v>248</v>
      </c>
      <c r="B1740" t="s">
        <v>31</v>
      </c>
      <c r="C1740" t="s">
        <v>16</v>
      </c>
      <c r="D1740">
        <v>84442</v>
      </c>
      <c r="E1740">
        <v>1069</v>
      </c>
      <c r="F1740">
        <v>110</v>
      </c>
      <c r="G1740">
        <v>12100</v>
      </c>
      <c r="H1740">
        <v>6230</v>
      </c>
      <c r="I1740">
        <v>24504</v>
      </c>
      <c r="J1740">
        <v>0</v>
      </c>
      <c r="K1740">
        <v>0</v>
      </c>
      <c r="L1740">
        <v>9</v>
      </c>
      <c r="M1740">
        <v>1</v>
      </c>
      <c r="N1740" t="s">
        <v>86</v>
      </c>
      <c r="O1740" s="1">
        <f>result[[#This Row],[n_killed_mutants_cumulativa]]/result[[#This Row],[tot_mutants]]</f>
        <v>0.1111111111111111</v>
      </c>
    </row>
    <row r="1741" spans="1:16" hidden="1" x14ac:dyDescent="0.25">
      <c r="A1741" t="s">
        <v>248</v>
      </c>
      <c r="B1741" t="s">
        <v>36</v>
      </c>
      <c r="C1741" t="s">
        <v>16</v>
      </c>
      <c r="D1741">
        <v>106084</v>
      </c>
      <c r="E1741">
        <v>1271</v>
      </c>
      <c r="F1741">
        <v>120</v>
      </c>
      <c r="G1741">
        <v>14400</v>
      </c>
      <c r="H1741">
        <v>7355</v>
      </c>
      <c r="I1741">
        <v>29472</v>
      </c>
      <c r="J1741">
        <v>0</v>
      </c>
      <c r="K1741">
        <v>0</v>
      </c>
      <c r="L1741">
        <v>9</v>
      </c>
      <c r="M1741">
        <v>1</v>
      </c>
      <c r="N1741" t="s">
        <v>86</v>
      </c>
      <c r="O1741" s="1">
        <f>result[[#This Row],[n_killed_mutants_cumulativa]]/result[[#This Row],[tot_mutants]]</f>
        <v>0.1111111111111111</v>
      </c>
    </row>
    <row r="1742" spans="1:16" hidden="1" x14ac:dyDescent="0.25">
      <c r="A1742" t="s">
        <v>248</v>
      </c>
      <c r="B1742" t="s">
        <v>40</v>
      </c>
      <c r="C1742" t="s">
        <v>16</v>
      </c>
      <c r="D1742">
        <v>129946</v>
      </c>
      <c r="E1742">
        <v>1489</v>
      </c>
      <c r="F1742">
        <v>130</v>
      </c>
      <c r="G1742">
        <v>16900</v>
      </c>
      <c r="H1742">
        <v>8640</v>
      </c>
      <c r="I1742">
        <v>34412</v>
      </c>
      <c r="J1742">
        <v>0</v>
      </c>
      <c r="K1742">
        <v>0</v>
      </c>
      <c r="L1742">
        <v>9</v>
      </c>
      <c r="M1742">
        <v>1</v>
      </c>
      <c r="N1742" t="s">
        <v>86</v>
      </c>
      <c r="O1742" s="1">
        <f>result[[#This Row],[n_killed_mutants_cumulativa]]/result[[#This Row],[tot_mutants]]</f>
        <v>0.1111111111111111</v>
      </c>
    </row>
    <row r="1743" spans="1:16" x14ac:dyDescent="0.25">
      <c r="A1743" t="s">
        <v>248</v>
      </c>
      <c r="B1743" t="s">
        <v>22</v>
      </c>
      <c r="C1743" t="s">
        <v>16</v>
      </c>
      <c r="D1743">
        <v>604928</v>
      </c>
      <c r="E1743">
        <v>7455</v>
      </c>
      <c r="F1743">
        <v>910</v>
      </c>
      <c r="G1743">
        <v>81900</v>
      </c>
      <c r="H1743">
        <v>42048</v>
      </c>
      <c r="I1743">
        <v>167988</v>
      </c>
      <c r="J1743">
        <v>0</v>
      </c>
      <c r="K1743">
        <v>0</v>
      </c>
      <c r="L1743">
        <v>9</v>
      </c>
      <c r="M1743">
        <v>1</v>
      </c>
      <c r="N1743" t="s">
        <v>86</v>
      </c>
      <c r="O1743" s="1">
        <f>result[[#This Row],[n_killed_mutants_cumulativa]]/result[[#This Row],[tot_mutants]]</f>
        <v>0.1111111111111111</v>
      </c>
      <c r="P1743" s="9" t="s">
        <v>359</v>
      </c>
    </row>
    <row r="1744" spans="1:16" hidden="1" x14ac:dyDescent="0.25">
      <c r="A1744" t="s">
        <v>249</v>
      </c>
      <c r="B1744" t="s">
        <v>15</v>
      </c>
      <c r="C1744" t="s">
        <v>16</v>
      </c>
      <c r="D1744">
        <v>1541</v>
      </c>
      <c r="E1744">
        <v>261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10</v>
      </c>
      <c r="L1744">
        <v>5</v>
      </c>
      <c r="M1744">
        <v>0</v>
      </c>
      <c r="N1744" t="s">
        <v>17</v>
      </c>
      <c r="O1744" s="1">
        <f>result[[#This Row],[n_killed_mutants_cumulativa]]/result[[#This Row],[tot_mutants]]</f>
        <v>0</v>
      </c>
    </row>
    <row r="1745" spans="1:15" hidden="1" x14ac:dyDescent="0.25">
      <c r="A1745" t="s">
        <v>249</v>
      </c>
      <c r="B1745" t="s">
        <v>18</v>
      </c>
      <c r="C1745" t="s">
        <v>16</v>
      </c>
      <c r="D1745">
        <v>313</v>
      </c>
      <c r="E1745">
        <v>296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5</v>
      </c>
      <c r="M1745">
        <v>0</v>
      </c>
      <c r="N1745" t="s">
        <v>17</v>
      </c>
      <c r="O1745" s="1">
        <f>result[[#This Row],[n_killed_mutants_cumulativa]]/result[[#This Row],[tot_mutants]]</f>
        <v>0</v>
      </c>
    </row>
    <row r="1746" spans="1:15" hidden="1" x14ac:dyDescent="0.25">
      <c r="A1746" t="s">
        <v>249</v>
      </c>
      <c r="B1746" t="s">
        <v>19</v>
      </c>
      <c r="C1746" t="s">
        <v>16</v>
      </c>
      <c r="D1746">
        <v>251</v>
      </c>
      <c r="E1746">
        <v>234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5</v>
      </c>
      <c r="M1746">
        <v>0</v>
      </c>
      <c r="N1746" t="s">
        <v>17</v>
      </c>
      <c r="O1746" s="1">
        <f>result[[#This Row],[n_killed_mutants_cumulativa]]/result[[#This Row],[tot_mutants]]</f>
        <v>0</v>
      </c>
    </row>
    <row r="1747" spans="1:15" hidden="1" x14ac:dyDescent="0.25">
      <c r="A1747" t="s">
        <v>249</v>
      </c>
      <c r="B1747" t="s">
        <v>20</v>
      </c>
      <c r="C1747" t="s">
        <v>16</v>
      </c>
      <c r="D1747">
        <v>242</v>
      </c>
      <c r="E1747">
        <v>226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5</v>
      </c>
      <c r="M1747">
        <v>0</v>
      </c>
      <c r="N1747" t="s">
        <v>17</v>
      </c>
      <c r="O1747" s="1">
        <f>result[[#This Row],[n_killed_mutants_cumulativa]]/result[[#This Row],[tot_mutants]]</f>
        <v>0</v>
      </c>
    </row>
    <row r="1748" spans="1:15" hidden="1" x14ac:dyDescent="0.25">
      <c r="A1748" t="s">
        <v>249</v>
      </c>
      <c r="B1748" t="s">
        <v>21</v>
      </c>
      <c r="C1748" t="s">
        <v>16</v>
      </c>
      <c r="D1748">
        <v>271</v>
      </c>
      <c r="E1748">
        <v>255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5</v>
      </c>
      <c r="M1748">
        <v>0</v>
      </c>
      <c r="N1748" t="s">
        <v>17</v>
      </c>
      <c r="O1748" s="1">
        <f>result[[#This Row],[n_killed_mutants_cumulativa]]/result[[#This Row],[tot_mutants]]</f>
        <v>0</v>
      </c>
    </row>
    <row r="1749" spans="1:15" hidden="1" x14ac:dyDescent="0.25">
      <c r="A1749" t="s">
        <v>249</v>
      </c>
      <c r="B1749" t="s">
        <v>22</v>
      </c>
      <c r="C1749" t="s">
        <v>16</v>
      </c>
      <c r="D1749">
        <v>2618</v>
      </c>
      <c r="E1749">
        <v>1272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10</v>
      </c>
      <c r="L1749">
        <v>5</v>
      </c>
      <c r="M1749">
        <v>0</v>
      </c>
      <c r="N1749" t="s">
        <v>17</v>
      </c>
      <c r="O1749" s="1">
        <f>result[[#This Row],[n_killed_mutants_cumulativa]]/result[[#This Row],[tot_mutants]]</f>
        <v>0</v>
      </c>
    </row>
    <row r="1750" spans="1:15" hidden="1" x14ac:dyDescent="0.25">
      <c r="A1750" t="s">
        <v>250</v>
      </c>
      <c r="B1750" t="s">
        <v>15</v>
      </c>
      <c r="C1750" t="s">
        <v>16</v>
      </c>
      <c r="D1750">
        <v>562</v>
      </c>
      <c r="E1750">
        <v>314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2</v>
      </c>
      <c r="M1750">
        <v>0</v>
      </c>
      <c r="N1750" t="s">
        <v>17</v>
      </c>
      <c r="O1750" s="1">
        <f>result[[#This Row],[n_killed_mutants_cumulativa]]/result[[#This Row],[tot_mutants]]</f>
        <v>0</v>
      </c>
    </row>
    <row r="1751" spans="1:15" hidden="1" x14ac:dyDescent="0.25">
      <c r="A1751" t="s">
        <v>250</v>
      </c>
      <c r="B1751" t="s">
        <v>18</v>
      </c>
      <c r="C1751" t="s">
        <v>16</v>
      </c>
      <c r="D1751">
        <v>554</v>
      </c>
      <c r="E1751">
        <v>358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2</v>
      </c>
      <c r="M1751">
        <v>0</v>
      </c>
      <c r="N1751" t="s">
        <v>17</v>
      </c>
      <c r="O1751" s="1">
        <f>result[[#This Row],[n_killed_mutants_cumulativa]]/result[[#This Row],[tot_mutants]]</f>
        <v>0</v>
      </c>
    </row>
    <row r="1752" spans="1:15" hidden="1" x14ac:dyDescent="0.25">
      <c r="A1752" t="s">
        <v>250</v>
      </c>
      <c r="B1752" t="s">
        <v>19</v>
      </c>
      <c r="C1752" t="s">
        <v>16</v>
      </c>
      <c r="D1752">
        <v>390</v>
      </c>
      <c r="E1752">
        <v>234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2</v>
      </c>
      <c r="M1752">
        <v>0</v>
      </c>
      <c r="N1752" t="s">
        <v>17</v>
      </c>
      <c r="O1752" s="1">
        <f>result[[#This Row],[n_killed_mutants_cumulativa]]/result[[#This Row],[tot_mutants]]</f>
        <v>0</v>
      </c>
    </row>
    <row r="1753" spans="1:15" hidden="1" x14ac:dyDescent="0.25">
      <c r="A1753" t="s">
        <v>250</v>
      </c>
      <c r="B1753" t="s">
        <v>20</v>
      </c>
      <c r="C1753" t="s">
        <v>16</v>
      </c>
      <c r="D1753">
        <v>582</v>
      </c>
      <c r="E1753">
        <v>434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2</v>
      </c>
      <c r="M1753">
        <v>0</v>
      </c>
      <c r="N1753" t="s">
        <v>17</v>
      </c>
      <c r="O1753" s="1">
        <f>result[[#This Row],[n_killed_mutants_cumulativa]]/result[[#This Row],[tot_mutants]]</f>
        <v>0</v>
      </c>
    </row>
    <row r="1754" spans="1:15" hidden="1" x14ac:dyDescent="0.25">
      <c r="A1754" t="s">
        <v>250</v>
      </c>
      <c r="B1754" t="s">
        <v>21</v>
      </c>
      <c r="C1754" t="s">
        <v>16</v>
      </c>
      <c r="D1754">
        <v>550</v>
      </c>
      <c r="E1754">
        <v>389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2</v>
      </c>
      <c r="M1754">
        <v>0</v>
      </c>
      <c r="N1754" t="s">
        <v>17</v>
      </c>
      <c r="O1754" s="1">
        <f>result[[#This Row],[n_killed_mutants_cumulativa]]/result[[#This Row],[tot_mutants]]</f>
        <v>0</v>
      </c>
    </row>
    <row r="1755" spans="1:15" hidden="1" x14ac:dyDescent="0.25">
      <c r="A1755" t="s">
        <v>250</v>
      </c>
      <c r="B1755" t="s">
        <v>22</v>
      </c>
      <c r="C1755" t="s">
        <v>16</v>
      </c>
      <c r="D1755">
        <v>2638</v>
      </c>
      <c r="E1755">
        <v>1729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2</v>
      </c>
      <c r="M1755">
        <v>0</v>
      </c>
      <c r="N1755" t="s">
        <v>17</v>
      </c>
      <c r="O1755" s="1">
        <f>result[[#This Row],[n_killed_mutants_cumulativa]]/result[[#This Row],[tot_mutants]]</f>
        <v>0</v>
      </c>
    </row>
    <row r="1756" spans="1:15" hidden="1" x14ac:dyDescent="0.25">
      <c r="A1756" t="s">
        <v>251</v>
      </c>
      <c r="B1756" t="s">
        <v>15</v>
      </c>
      <c r="C1756" t="s">
        <v>16</v>
      </c>
      <c r="D1756">
        <v>1532</v>
      </c>
      <c r="E1756">
        <v>201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10</v>
      </c>
      <c r="L1756">
        <v>1</v>
      </c>
      <c r="M1756">
        <v>0</v>
      </c>
      <c r="N1756" t="s">
        <v>17</v>
      </c>
      <c r="O1756" s="1">
        <f>result[[#This Row],[n_killed_mutants_cumulativa]]/result[[#This Row],[tot_mutants]]</f>
        <v>0</v>
      </c>
    </row>
    <row r="1757" spans="1:15" hidden="1" x14ac:dyDescent="0.25">
      <c r="A1757" t="s">
        <v>251</v>
      </c>
      <c r="B1757" t="s">
        <v>18</v>
      </c>
      <c r="C1757" t="s">
        <v>16</v>
      </c>
      <c r="D1757">
        <v>1193</v>
      </c>
      <c r="E1757">
        <v>296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20</v>
      </c>
      <c r="L1757">
        <v>1</v>
      </c>
      <c r="M1757">
        <v>0</v>
      </c>
      <c r="N1757" t="s">
        <v>17</v>
      </c>
      <c r="O1757" s="1">
        <f>result[[#This Row],[n_killed_mutants_cumulativa]]/result[[#This Row],[tot_mutants]]</f>
        <v>0</v>
      </c>
    </row>
    <row r="1758" spans="1:15" hidden="1" x14ac:dyDescent="0.25">
      <c r="A1758" t="s">
        <v>251</v>
      </c>
      <c r="B1758" t="s">
        <v>19</v>
      </c>
      <c r="C1758" t="s">
        <v>16</v>
      </c>
      <c r="D1758">
        <v>1298</v>
      </c>
      <c r="E1758">
        <v>410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30</v>
      </c>
      <c r="L1758">
        <v>1</v>
      </c>
      <c r="M1758">
        <v>0</v>
      </c>
      <c r="N1758" t="s">
        <v>17</v>
      </c>
      <c r="O1758" s="1">
        <f>result[[#This Row],[n_killed_mutants_cumulativa]]/result[[#This Row],[tot_mutants]]</f>
        <v>0</v>
      </c>
    </row>
    <row r="1759" spans="1:15" hidden="1" x14ac:dyDescent="0.25">
      <c r="A1759" t="s">
        <v>251</v>
      </c>
      <c r="B1759" t="s">
        <v>20</v>
      </c>
      <c r="C1759" t="s">
        <v>16</v>
      </c>
      <c r="D1759">
        <v>1363</v>
      </c>
      <c r="E1759">
        <v>427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40</v>
      </c>
      <c r="L1759">
        <v>1</v>
      </c>
      <c r="M1759">
        <v>0</v>
      </c>
      <c r="N1759" t="s">
        <v>17</v>
      </c>
      <c r="O1759" s="1">
        <f>result[[#This Row],[n_killed_mutants_cumulativa]]/result[[#This Row],[tot_mutants]]</f>
        <v>0</v>
      </c>
    </row>
    <row r="1760" spans="1:15" hidden="1" x14ac:dyDescent="0.25">
      <c r="A1760" t="s">
        <v>251</v>
      </c>
      <c r="B1760" t="s">
        <v>21</v>
      </c>
      <c r="C1760" t="s">
        <v>16</v>
      </c>
      <c r="D1760">
        <v>1678</v>
      </c>
      <c r="E1760">
        <v>526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50</v>
      </c>
      <c r="L1760">
        <v>1</v>
      </c>
      <c r="M1760">
        <v>0</v>
      </c>
      <c r="N1760" t="s">
        <v>17</v>
      </c>
      <c r="O1760" s="1">
        <f>result[[#This Row],[n_killed_mutants_cumulativa]]/result[[#This Row],[tot_mutants]]</f>
        <v>0</v>
      </c>
    </row>
    <row r="1761" spans="1:15" hidden="1" x14ac:dyDescent="0.25">
      <c r="A1761" t="s">
        <v>251</v>
      </c>
      <c r="B1761" t="s">
        <v>22</v>
      </c>
      <c r="C1761" t="s">
        <v>16</v>
      </c>
      <c r="D1761">
        <v>7064</v>
      </c>
      <c r="E1761">
        <v>1860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150</v>
      </c>
      <c r="L1761">
        <v>1</v>
      </c>
      <c r="M1761">
        <v>0</v>
      </c>
      <c r="N1761" t="s">
        <v>17</v>
      </c>
      <c r="O1761" s="1">
        <f>result[[#This Row],[n_killed_mutants_cumulativa]]/result[[#This Row],[tot_mutants]]</f>
        <v>0</v>
      </c>
    </row>
    <row r="1762" spans="1:15" hidden="1" x14ac:dyDescent="0.25">
      <c r="A1762" t="s">
        <v>252</v>
      </c>
      <c r="B1762" t="s">
        <v>15</v>
      </c>
      <c r="C1762" t="s">
        <v>16</v>
      </c>
      <c r="D1762">
        <v>4007</v>
      </c>
      <c r="E1762">
        <v>3858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30</v>
      </c>
      <c r="M1762">
        <v>0</v>
      </c>
      <c r="N1762" t="s">
        <v>17</v>
      </c>
      <c r="O1762" s="1">
        <f>result[[#This Row],[n_killed_mutants_cumulativa]]/result[[#This Row],[tot_mutants]]</f>
        <v>0</v>
      </c>
    </row>
    <row r="1763" spans="1:15" hidden="1" x14ac:dyDescent="0.25">
      <c r="A1763" t="s">
        <v>252</v>
      </c>
      <c r="B1763" t="s">
        <v>18</v>
      </c>
      <c r="C1763" t="s">
        <v>16</v>
      </c>
      <c r="D1763">
        <v>9671</v>
      </c>
      <c r="E1763">
        <v>9619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30</v>
      </c>
      <c r="M1763">
        <v>0</v>
      </c>
      <c r="N1763" t="s">
        <v>17</v>
      </c>
      <c r="O1763" s="1">
        <f>result[[#This Row],[n_killed_mutants_cumulativa]]/result[[#This Row],[tot_mutants]]</f>
        <v>0</v>
      </c>
    </row>
    <row r="1764" spans="1:15" hidden="1" x14ac:dyDescent="0.25">
      <c r="A1764" t="s">
        <v>252</v>
      </c>
      <c r="B1764" t="s">
        <v>19</v>
      </c>
      <c r="C1764" t="s">
        <v>16</v>
      </c>
      <c r="D1764">
        <v>14620</v>
      </c>
      <c r="E1764">
        <v>14542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30</v>
      </c>
      <c r="M1764">
        <v>0</v>
      </c>
      <c r="N1764" t="s">
        <v>17</v>
      </c>
      <c r="O1764" s="1">
        <f>result[[#This Row],[n_killed_mutants_cumulativa]]/result[[#This Row],[tot_mutants]]</f>
        <v>0</v>
      </c>
    </row>
    <row r="1765" spans="1:15" hidden="1" x14ac:dyDescent="0.25">
      <c r="A1765" t="s">
        <v>252</v>
      </c>
      <c r="B1765" t="s">
        <v>20</v>
      </c>
      <c r="C1765" t="s">
        <v>16</v>
      </c>
      <c r="D1765">
        <v>14327</v>
      </c>
      <c r="E1765">
        <v>14289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30</v>
      </c>
      <c r="M1765">
        <v>0</v>
      </c>
      <c r="N1765" t="s">
        <v>17</v>
      </c>
      <c r="O1765" s="1">
        <f>result[[#This Row],[n_killed_mutants_cumulativa]]/result[[#This Row],[tot_mutants]]</f>
        <v>0</v>
      </c>
    </row>
    <row r="1766" spans="1:15" hidden="1" x14ac:dyDescent="0.25">
      <c r="A1766" t="s">
        <v>252</v>
      </c>
      <c r="B1766" t="s">
        <v>21</v>
      </c>
      <c r="C1766" t="s">
        <v>16</v>
      </c>
      <c r="D1766">
        <v>19576</v>
      </c>
      <c r="E1766">
        <v>19538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30</v>
      </c>
      <c r="M1766">
        <v>0</v>
      </c>
      <c r="N1766" t="s">
        <v>17</v>
      </c>
      <c r="O1766" s="1">
        <f>result[[#This Row],[n_killed_mutants_cumulativa]]/result[[#This Row],[tot_mutants]]</f>
        <v>0</v>
      </c>
    </row>
    <row r="1767" spans="1:15" hidden="1" x14ac:dyDescent="0.25">
      <c r="A1767" t="s">
        <v>252</v>
      </c>
      <c r="B1767" t="s">
        <v>22</v>
      </c>
      <c r="C1767" t="s">
        <v>16</v>
      </c>
      <c r="D1767">
        <v>62201</v>
      </c>
      <c r="E1767">
        <v>61846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30</v>
      </c>
      <c r="M1767">
        <v>0</v>
      </c>
      <c r="N1767" t="s">
        <v>17</v>
      </c>
      <c r="O1767" s="1">
        <f>result[[#This Row],[n_killed_mutants_cumulativa]]/result[[#This Row],[tot_mutants]]</f>
        <v>0</v>
      </c>
    </row>
    <row r="1768" spans="1:15" hidden="1" x14ac:dyDescent="0.25">
      <c r="A1768" t="s">
        <v>253</v>
      </c>
      <c r="B1768" t="s">
        <v>15</v>
      </c>
      <c r="C1768" t="s">
        <v>16</v>
      </c>
      <c r="D1768">
        <v>2986</v>
      </c>
      <c r="E1768">
        <v>1158</v>
      </c>
      <c r="F1768">
        <v>0</v>
      </c>
      <c r="G1768">
        <v>0</v>
      </c>
      <c r="H1768">
        <v>0</v>
      </c>
      <c r="I1768">
        <v>0</v>
      </c>
      <c r="J1768">
        <v>4</v>
      </c>
      <c r="K1768">
        <v>0</v>
      </c>
      <c r="L1768">
        <v>45</v>
      </c>
      <c r="M1768">
        <v>0</v>
      </c>
      <c r="N1768" t="s">
        <v>17</v>
      </c>
      <c r="O1768" s="1">
        <f>result[[#This Row],[n_killed_mutants_cumulativa]]/result[[#This Row],[tot_mutants]]</f>
        <v>0</v>
      </c>
    </row>
    <row r="1769" spans="1:15" hidden="1" x14ac:dyDescent="0.25">
      <c r="A1769" t="s">
        <v>253</v>
      </c>
      <c r="B1769" t="s">
        <v>18</v>
      </c>
      <c r="C1769" t="s">
        <v>16</v>
      </c>
      <c r="D1769">
        <v>1923</v>
      </c>
      <c r="E1769">
        <v>1377</v>
      </c>
      <c r="F1769">
        <v>0</v>
      </c>
      <c r="G1769">
        <v>0</v>
      </c>
      <c r="H1769">
        <v>0</v>
      </c>
      <c r="I1769">
        <v>0</v>
      </c>
      <c r="J1769">
        <v>4</v>
      </c>
      <c r="K1769">
        <v>0</v>
      </c>
      <c r="L1769">
        <v>45</v>
      </c>
      <c r="M1769">
        <v>0</v>
      </c>
      <c r="N1769" t="s">
        <v>17</v>
      </c>
      <c r="O1769" s="1">
        <f>result[[#This Row],[n_killed_mutants_cumulativa]]/result[[#This Row],[tot_mutants]]</f>
        <v>0</v>
      </c>
    </row>
    <row r="1770" spans="1:15" hidden="1" x14ac:dyDescent="0.25">
      <c r="A1770" t="s">
        <v>253</v>
      </c>
      <c r="B1770" t="s">
        <v>19</v>
      </c>
      <c r="C1770" t="s">
        <v>16</v>
      </c>
      <c r="D1770">
        <v>2885</v>
      </c>
      <c r="E1770">
        <v>2128</v>
      </c>
      <c r="F1770">
        <v>0</v>
      </c>
      <c r="G1770">
        <v>0</v>
      </c>
      <c r="H1770">
        <v>0</v>
      </c>
      <c r="I1770">
        <v>0</v>
      </c>
      <c r="J1770">
        <v>7</v>
      </c>
      <c r="K1770">
        <v>0</v>
      </c>
      <c r="L1770">
        <v>45</v>
      </c>
      <c r="M1770">
        <v>0</v>
      </c>
      <c r="N1770" t="s">
        <v>17</v>
      </c>
      <c r="O1770" s="1">
        <f>result[[#This Row],[n_killed_mutants_cumulativa]]/result[[#This Row],[tot_mutants]]</f>
        <v>0</v>
      </c>
    </row>
    <row r="1771" spans="1:15" hidden="1" x14ac:dyDescent="0.25">
      <c r="A1771" t="s">
        <v>253</v>
      </c>
      <c r="B1771" t="s">
        <v>20</v>
      </c>
      <c r="C1771" t="s">
        <v>16</v>
      </c>
      <c r="D1771">
        <v>3065</v>
      </c>
      <c r="E1771">
        <v>2427</v>
      </c>
      <c r="F1771">
        <v>0</v>
      </c>
      <c r="G1771">
        <v>0</v>
      </c>
      <c r="H1771">
        <v>0</v>
      </c>
      <c r="I1771">
        <v>0</v>
      </c>
      <c r="J1771">
        <v>5</v>
      </c>
      <c r="K1771">
        <v>0</v>
      </c>
      <c r="L1771">
        <v>45</v>
      </c>
      <c r="M1771">
        <v>0</v>
      </c>
      <c r="N1771" t="s">
        <v>17</v>
      </c>
      <c r="O1771" s="1">
        <f>result[[#This Row],[n_killed_mutants_cumulativa]]/result[[#This Row],[tot_mutants]]</f>
        <v>0</v>
      </c>
    </row>
    <row r="1772" spans="1:15" hidden="1" x14ac:dyDescent="0.25">
      <c r="A1772" t="s">
        <v>253</v>
      </c>
      <c r="B1772" t="s">
        <v>21</v>
      </c>
      <c r="C1772" t="s">
        <v>16</v>
      </c>
      <c r="D1772">
        <v>4788</v>
      </c>
      <c r="E1772">
        <v>3922</v>
      </c>
      <c r="F1772">
        <v>0</v>
      </c>
      <c r="G1772">
        <v>0</v>
      </c>
      <c r="H1772">
        <v>0</v>
      </c>
      <c r="I1772">
        <v>0</v>
      </c>
      <c r="J1772">
        <v>9</v>
      </c>
      <c r="K1772">
        <v>0</v>
      </c>
      <c r="L1772">
        <v>45</v>
      </c>
      <c r="M1772">
        <v>0</v>
      </c>
      <c r="N1772" t="s">
        <v>17</v>
      </c>
      <c r="O1772" s="1">
        <f>result[[#This Row],[n_killed_mutants_cumulativa]]/result[[#This Row],[tot_mutants]]</f>
        <v>0</v>
      </c>
    </row>
    <row r="1773" spans="1:15" hidden="1" x14ac:dyDescent="0.25">
      <c r="A1773" t="s">
        <v>253</v>
      </c>
      <c r="B1773" t="s">
        <v>22</v>
      </c>
      <c r="C1773" t="s">
        <v>16</v>
      </c>
      <c r="D1773">
        <v>15647</v>
      </c>
      <c r="E1773">
        <v>11012</v>
      </c>
      <c r="F1773">
        <v>0</v>
      </c>
      <c r="G1773">
        <v>0</v>
      </c>
      <c r="H1773">
        <v>0</v>
      </c>
      <c r="I1773">
        <v>0</v>
      </c>
      <c r="J1773">
        <v>29</v>
      </c>
      <c r="K1773">
        <v>0</v>
      </c>
      <c r="L1773">
        <v>45</v>
      </c>
      <c r="M1773">
        <v>0</v>
      </c>
      <c r="N1773" t="s">
        <v>17</v>
      </c>
      <c r="O1773" s="1">
        <f>result[[#This Row],[n_killed_mutants_cumulativa]]/result[[#This Row],[tot_mutants]]</f>
        <v>0</v>
      </c>
    </row>
    <row r="1774" spans="1:15" hidden="1" x14ac:dyDescent="0.25">
      <c r="A1774" t="s">
        <v>254</v>
      </c>
      <c r="B1774" t="s">
        <v>15</v>
      </c>
      <c r="C1774" t="s">
        <v>16</v>
      </c>
      <c r="D1774">
        <v>3267</v>
      </c>
      <c r="E1774">
        <v>283</v>
      </c>
      <c r="F1774">
        <v>10</v>
      </c>
      <c r="G1774">
        <v>100</v>
      </c>
      <c r="H1774">
        <v>92</v>
      </c>
      <c r="I1774">
        <v>257</v>
      </c>
      <c r="J1774">
        <v>0</v>
      </c>
      <c r="K1774">
        <v>0</v>
      </c>
      <c r="L1774">
        <v>2</v>
      </c>
      <c r="M1774">
        <v>0</v>
      </c>
      <c r="N1774" t="s">
        <v>17</v>
      </c>
      <c r="O1774" s="1">
        <f>result[[#This Row],[n_killed_mutants_cumulativa]]/result[[#This Row],[tot_mutants]]</f>
        <v>0</v>
      </c>
    </row>
    <row r="1775" spans="1:15" hidden="1" x14ac:dyDescent="0.25">
      <c r="A1775" t="s">
        <v>254</v>
      </c>
      <c r="B1775" t="s">
        <v>18</v>
      </c>
      <c r="C1775" t="s">
        <v>16</v>
      </c>
      <c r="D1775">
        <v>3321</v>
      </c>
      <c r="E1775">
        <v>224</v>
      </c>
      <c r="F1775">
        <v>20</v>
      </c>
      <c r="G1775">
        <v>400</v>
      </c>
      <c r="H1775">
        <v>312</v>
      </c>
      <c r="I1775">
        <v>736</v>
      </c>
      <c r="J1775">
        <v>0</v>
      </c>
      <c r="K1775">
        <v>0</v>
      </c>
      <c r="L1775">
        <v>2</v>
      </c>
      <c r="M1775">
        <v>0</v>
      </c>
      <c r="N1775" t="s">
        <v>17</v>
      </c>
      <c r="O1775" s="1">
        <f>result[[#This Row],[n_killed_mutants_cumulativa]]/result[[#This Row],[tot_mutants]]</f>
        <v>0</v>
      </c>
    </row>
    <row r="1776" spans="1:15" hidden="1" x14ac:dyDescent="0.25">
      <c r="A1776" t="s">
        <v>254</v>
      </c>
      <c r="B1776" t="s">
        <v>19</v>
      </c>
      <c r="C1776" t="s">
        <v>16</v>
      </c>
      <c r="D1776">
        <v>4103</v>
      </c>
      <c r="E1776">
        <v>268</v>
      </c>
      <c r="F1776">
        <v>30</v>
      </c>
      <c r="G1776">
        <v>900</v>
      </c>
      <c r="H1776">
        <v>416</v>
      </c>
      <c r="I1776">
        <v>1392</v>
      </c>
      <c r="J1776">
        <v>0</v>
      </c>
      <c r="K1776">
        <v>0</v>
      </c>
      <c r="L1776">
        <v>2</v>
      </c>
      <c r="M1776">
        <v>0</v>
      </c>
      <c r="N1776" t="s">
        <v>17</v>
      </c>
      <c r="O1776" s="1">
        <f>result[[#This Row],[n_killed_mutants_cumulativa]]/result[[#This Row],[tot_mutants]]</f>
        <v>0</v>
      </c>
    </row>
    <row r="1777" spans="1:15" hidden="1" x14ac:dyDescent="0.25">
      <c r="A1777" t="s">
        <v>254</v>
      </c>
      <c r="B1777" t="s">
        <v>20</v>
      </c>
      <c r="C1777" t="s">
        <v>16</v>
      </c>
      <c r="D1777">
        <v>6056</v>
      </c>
      <c r="E1777">
        <v>462</v>
      </c>
      <c r="F1777">
        <v>40</v>
      </c>
      <c r="G1777">
        <v>1600</v>
      </c>
      <c r="H1777">
        <v>650</v>
      </c>
      <c r="I1777">
        <v>2272</v>
      </c>
      <c r="J1777">
        <v>0</v>
      </c>
      <c r="K1777">
        <v>0</v>
      </c>
      <c r="L1777">
        <v>2</v>
      </c>
      <c r="M1777">
        <v>0</v>
      </c>
      <c r="N1777" t="s">
        <v>17</v>
      </c>
      <c r="O1777" s="1">
        <f>result[[#This Row],[n_killed_mutants_cumulativa]]/result[[#This Row],[tot_mutants]]</f>
        <v>0</v>
      </c>
    </row>
    <row r="1778" spans="1:15" hidden="1" x14ac:dyDescent="0.25">
      <c r="A1778" t="s">
        <v>254</v>
      </c>
      <c r="B1778" t="s">
        <v>21</v>
      </c>
      <c r="C1778" t="s">
        <v>16</v>
      </c>
      <c r="D1778">
        <v>8299</v>
      </c>
      <c r="E1778">
        <v>733</v>
      </c>
      <c r="F1778">
        <v>50</v>
      </c>
      <c r="G1778">
        <v>2500</v>
      </c>
      <c r="H1778">
        <v>766</v>
      </c>
      <c r="I1778">
        <v>3316</v>
      </c>
      <c r="J1778">
        <v>0</v>
      </c>
      <c r="K1778">
        <v>0</v>
      </c>
      <c r="L1778">
        <v>2</v>
      </c>
      <c r="M1778">
        <v>0</v>
      </c>
      <c r="N1778" t="s">
        <v>17</v>
      </c>
      <c r="O1778" s="1">
        <f>result[[#This Row],[n_killed_mutants_cumulativa]]/result[[#This Row],[tot_mutants]]</f>
        <v>0</v>
      </c>
    </row>
    <row r="1779" spans="1:15" hidden="1" x14ac:dyDescent="0.25">
      <c r="A1779" t="s">
        <v>254</v>
      </c>
      <c r="B1779" t="s">
        <v>24</v>
      </c>
      <c r="C1779" t="s">
        <v>16</v>
      </c>
      <c r="D1779">
        <v>11471</v>
      </c>
      <c r="E1779">
        <v>1040</v>
      </c>
      <c r="F1779">
        <v>60</v>
      </c>
      <c r="G1779">
        <v>3600</v>
      </c>
      <c r="H1779">
        <v>944</v>
      </c>
      <c r="I1779">
        <v>4597</v>
      </c>
      <c r="J1779">
        <v>0</v>
      </c>
      <c r="K1779">
        <v>0</v>
      </c>
      <c r="L1779">
        <v>2</v>
      </c>
      <c r="M1779">
        <v>0</v>
      </c>
      <c r="N1779" t="s">
        <v>17</v>
      </c>
      <c r="O1779" s="1">
        <f>result[[#This Row],[n_killed_mutants_cumulativa]]/result[[#This Row],[tot_mutants]]</f>
        <v>0</v>
      </c>
    </row>
    <row r="1780" spans="1:15" hidden="1" x14ac:dyDescent="0.25">
      <c r="A1780" t="s">
        <v>254</v>
      </c>
      <c r="B1780" t="s">
        <v>25</v>
      </c>
      <c r="C1780" t="s">
        <v>16</v>
      </c>
      <c r="D1780">
        <v>14414</v>
      </c>
      <c r="E1780">
        <v>1269</v>
      </c>
      <c r="F1780">
        <v>70</v>
      </c>
      <c r="G1780">
        <v>4900</v>
      </c>
      <c r="H1780">
        <v>944</v>
      </c>
      <c r="I1780">
        <v>6048</v>
      </c>
      <c r="J1780">
        <v>0</v>
      </c>
      <c r="K1780">
        <v>0</v>
      </c>
      <c r="L1780">
        <v>2</v>
      </c>
      <c r="M1780">
        <v>0</v>
      </c>
      <c r="N1780" t="s">
        <v>17</v>
      </c>
      <c r="O1780" s="1">
        <f>result[[#This Row],[n_killed_mutants_cumulativa]]/result[[#This Row],[tot_mutants]]</f>
        <v>0</v>
      </c>
    </row>
    <row r="1781" spans="1:15" hidden="1" x14ac:dyDescent="0.25">
      <c r="A1781" t="s">
        <v>254</v>
      </c>
      <c r="B1781" t="s">
        <v>26</v>
      </c>
      <c r="C1781" t="s">
        <v>16</v>
      </c>
      <c r="D1781">
        <v>18601</v>
      </c>
      <c r="E1781">
        <v>1787</v>
      </c>
      <c r="F1781">
        <v>80</v>
      </c>
      <c r="G1781">
        <v>6400</v>
      </c>
      <c r="H1781">
        <v>1396</v>
      </c>
      <c r="I1781">
        <v>7745</v>
      </c>
      <c r="J1781">
        <v>0</v>
      </c>
      <c r="K1781">
        <v>0</v>
      </c>
      <c r="L1781">
        <v>2</v>
      </c>
      <c r="M1781">
        <v>0</v>
      </c>
      <c r="N1781" t="s">
        <v>17</v>
      </c>
      <c r="O1781" s="1">
        <f>result[[#This Row],[n_killed_mutants_cumulativa]]/result[[#This Row],[tot_mutants]]</f>
        <v>0</v>
      </c>
    </row>
    <row r="1782" spans="1:15" hidden="1" x14ac:dyDescent="0.25">
      <c r="A1782" t="s">
        <v>254</v>
      </c>
      <c r="B1782" t="s">
        <v>27</v>
      </c>
      <c r="C1782" t="s">
        <v>16</v>
      </c>
      <c r="D1782">
        <v>22465</v>
      </c>
      <c r="E1782">
        <v>2178</v>
      </c>
      <c r="F1782">
        <v>90</v>
      </c>
      <c r="G1782">
        <v>8100</v>
      </c>
      <c r="H1782">
        <v>1412</v>
      </c>
      <c r="I1782">
        <v>9596</v>
      </c>
      <c r="J1782">
        <v>0</v>
      </c>
      <c r="K1782">
        <v>0</v>
      </c>
      <c r="L1782">
        <v>2</v>
      </c>
      <c r="M1782">
        <v>0</v>
      </c>
      <c r="N1782" t="s">
        <v>17</v>
      </c>
      <c r="O1782" s="1">
        <f>result[[#This Row],[n_killed_mutants_cumulativa]]/result[[#This Row],[tot_mutants]]</f>
        <v>0</v>
      </c>
    </row>
    <row r="1783" spans="1:15" hidden="1" x14ac:dyDescent="0.25">
      <c r="A1783" t="s">
        <v>254</v>
      </c>
      <c r="B1783" t="s">
        <v>30</v>
      </c>
      <c r="C1783" t="s">
        <v>16</v>
      </c>
      <c r="D1783">
        <v>27305</v>
      </c>
      <c r="E1783">
        <v>2619</v>
      </c>
      <c r="F1783">
        <v>100</v>
      </c>
      <c r="G1783">
        <v>10000</v>
      </c>
      <c r="H1783">
        <v>1668</v>
      </c>
      <c r="I1783">
        <v>11657</v>
      </c>
      <c r="J1783">
        <v>0</v>
      </c>
      <c r="K1783">
        <v>0</v>
      </c>
      <c r="L1783">
        <v>2</v>
      </c>
      <c r="M1783">
        <v>0</v>
      </c>
      <c r="N1783" t="s">
        <v>17</v>
      </c>
      <c r="O1783" s="1">
        <f>result[[#This Row],[n_killed_mutants_cumulativa]]/result[[#This Row],[tot_mutants]]</f>
        <v>0</v>
      </c>
    </row>
    <row r="1784" spans="1:15" hidden="1" x14ac:dyDescent="0.25">
      <c r="A1784" t="s">
        <v>254</v>
      </c>
      <c r="B1784" t="s">
        <v>31</v>
      </c>
      <c r="C1784" t="s">
        <v>16</v>
      </c>
      <c r="D1784">
        <v>33089</v>
      </c>
      <c r="E1784">
        <v>3248</v>
      </c>
      <c r="F1784">
        <v>110</v>
      </c>
      <c r="G1784">
        <v>12100</v>
      </c>
      <c r="H1784">
        <v>1962</v>
      </c>
      <c r="I1784">
        <v>13947</v>
      </c>
      <c r="J1784">
        <v>0</v>
      </c>
      <c r="K1784">
        <v>0</v>
      </c>
      <c r="L1784">
        <v>2</v>
      </c>
      <c r="M1784">
        <v>0</v>
      </c>
      <c r="N1784" t="s">
        <v>17</v>
      </c>
      <c r="O1784" s="1">
        <f>result[[#This Row],[n_killed_mutants_cumulativa]]/result[[#This Row],[tot_mutants]]</f>
        <v>0</v>
      </c>
    </row>
    <row r="1785" spans="1:15" hidden="1" x14ac:dyDescent="0.25">
      <c r="A1785" t="s">
        <v>254</v>
      </c>
      <c r="B1785" t="s">
        <v>36</v>
      </c>
      <c r="C1785" t="s">
        <v>16</v>
      </c>
      <c r="D1785">
        <v>39181</v>
      </c>
      <c r="E1785">
        <v>3852</v>
      </c>
      <c r="F1785">
        <v>120</v>
      </c>
      <c r="G1785">
        <v>14400</v>
      </c>
      <c r="H1785">
        <v>1956</v>
      </c>
      <c r="I1785">
        <v>16423</v>
      </c>
      <c r="J1785">
        <v>0</v>
      </c>
      <c r="K1785">
        <v>0</v>
      </c>
      <c r="L1785">
        <v>2</v>
      </c>
      <c r="M1785">
        <v>0</v>
      </c>
      <c r="N1785" t="s">
        <v>17</v>
      </c>
      <c r="O1785" s="1">
        <f>result[[#This Row],[n_killed_mutants_cumulativa]]/result[[#This Row],[tot_mutants]]</f>
        <v>0</v>
      </c>
    </row>
    <row r="1786" spans="1:15" hidden="1" x14ac:dyDescent="0.25">
      <c r="A1786" t="s">
        <v>254</v>
      </c>
      <c r="B1786" t="s">
        <v>40</v>
      </c>
      <c r="C1786" t="s">
        <v>16</v>
      </c>
      <c r="D1786">
        <v>46158</v>
      </c>
      <c r="E1786">
        <v>4536</v>
      </c>
      <c r="F1786">
        <v>130</v>
      </c>
      <c r="G1786">
        <v>16900</v>
      </c>
      <c r="H1786">
        <v>1972</v>
      </c>
      <c r="I1786">
        <v>19071</v>
      </c>
      <c r="J1786">
        <v>0</v>
      </c>
      <c r="K1786">
        <v>0</v>
      </c>
      <c r="L1786">
        <v>2</v>
      </c>
      <c r="M1786">
        <v>0</v>
      </c>
      <c r="N1786" t="s">
        <v>17</v>
      </c>
      <c r="O1786" s="1">
        <f>result[[#This Row],[n_killed_mutants_cumulativa]]/result[[#This Row],[tot_mutants]]</f>
        <v>0</v>
      </c>
    </row>
    <row r="1787" spans="1:15" hidden="1" x14ac:dyDescent="0.25">
      <c r="A1787" t="s">
        <v>254</v>
      </c>
      <c r="B1787" t="s">
        <v>47</v>
      </c>
      <c r="C1787" t="s">
        <v>16</v>
      </c>
      <c r="D1787">
        <v>54326</v>
      </c>
      <c r="E1787">
        <v>5347</v>
      </c>
      <c r="F1787">
        <v>140</v>
      </c>
      <c r="G1787">
        <v>19600</v>
      </c>
      <c r="H1787">
        <v>2514</v>
      </c>
      <c r="I1787">
        <v>21956</v>
      </c>
      <c r="J1787">
        <v>0</v>
      </c>
      <c r="K1787">
        <v>0</v>
      </c>
      <c r="L1787">
        <v>2</v>
      </c>
      <c r="M1787">
        <v>0</v>
      </c>
      <c r="N1787" t="s">
        <v>17</v>
      </c>
      <c r="O1787" s="1">
        <f>result[[#This Row],[n_killed_mutants_cumulativa]]/result[[#This Row],[tot_mutants]]</f>
        <v>0</v>
      </c>
    </row>
    <row r="1788" spans="1:15" hidden="1" x14ac:dyDescent="0.25">
      <c r="A1788" t="s">
        <v>254</v>
      </c>
      <c r="B1788" t="s">
        <v>48</v>
      </c>
      <c r="C1788" t="s">
        <v>16</v>
      </c>
      <c r="D1788">
        <v>61363</v>
      </c>
      <c r="E1788">
        <v>5860</v>
      </c>
      <c r="F1788">
        <v>150</v>
      </c>
      <c r="G1788">
        <v>22500</v>
      </c>
      <c r="H1788">
        <v>2226</v>
      </c>
      <c r="I1788">
        <v>24996</v>
      </c>
      <c r="J1788">
        <v>0</v>
      </c>
      <c r="K1788">
        <v>0</v>
      </c>
      <c r="L1788">
        <v>2</v>
      </c>
      <c r="M1788">
        <v>0</v>
      </c>
      <c r="N1788" t="s">
        <v>17</v>
      </c>
      <c r="O1788" s="1">
        <f>result[[#This Row],[n_killed_mutants_cumulativa]]/result[[#This Row],[tot_mutants]]</f>
        <v>0</v>
      </c>
    </row>
    <row r="1789" spans="1:15" hidden="1" x14ac:dyDescent="0.25">
      <c r="A1789" t="s">
        <v>254</v>
      </c>
      <c r="B1789" t="s">
        <v>49</v>
      </c>
      <c r="C1789" t="s">
        <v>16</v>
      </c>
      <c r="D1789">
        <v>72353</v>
      </c>
      <c r="E1789">
        <v>7051</v>
      </c>
      <c r="F1789">
        <v>160</v>
      </c>
      <c r="G1789">
        <v>25600</v>
      </c>
      <c r="H1789">
        <v>2764</v>
      </c>
      <c r="I1789">
        <v>28314</v>
      </c>
      <c r="J1789">
        <v>0</v>
      </c>
      <c r="K1789">
        <v>0</v>
      </c>
      <c r="L1789">
        <v>2</v>
      </c>
      <c r="M1789">
        <v>0</v>
      </c>
      <c r="N1789" t="s">
        <v>17</v>
      </c>
      <c r="O1789" s="1">
        <f>result[[#This Row],[n_killed_mutants_cumulativa]]/result[[#This Row],[tot_mutants]]</f>
        <v>0</v>
      </c>
    </row>
    <row r="1790" spans="1:15" hidden="1" x14ac:dyDescent="0.25">
      <c r="A1790" t="s">
        <v>254</v>
      </c>
      <c r="B1790" t="s">
        <v>50</v>
      </c>
      <c r="C1790" t="s">
        <v>16</v>
      </c>
      <c r="D1790">
        <v>81333</v>
      </c>
      <c r="E1790">
        <v>7754</v>
      </c>
      <c r="F1790">
        <v>170</v>
      </c>
      <c r="G1790">
        <v>28900</v>
      </c>
      <c r="H1790">
        <v>2838</v>
      </c>
      <c r="I1790">
        <v>31748</v>
      </c>
      <c r="J1790">
        <v>0</v>
      </c>
      <c r="K1790">
        <v>0</v>
      </c>
      <c r="L1790">
        <v>2</v>
      </c>
      <c r="M1790">
        <v>0</v>
      </c>
      <c r="N1790" t="s">
        <v>17</v>
      </c>
      <c r="O1790" s="1">
        <f>result[[#This Row],[n_killed_mutants_cumulativa]]/result[[#This Row],[tot_mutants]]</f>
        <v>0</v>
      </c>
    </row>
    <row r="1791" spans="1:15" hidden="1" x14ac:dyDescent="0.25">
      <c r="A1791" t="s">
        <v>254</v>
      </c>
      <c r="B1791" t="s">
        <v>51</v>
      </c>
      <c r="C1791" t="s">
        <v>16</v>
      </c>
      <c r="D1791">
        <v>91104</v>
      </c>
      <c r="E1791">
        <v>8491</v>
      </c>
      <c r="F1791">
        <v>180</v>
      </c>
      <c r="G1791">
        <v>32400</v>
      </c>
      <c r="H1791">
        <v>2794</v>
      </c>
      <c r="I1791">
        <v>35413</v>
      </c>
      <c r="J1791">
        <v>0</v>
      </c>
      <c r="K1791">
        <v>0</v>
      </c>
      <c r="L1791">
        <v>2</v>
      </c>
      <c r="M1791">
        <v>0</v>
      </c>
      <c r="N1791" t="s">
        <v>17</v>
      </c>
      <c r="O1791" s="1">
        <f>result[[#This Row],[n_killed_mutants_cumulativa]]/result[[#This Row],[tot_mutants]]</f>
        <v>0</v>
      </c>
    </row>
    <row r="1792" spans="1:15" hidden="1" x14ac:dyDescent="0.25">
      <c r="A1792" t="s">
        <v>254</v>
      </c>
      <c r="B1792" t="s">
        <v>52</v>
      </c>
      <c r="C1792" t="s">
        <v>16</v>
      </c>
      <c r="D1792">
        <v>102303</v>
      </c>
      <c r="E1792">
        <v>9471</v>
      </c>
      <c r="F1792">
        <v>190</v>
      </c>
      <c r="G1792">
        <v>36100</v>
      </c>
      <c r="H1792">
        <v>2880</v>
      </c>
      <c r="I1792">
        <v>39261</v>
      </c>
      <c r="J1792">
        <v>0</v>
      </c>
      <c r="K1792">
        <v>0</v>
      </c>
      <c r="L1792">
        <v>2</v>
      </c>
      <c r="M1792">
        <v>0</v>
      </c>
      <c r="N1792" t="s">
        <v>17</v>
      </c>
      <c r="O1792" s="1">
        <f>result[[#This Row],[n_killed_mutants_cumulativa]]/result[[#This Row],[tot_mutants]]</f>
        <v>0</v>
      </c>
    </row>
    <row r="1793" spans="1:16" hidden="1" x14ac:dyDescent="0.25">
      <c r="A1793" t="s">
        <v>254</v>
      </c>
      <c r="B1793" t="s">
        <v>22</v>
      </c>
      <c r="C1793" t="s">
        <v>16</v>
      </c>
      <c r="D1793">
        <v>700512</v>
      </c>
      <c r="E1793">
        <v>66473</v>
      </c>
      <c r="F1793">
        <v>1900</v>
      </c>
      <c r="G1793">
        <v>247000</v>
      </c>
      <c r="H1793">
        <v>30506</v>
      </c>
      <c r="I1793">
        <v>278745</v>
      </c>
      <c r="J1793">
        <v>0</v>
      </c>
      <c r="K1793">
        <v>0</v>
      </c>
      <c r="L1793">
        <v>2</v>
      </c>
      <c r="M1793">
        <v>0</v>
      </c>
      <c r="N1793" t="s">
        <v>17</v>
      </c>
      <c r="O1793" s="1">
        <f>result[[#This Row],[n_killed_mutants_cumulativa]]/result[[#This Row],[tot_mutants]]</f>
        <v>0</v>
      </c>
      <c r="P1793" s="9" t="s">
        <v>346</v>
      </c>
    </row>
    <row r="1794" spans="1:16" hidden="1" x14ac:dyDescent="0.25">
      <c r="A1794" t="s">
        <v>255</v>
      </c>
      <c r="B1794" t="s">
        <v>15</v>
      </c>
      <c r="C1794" t="s">
        <v>16</v>
      </c>
      <c r="D1794">
        <v>3731</v>
      </c>
      <c r="E1794">
        <v>134</v>
      </c>
      <c r="F1794">
        <v>10</v>
      </c>
      <c r="G1794">
        <v>100</v>
      </c>
      <c r="H1794">
        <v>100</v>
      </c>
      <c r="I1794">
        <v>253</v>
      </c>
      <c r="J1794">
        <v>0</v>
      </c>
      <c r="K1794">
        <v>0</v>
      </c>
      <c r="L1794">
        <v>5</v>
      </c>
      <c r="M1794">
        <v>1</v>
      </c>
      <c r="N1794" t="s">
        <v>86</v>
      </c>
      <c r="O1794" s="1">
        <f>result[[#This Row],[n_killed_mutants_cumulativa]]/result[[#This Row],[tot_mutants]]</f>
        <v>0.2</v>
      </c>
    </row>
    <row r="1795" spans="1:16" hidden="1" x14ac:dyDescent="0.25">
      <c r="A1795" t="s">
        <v>255</v>
      </c>
      <c r="B1795" t="s">
        <v>18</v>
      </c>
      <c r="C1795" t="s">
        <v>16</v>
      </c>
      <c r="D1795">
        <v>3462</v>
      </c>
      <c r="E1795">
        <v>85</v>
      </c>
      <c r="F1795">
        <v>20</v>
      </c>
      <c r="G1795">
        <v>400</v>
      </c>
      <c r="H1795">
        <v>400</v>
      </c>
      <c r="I1795">
        <v>906</v>
      </c>
      <c r="J1795">
        <v>0</v>
      </c>
      <c r="K1795">
        <v>0</v>
      </c>
      <c r="L1795">
        <v>5</v>
      </c>
      <c r="M1795">
        <v>1</v>
      </c>
      <c r="N1795" t="s">
        <v>86</v>
      </c>
      <c r="O1795" s="1">
        <f>result[[#This Row],[n_killed_mutants_cumulativa]]/result[[#This Row],[tot_mutants]]</f>
        <v>0.2</v>
      </c>
    </row>
    <row r="1796" spans="1:16" hidden="1" x14ac:dyDescent="0.25">
      <c r="A1796" t="s">
        <v>255</v>
      </c>
      <c r="B1796" t="s">
        <v>19</v>
      </c>
      <c r="C1796" t="s">
        <v>16</v>
      </c>
      <c r="D1796">
        <v>5374</v>
      </c>
      <c r="E1796">
        <v>116</v>
      </c>
      <c r="F1796">
        <v>30</v>
      </c>
      <c r="G1796">
        <v>900</v>
      </c>
      <c r="H1796">
        <v>900</v>
      </c>
      <c r="I1796">
        <v>1904</v>
      </c>
      <c r="J1796">
        <v>0</v>
      </c>
      <c r="K1796">
        <v>0</v>
      </c>
      <c r="L1796">
        <v>5</v>
      </c>
      <c r="M1796">
        <v>1</v>
      </c>
      <c r="N1796" t="s">
        <v>86</v>
      </c>
      <c r="O1796" s="1">
        <f>result[[#This Row],[n_killed_mutants_cumulativa]]/result[[#This Row],[tot_mutants]]</f>
        <v>0.2</v>
      </c>
    </row>
    <row r="1797" spans="1:16" hidden="1" x14ac:dyDescent="0.25">
      <c r="A1797" t="s">
        <v>255</v>
      </c>
      <c r="B1797" t="s">
        <v>20</v>
      </c>
      <c r="C1797" t="s">
        <v>16</v>
      </c>
      <c r="D1797">
        <v>7329</v>
      </c>
      <c r="E1797">
        <v>129</v>
      </c>
      <c r="F1797">
        <v>40</v>
      </c>
      <c r="G1797">
        <v>1600</v>
      </c>
      <c r="H1797">
        <v>1600</v>
      </c>
      <c r="I1797">
        <v>3422</v>
      </c>
      <c r="J1797">
        <v>0</v>
      </c>
      <c r="K1797">
        <v>0</v>
      </c>
      <c r="L1797">
        <v>5</v>
      </c>
      <c r="M1797">
        <v>1</v>
      </c>
      <c r="N1797" t="s">
        <v>86</v>
      </c>
      <c r="O1797" s="1">
        <f>result[[#This Row],[n_killed_mutants_cumulativa]]/result[[#This Row],[tot_mutants]]</f>
        <v>0.2</v>
      </c>
    </row>
    <row r="1798" spans="1:16" hidden="1" x14ac:dyDescent="0.25">
      <c r="A1798" t="s">
        <v>255</v>
      </c>
      <c r="B1798" t="s">
        <v>21</v>
      </c>
      <c r="C1798" t="s">
        <v>16</v>
      </c>
      <c r="D1798">
        <v>10180</v>
      </c>
      <c r="E1798">
        <v>169</v>
      </c>
      <c r="F1798">
        <v>50</v>
      </c>
      <c r="G1798">
        <v>2500</v>
      </c>
      <c r="H1798">
        <v>2500</v>
      </c>
      <c r="I1798">
        <v>5192</v>
      </c>
      <c r="J1798">
        <v>0</v>
      </c>
      <c r="K1798">
        <v>0</v>
      </c>
      <c r="L1798">
        <v>5</v>
      </c>
      <c r="M1798">
        <v>1</v>
      </c>
      <c r="N1798" t="s">
        <v>86</v>
      </c>
      <c r="O1798" s="1">
        <f>result[[#This Row],[n_killed_mutants_cumulativa]]/result[[#This Row],[tot_mutants]]</f>
        <v>0.2</v>
      </c>
    </row>
    <row r="1799" spans="1:16" hidden="1" x14ac:dyDescent="0.25">
      <c r="A1799" t="s">
        <v>255</v>
      </c>
      <c r="B1799" t="s">
        <v>24</v>
      </c>
      <c r="C1799" t="s">
        <v>16</v>
      </c>
      <c r="D1799">
        <v>13846</v>
      </c>
      <c r="E1799">
        <v>235</v>
      </c>
      <c r="F1799">
        <v>60</v>
      </c>
      <c r="G1799">
        <v>3600</v>
      </c>
      <c r="H1799">
        <v>3600</v>
      </c>
      <c r="I1799">
        <v>7422</v>
      </c>
      <c r="J1799">
        <v>0</v>
      </c>
      <c r="K1799">
        <v>0</v>
      </c>
      <c r="L1799">
        <v>5</v>
      </c>
      <c r="M1799">
        <v>1</v>
      </c>
      <c r="N1799" t="s">
        <v>86</v>
      </c>
      <c r="O1799" s="1">
        <f>result[[#This Row],[n_killed_mutants_cumulativa]]/result[[#This Row],[tot_mutants]]</f>
        <v>0.2</v>
      </c>
    </row>
    <row r="1800" spans="1:16" hidden="1" x14ac:dyDescent="0.25">
      <c r="A1800" t="s">
        <v>255</v>
      </c>
      <c r="B1800" t="s">
        <v>25</v>
      </c>
      <c r="C1800" t="s">
        <v>16</v>
      </c>
      <c r="D1800">
        <v>17882</v>
      </c>
      <c r="E1800">
        <v>305</v>
      </c>
      <c r="F1800">
        <v>70</v>
      </c>
      <c r="G1800">
        <v>4900</v>
      </c>
      <c r="H1800">
        <v>4900</v>
      </c>
      <c r="I1800">
        <v>10044</v>
      </c>
      <c r="J1800">
        <v>0</v>
      </c>
      <c r="K1800">
        <v>0</v>
      </c>
      <c r="L1800">
        <v>5</v>
      </c>
      <c r="M1800">
        <v>1</v>
      </c>
      <c r="N1800" t="s">
        <v>86</v>
      </c>
      <c r="O1800" s="1">
        <f>result[[#This Row],[n_killed_mutants_cumulativa]]/result[[#This Row],[tot_mutants]]</f>
        <v>0.2</v>
      </c>
    </row>
    <row r="1801" spans="1:16" hidden="1" x14ac:dyDescent="0.25">
      <c r="A1801" t="s">
        <v>255</v>
      </c>
      <c r="B1801" t="s">
        <v>26</v>
      </c>
      <c r="C1801" t="s">
        <v>16</v>
      </c>
      <c r="D1801">
        <v>23582</v>
      </c>
      <c r="E1801">
        <v>441</v>
      </c>
      <c r="F1801">
        <v>80</v>
      </c>
      <c r="G1801">
        <v>6400</v>
      </c>
      <c r="H1801">
        <v>6400</v>
      </c>
      <c r="I1801">
        <v>13072</v>
      </c>
      <c r="J1801">
        <v>0</v>
      </c>
      <c r="K1801">
        <v>0</v>
      </c>
      <c r="L1801">
        <v>5</v>
      </c>
      <c r="M1801">
        <v>1</v>
      </c>
      <c r="N1801" t="s">
        <v>86</v>
      </c>
      <c r="O1801" s="1">
        <f>result[[#This Row],[n_killed_mutants_cumulativa]]/result[[#This Row],[tot_mutants]]</f>
        <v>0.2</v>
      </c>
    </row>
    <row r="1802" spans="1:16" hidden="1" x14ac:dyDescent="0.25">
      <c r="A1802" t="s">
        <v>255</v>
      </c>
      <c r="B1802" t="s">
        <v>27</v>
      </c>
      <c r="C1802" t="s">
        <v>16</v>
      </c>
      <c r="D1802">
        <v>29493</v>
      </c>
      <c r="E1802">
        <v>503</v>
      </c>
      <c r="F1802">
        <v>90</v>
      </c>
      <c r="G1802">
        <v>8100</v>
      </c>
      <c r="H1802">
        <v>8100</v>
      </c>
      <c r="I1802">
        <v>16540</v>
      </c>
      <c r="J1802">
        <v>0</v>
      </c>
      <c r="K1802">
        <v>0</v>
      </c>
      <c r="L1802">
        <v>5</v>
      </c>
      <c r="M1802">
        <v>1</v>
      </c>
      <c r="N1802" t="s">
        <v>86</v>
      </c>
      <c r="O1802" s="1">
        <f>result[[#This Row],[n_killed_mutants_cumulativa]]/result[[#This Row],[tot_mutants]]</f>
        <v>0.2</v>
      </c>
    </row>
    <row r="1803" spans="1:16" hidden="1" x14ac:dyDescent="0.25">
      <c r="A1803" t="s">
        <v>255</v>
      </c>
      <c r="B1803" t="s">
        <v>30</v>
      </c>
      <c r="C1803" t="s">
        <v>16</v>
      </c>
      <c r="D1803">
        <v>36704</v>
      </c>
      <c r="E1803">
        <v>624</v>
      </c>
      <c r="F1803">
        <v>100</v>
      </c>
      <c r="G1803">
        <v>10000</v>
      </c>
      <c r="H1803">
        <v>10000</v>
      </c>
      <c r="I1803">
        <v>20481</v>
      </c>
      <c r="J1803">
        <v>0</v>
      </c>
      <c r="K1803">
        <v>0</v>
      </c>
      <c r="L1803">
        <v>5</v>
      </c>
      <c r="M1803">
        <v>1</v>
      </c>
      <c r="N1803" t="s">
        <v>86</v>
      </c>
      <c r="O1803" s="1">
        <f>result[[#This Row],[n_killed_mutants_cumulativa]]/result[[#This Row],[tot_mutants]]</f>
        <v>0.2</v>
      </c>
    </row>
    <row r="1804" spans="1:16" hidden="1" x14ac:dyDescent="0.25">
      <c r="A1804" t="s">
        <v>255</v>
      </c>
      <c r="B1804" t="s">
        <v>31</v>
      </c>
      <c r="C1804" t="s">
        <v>16</v>
      </c>
      <c r="D1804">
        <v>44669</v>
      </c>
      <c r="E1804">
        <v>753</v>
      </c>
      <c r="F1804">
        <v>110</v>
      </c>
      <c r="G1804">
        <v>12100</v>
      </c>
      <c r="H1804">
        <v>12100</v>
      </c>
      <c r="I1804">
        <v>24592</v>
      </c>
      <c r="J1804">
        <v>0</v>
      </c>
      <c r="K1804">
        <v>0</v>
      </c>
      <c r="L1804">
        <v>5</v>
      </c>
      <c r="M1804">
        <v>1</v>
      </c>
      <c r="N1804" t="s">
        <v>86</v>
      </c>
      <c r="O1804" s="1">
        <f>result[[#This Row],[n_killed_mutants_cumulativa]]/result[[#This Row],[tot_mutants]]</f>
        <v>0.2</v>
      </c>
    </row>
    <row r="1805" spans="1:16" hidden="1" x14ac:dyDescent="0.25">
      <c r="A1805" t="s">
        <v>255</v>
      </c>
      <c r="B1805" t="s">
        <v>36</v>
      </c>
      <c r="C1805" t="s">
        <v>16</v>
      </c>
      <c r="D1805">
        <v>53935</v>
      </c>
      <c r="E1805">
        <v>900</v>
      </c>
      <c r="F1805">
        <v>120</v>
      </c>
      <c r="G1805">
        <v>14400</v>
      </c>
      <c r="H1805">
        <v>14400</v>
      </c>
      <c r="I1805">
        <v>29380</v>
      </c>
      <c r="J1805">
        <v>0</v>
      </c>
      <c r="K1805">
        <v>0</v>
      </c>
      <c r="L1805">
        <v>5</v>
      </c>
      <c r="M1805">
        <v>1</v>
      </c>
      <c r="N1805" t="s">
        <v>86</v>
      </c>
      <c r="O1805" s="1">
        <f>result[[#This Row],[n_killed_mutants_cumulativa]]/result[[#This Row],[tot_mutants]]</f>
        <v>0.2</v>
      </c>
    </row>
    <row r="1806" spans="1:16" hidden="1" x14ac:dyDescent="0.25">
      <c r="A1806" t="s">
        <v>255</v>
      </c>
      <c r="B1806" t="s">
        <v>40</v>
      </c>
      <c r="C1806" t="s">
        <v>16</v>
      </c>
      <c r="D1806">
        <v>63954</v>
      </c>
      <c r="E1806">
        <v>1042</v>
      </c>
      <c r="F1806">
        <v>130</v>
      </c>
      <c r="G1806">
        <v>16900</v>
      </c>
      <c r="H1806">
        <v>16900</v>
      </c>
      <c r="I1806">
        <v>34338</v>
      </c>
      <c r="J1806">
        <v>0</v>
      </c>
      <c r="K1806">
        <v>0</v>
      </c>
      <c r="L1806">
        <v>5</v>
      </c>
      <c r="M1806">
        <v>1</v>
      </c>
      <c r="N1806" t="s">
        <v>86</v>
      </c>
      <c r="O1806" s="1">
        <f>result[[#This Row],[n_killed_mutants_cumulativa]]/result[[#This Row],[tot_mutants]]</f>
        <v>0.2</v>
      </c>
    </row>
    <row r="1807" spans="1:16" hidden="1" x14ac:dyDescent="0.25">
      <c r="A1807" t="s">
        <v>255</v>
      </c>
      <c r="B1807" t="s">
        <v>47</v>
      </c>
      <c r="C1807" t="s">
        <v>16</v>
      </c>
      <c r="D1807">
        <v>75339</v>
      </c>
      <c r="E1807">
        <v>1200</v>
      </c>
      <c r="F1807">
        <v>140</v>
      </c>
      <c r="G1807">
        <v>19600</v>
      </c>
      <c r="H1807">
        <v>19600</v>
      </c>
      <c r="I1807">
        <v>39813</v>
      </c>
      <c r="J1807">
        <v>0</v>
      </c>
      <c r="K1807">
        <v>0</v>
      </c>
      <c r="L1807">
        <v>5</v>
      </c>
      <c r="M1807">
        <v>1</v>
      </c>
      <c r="N1807" t="s">
        <v>86</v>
      </c>
      <c r="O1807" s="1">
        <f>result[[#This Row],[n_killed_mutants_cumulativa]]/result[[#This Row],[tot_mutants]]</f>
        <v>0.2</v>
      </c>
    </row>
    <row r="1808" spans="1:16" hidden="1" x14ac:dyDescent="0.25">
      <c r="A1808" t="s">
        <v>255</v>
      </c>
      <c r="B1808" t="s">
        <v>48</v>
      </c>
      <c r="C1808" t="s">
        <v>16</v>
      </c>
      <c r="D1808">
        <v>88753</v>
      </c>
      <c r="E1808">
        <v>1400</v>
      </c>
      <c r="F1808">
        <v>150</v>
      </c>
      <c r="G1808">
        <v>22500</v>
      </c>
      <c r="H1808">
        <v>22500</v>
      </c>
      <c r="I1808">
        <v>45599</v>
      </c>
      <c r="J1808">
        <v>0</v>
      </c>
      <c r="K1808">
        <v>0</v>
      </c>
      <c r="L1808">
        <v>5</v>
      </c>
      <c r="M1808">
        <v>1</v>
      </c>
      <c r="N1808" t="s">
        <v>86</v>
      </c>
      <c r="O1808" s="1">
        <f>result[[#This Row],[n_killed_mutants_cumulativa]]/result[[#This Row],[tot_mutants]]</f>
        <v>0.2</v>
      </c>
    </row>
    <row r="1809" spans="1:16" hidden="1" x14ac:dyDescent="0.25">
      <c r="A1809" t="s">
        <v>255</v>
      </c>
      <c r="B1809" t="s">
        <v>49</v>
      </c>
      <c r="C1809" t="s">
        <v>16</v>
      </c>
      <c r="D1809">
        <v>103004</v>
      </c>
      <c r="E1809">
        <v>1570</v>
      </c>
      <c r="F1809">
        <v>160</v>
      </c>
      <c r="G1809">
        <v>25600</v>
      </c>
      <c r="H1809">
        <v>25600</v>
      </c>
      <c r="I1809">
        <v>51981</v>
      </c>
      <c r="J1809">
        <v>0</v>
      </c>
      <c r="K1809">
        <v>0</v>
      </c>
      <c r="L1809">
        <v>5</v>
      </c>
      <c r="M1809">
        <v>1</v>
      </c>
      <c r="N1809" t="s">
        <v>86</v>
      </c>
      <c r="O1809" s="1">
        <f>result[[#This Row],[n_killed_mutants_cumulativa]]/result[[#This Row],[tot_mutants]]</f>
        <v>0.2</v>
      </c>
    </row>
    <row r="1810" spans="1:16" hidden="1" x14ac:dyDescent="0.25">
      <c r="A1810" t="s">
        <v>255</v>
      </c>
      <c r="B1810" t="s">
        <v>50</v>
      </c>
      <c r="C1810" t="s">
        <v>16</v>
      </c>
      <c r="D1810">
        <v>118428</v>
      </c>
      <c r="E1810">
        <v>1773</v>
      </c>
      <c r="F1810">
        <v>170</v>
      </c>
      <c r="G1810">
        <v>28900</v>
      </c>
      <c r="H1810">
        <v>28900</v>
      </c>
      <c r="I1810">
        <v>58258</v>
      </c>
      <c r="J1810">
        <v>0</v>
      </c>
      <c r="K1810">
        <v>0</v>
      </c>
      <c r="L1810">
        <v>5</v>
      </c>
      <c r="M1810">
        <v>1</v>
      </c>
      <c r="N1810" t="s">
        <v>86</v>
      </c>
      <c r="O1810" s="1">
        <f>result[[#This Row],[n_killed_mutants_cumulativa]]/result[[#This Row],[tot_mutants]]</f>
        <v>0.2</v>
      </c>
    </row>
    <row r="1811" spans="1:16" x14ac:dyDescent="0.25">
      <c r="A1811" t="s">
        <v>255</v>
      </c>
      <c r="B1811" t="s">
        <v>22</v>
      </c>
      <c r="C1811" t="s">
        <v>16</v>
      </c>
      <c r="D1811">
        <v>699665</v>
      </c>
      <c r="E1811">
        <v>11379</v>
      </c>
      <c r="F1811">
        <v>1530</v>
      </c>
      <c r="G1811">
        <v>178500</v>
      </c>
      <c r="H1811">
        <v>178500</v>
      </c>
      <c r="I1811">
        <v>363197</v>
      </c>
      <c r="J1811">
        <v>0</v>
      </c>
      <c r="K1811">
        <v>0</v>
      </c>
      <c r="L1811">
        <v>5</v>
      </c>
      <c r="M1811">
        <v>1</v>
      </c>
      <c r="N1811" t="s">
        <v>86</v>
      </c>
      <c r="O1811" s="1">
        <f>result[[#This Row],[n_killed_mutants_cumulativa]]/result[[#This Row],[tot_mutants]]</f>
        <v>0.2</v>
      </c>
      <c r="P1811" s="9" t="s">
        <v>359</v>
      </c>
    </row>
    <row r="1812" spans="1:16" hidden="1" x14ac:dyDescent="0.25">
      <c r="A1812" t="s">
        <v>256</v>
      </c>
      <c r="B1812" t="s">
        <v>15</v>
      </c>
      <c r="C1812" t="s">
        <v>16</v>
      </c>
      <c r="D1812">
        <v>8135</v>
      </c>
      <c r="E1812">
        <v>102</v>
      </c>
      <c r="F1812">
        <v>10</v>
      </c>
      <c r="G1812">
        <v>100</v>
      </c>
      <c r="H1812">
        <v>101</v>
      </c>
      <c r="I1812">
        <v>396</v>
      </c>
      <c r="J1812">
        <v>0</v>
      </c>
      <c r="K1812">
        <v>0</v>
      </c>
      <c r="L1812">
        <v>16</v>
      </c>
      <c r="M1812">
        <v>0</v>
      </c>
      <c r="N1812" t="s">
        <v>17</v>
      </c>
      <c r="O1812" s="1">
        <f>result[[#This Row],[n_killed_mutants_cumulativa]]/result[[#This Row],[tot_mutants]]</f>
        <v>0</v>
      </c>
    </row>
    <row r="1813" spans="1:16" hidden="1" x14ac:dyDescent="0.25">
      <c r="A1813" t="s">
        <v>256</v>
      </c>
      <c r="B1813" t="s">
        <v>18</v>
      </c>
      <c r="C1813" t="s">
        <v>16</v>
      </c>
      <c r="D1813">
        <v>11869</v>
      </c>
      <c r="E1813">
        <v>34</v>
      </c>
      <c r="F1813">
        <v>20</v>
      </c>
      <c r="G1813">
        <v>400</v>
      </c>
      <c r="H1813">
        <v>417</v>
      </c>
      <c r="I1813">
        <v>1580</v>
      </c>
      <c r="J1813">
        <v>0</v>
      </c>
      <c r="K1813">
        <v>0</v>
      </c>
      <c r="L1813">
        <v>16</v>
      </c>
      <c r="M1813">
        <v>0</v>
      </c>
      <c r="N1813" t="s">
        <v>17</v>
      </c>
      <c r="O1813" s="1">
        <f>result[[#This Row],[n_killed_mutants_cumulativa]]/result[[#This Row],[tot_mutants]]</f>
        <v>0</v>
      </c>
    </row>
    <row r="1814" spans="1:16" hidden="1" x14ac:dyDescent="0.25">
      <c r="A1814" t="s">
        <v>256</v>
      </c>
      <c r="B1814" t="s">
        <v>19</v>
      </c>
      <c r="C1814" t="s">
        <v>16</v>
      </c>
      <c r="D1814">
        <v>21321</v>
      </c>
      <c r="E1814">
        <v>56</v>
      </c>
      <c r="F1814">
        <v>30</v>
      </c>
      <c r="G1814">
        <v>900</v>
      </c>
      <c r="H1814">
        <v>976</v>
      </c>
      <c r="I1814">
        <v>4282</v>
      </c>
      <c r="J1814">
        <v>0</v>
      </c>
      <c r="K1814">
        <v>0</v>
      </c>
      <c r="L1814">
        <v>16</v>
      </c>
      <c r="M1814">
        <v>1</v>
      </c>
      <c r="N1814" t="s">
        <v>142</v>
      </c>
      <c r="O1814" s="1">
        <f>result[[#This Row],[n_killed_mutants_cumulativa]]/result[[#This Row],[tot_mutants]]</f>
        <v>6.25E-2</v>
      </c>
    </row>
    <row r="1815" spans="1:16" hidden="1" x14ac:dyDescent="0.25">
      <c r="A1815" t="s">
        <v>256</v>
      </c>
      <c r="B1815" t="s">
        <v>20</v>
      </c>
      <c r="C1815" t="s">
        <v>16</v>
      </c>
      <c r="D1815">
        <v>33952</v>
      </c>
      <c r="E1815">
        <v>82</v>
      </c>
      <c r="F1815">
        <v>40</v>
      </c>
      <c r="G1815">
        <v>1600</v>
      </c>
      <c r="H1815">
        <v>1752</v>
      </c>
      <c r="I1815">
        <v>8321</v>
      </c>
      <c r="J1815">
        <v>0</v>
      </c>
      <c r="K1815">
        <v>0</v>
      </c>
      <c r="L1815">
        <v>16</v>
      </c>
      <c r="M1815">
        <v>1</v>
      </c>
      <c r="N1815" t="s">
        <v>142</v>
      </c>
      <c r="O1815" s="1">
        <f>result[[#This Row],[n_killed_mutants_cumulativa]]/result[[#This Row],[tot_mutants]]</f>
        <v>6.25E-2</v>
      </c>
    </row>
    <row r="1816" spans="1:16" hidden="1" x14ac:dyDescent="0.25">
      <c r="A1816" t="s">
        <v>256</v>
      </c>
      <c r="B1816" t="s">
        <v>21</v>
      </c>
      <c r="C1816" t="s">
        <v>16</v>
      </c>
      <c r="D1816">
        <v>51531</v>
      </c>
      <c r="E1816">
        <v>126</v>
      </c>
      <c r="F1816">
        <v>50</v>
      </c>
      <c r="G1816">
        <v>2500</v>
      </c>
      <c r="H1816">
        <v>2721</v>
      </c>
      <c r="I1816">
        <v>13540</v>
      </c>
      <c r="J1816">
        <v>0</v>
      </c>
      <c r="K1816">
        <v>0</v>
      </c>
      <c r="L1816">
        <v>16</v>
      </c>
      <c r="M1816">
        <v>1</v>
      </c>
      <c r="N1816" t="s">
        <v>142</v>
      </c>
      <c r="O1816" s="1">
        <f>result[[#This Row],[n_killed_mutants_cumulativa]]/result[[#This Row],[tot_mutants]]</f>
        <v>6.25E-2</v>
      </c>
    </row>
    <row r="1817" spans="1:16" hidden="1" x14ac:dyDescent="0.25">
      <c r="A1817" t="s">
        <v>256</v>
      </c>
      <c r="B1817" t="s">
        <v>24</v>
      </c>
      <c r="C1817" t="s">
        <v>16</v>
      </c>
      <c r="D1817">
        <v>71989</v>
      </c>
      <c r="E1817">
        <v>177</v>
      </c>
      <c r="F1817">
        <v>60</v>
      </c>
      <c r="G1817">
        <v>3600</v>
      </c>
      <c r="H1817">
        <v>3859</v>
      </c>
      <c r="I1817">
        <v>19738</v>
      </c>
      <c r="J1817">
        <v>0</v>
      </c>
      <c r="K1817">
        <v>0</v>
      </c>
      <c r="L1817">
        <v>16</v>
      </c>
      <c r="M1817">
        <v>1</v>
      </c>
      <c r="N1817" t="s">
        <v>142</v>
      </c>
      <c r="O1817" s="1">
        <f>result[[#This Row],[n_killed_mutants_cumulativa]]/result[[#This Row],[tot_mutants]]</f>
        <v>6.25E-2</v>
      </c>
    </row>
    <row r="1818" spans="1:16" hidden="1" x14ac:dyDescent="0.25">
      <c r="A1818" t="s">
        <v>256</v>
      </c>
      <c r="B1818" t="s">
        <v>25</v>
      </c>
      <c r="C1818" t="s">
        <v>16</v>
      </c>
      <c r="D1818">
        <v>99217</v>
      </c>
      <c r="E1818">
        <v>215</v>
      </c>
      <c r="F1818">
        <v>70</v>
      </c>
      <c r="G1818">
        <v>4900</v>
      </c>
      <c r="H1818">
        <v>5402</v>
      </c>
      <c r="I1818">
        <v>27620</v>
      </c>
      <c r="J1818">
        <v>0</v>
      </c>
      <c r="K1818">
        <v>0</v>
      </c>
      <c r="L1818">
        <v>16</v>
      </c>
      <c r="M1818">
        <v>1</v>
      </c>
      <c r="N1818" t="s">
        <v>142</v>
      </c>
      <c r="O1818" s="1">
        <f>result[[#This Row],[n_killed_mutants_cumulativa]]/result[[#This Row],[tot_mutants]]</f>
        <v>6.25E-2</v>
      </c>
    </row>
    <row r="1819" spans="1:16" hidden="1" x14ac:dyDescent="0.25">
      <c r="A1819" t="s">
        <v>256</v>
      </c>
      <c r="B1819" t="s">
        <v>26</v>
      </c>
      <c r="C1819" t="s">
        <v>16</v>
      </c>
      <c r="D1819">
        <v>128183</v>
      </c>
      <c r="E1819">
        <v>269</v>
      </c>
      <c r="F1819">
        <v>80</v>
      </c>
      <c r="G1819">
        <v>6400</v>
      </c>
      <c r="H1819">
        <v>6889</v>
      </c>
      <c r="I1819">
        <v>35637</v>
      </c>
      <c r="J1819">
        <v>0</v>
      </c>
      <c r="K1819">
        <v>0</v>
      </c>
      <c r="L1819">
        <v>16</v>
      </c>
      <c r="M1819">
        <v>1</v>
      </c>
      <c r="N1819" t="s">
        <v>142</v>
      </c>
      <c r="O1819" s="1">
        <f>result[[#This Row],[n_killed_mutants_cumulativa]]/result[[#This Row],[tot_mutants]]</f>
        <v>6.25E-2</v>
      </c>
    </row>
    <row r="1820" spans="1:16" hidden="1" x14ac:dyDescent="0.25">
      <c r="A1820" t="s">
        <v>256</v>
      </c>
      <c r="B1820" t="s">
        <v>27</v>
      </c>
      <c r="C1820" t="s">
        <v>16</v>
      </c>
      <c r="D1820">
        <v>164554</v>
      </c>
      <c r="E1820">
        <v>351</v>
      </c>
      <c r="F1820">
        <v>90</v>
      </c>
      <c r="G1820">
        <v>8100</v>
      </c>
      <c r="H1820">
        <v>8826</v>
      </c>
      <c r="I1820">
        <v>45786</v>
      </c>
      <c r="J1820">
        <v>0</v>
      </c>
      <c r="K1820">
        <v>0</v>
      </c>
      <c r="L1820">
        <v>16</v>
      </c>
      <c r="M1820">
        <v>1</v>
      </c>
      <c r="N1820" t="s">
        <v>142</v>
      </c>
      <c r="O1820" s="1">
        <f>result[[#This Row],[n_killed_mutants_cumulativa]]/result[[#This Row],[tot_mutants]]</f>
        <v>6.25E-2</v>
      </c>
    </row>
    <row r="1821" spans="1:16" hidden="1" x14ac:dyDescent="0.25">
      <c r="A1821" t="s">
        <v>256</v>
      </c>
      <c r="B1821" t="s">
        <v>30</v>
      </c>
      <c r="C1821" t="s">
        <v>16</v>
      </c>
      <c r="D1821">
        <v>205630</v>
      </c>
      <c r="E1821">
        <v>433</v>
      </c>
      <c r="F1821">
        <v>100</v>
      </c>
      <c r="G1821">
        <v>10000</v>
      </c>
      <c r="H1821">
        <v>10874</v>
      </c>
      <c r="I1821">
        <v>56928</v>
      </c>
      <c r="J1821">
        <v>0</v>
      </c>
      <c r="K1821">
        <v>0</v>
      </c>
      <c r="L1821">
        <v>16</v>
      </c>
      <c r="M1821">
        <v>1</v>
      </c>
      <c r="N1821" t="s">
        <v>142</v>
      </c>
      <c r="O1821" s="1">
        <f>result[[#This Row],[n_killed_mutants_cumulativa]]/result[[#This Row],[tot_mutants]]</f>
        <v>6.25E-2</v>
      </c>
    </row>
    <row r="1822" spans="1:16" x14ac:dyDescent="0.25">
      <c r="A1822" t="s">
        <v>256</v>
      </c>
      <c r="B1822" t="s">
        <v>22</v>
      </c>
      <c r="C1822" t="s">
        <v>16</v>
      </c>
      <c r="D1822">
        <v>796381</v>
      </c>
      <c r="E1822">
        <v>1845</v>
      </c>
      <c r="F1822">
        <v>550</v>
      </c>
      <c r="G1822">
        <v>38500</v>
      </c>
      <c r="H1822">
        <v>41817</v>
      </c>
      <c r="I1822">
        <v>213828</v>
      </c>
      <c r="J1822">
        <v>0</v>
      </c>
      <c r="K1822">
        <v>0</v>
      </c>
      <c r="L1822">
        <v>16</v>
      </c>
      <c r="M1822">
        <v>1</v>
      </c>
      <c r="N1822" t="s">
        <v>142</v>
      </c>
      <c r="O1822" s="1">
        <f>result[[#This Row],[n_killed_mutants_cumulativa]]/result[[#This Row],[tot_mutants]]</f>
        <v>6.25E-2</v>
      </c>
      <c r="P1822" s="9" t="s">
        <v>359</v>
      </c>
    </row>
    <row r="1823" spans="1:16" hidden="1" x14ac:dyDescent="0.25">
      <c r="A1823" t="s">
        <v>257</v>
      </c>
      <c r="B1823" t="s">
        <v>15</v>
      </c>
      <c r="C1823" t="s">
        <v>16</v>
      </c>
      <c r="D1823">
        <v>185</v>
      </c>
      <c r="E1823">
        <v>81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8</v>
      </c>
      <c r="M1823">
        <v>0</v>
      </c>
      <c r="N1823" t="s">
        <v>17</v>
      </c>
      <c r="O1823" s="1">
        <f>result[[#This Row],[n_killed_mutants_cumulativa]]/result[[#This Row],[tot_mutants]]</f>
        <v>0</v>
      </c>
    </row>
    <row r="1824" spans="1:16" hidden="1" x14ac:dyDescent="0.25">
      <c r="A1824" t="s">
        <v>257</v>
      </c>
      <c r="B1824" t="s">
        <v>18</v>
      </c>
      <c r="C1824" t="s">
        <v>16</v>
      </c>
      <c r="D1824">
        <v>83</v>
      </c>
      <c r="E1824">
        <v>55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8</v>
      </c>
      <c r="M1824">
        <v>0</v>
      </c>
      <c r="N1824" t="s">
        <v>17</v>
      </c>
      <c r="O1824" s="1">
        <f>result[[#This Row],[n_killed_mutants_cumulativa]]/result[[#This Row],[tot_mutants]]</f>
        <v>0</v>
      </c>
    </row>
    <row r="1825" spans="1:15" hidden="1" x14ac:dyDescent="0.25">
      <c r="A1825" t="s">
        <v>257</v>
      </c>
      <c r="B1825" t="s">
        <v>19</v>
      </c>
      <c r="C1825" t="s">
        <v>16</v>
      </c>
      <c r="D1825">
        <v>109</v>
      </c>
      <c r="E1825">
        <v>86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8</v>
      </c>
      <c r="M1825">
        <v>0</v>
      </c>
      <c r="N1825" t="s">
        <v>17</v>
      </c>
      <c r="O1825" s="1">
        <f>result[[#This Row],[n_killed_mutants_cumulativa]]/result[[#This Row],[tot_mutants]]</f>
        <v>0</v>
      </c>
    </row>
    <row r="1826" spans="1:15" hidden="1" x14ac:dyDescent="0.25">
      <c r="A1826" t="s">
        <v>257</v>
      </c>
      <c r="B1826" t="s">
        <v>20</v>
      </c>
      <c r="C1826" t="s">
        <v>16</v>
      </c>
      <c r="D1826">
        <v>106</v>
      </c>
      <c r="E1826">
        <v>82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8</v>
      </c>
      <c r="M1826">
        <v>0</v>
      </c>
      <c r="N1826" t="s">
        <v>17</v>
      </c>
      <c r="O1826" s="1">
        <f>result[[#This Row],[n_killed_mutants_cumulativa]]/result[[#This Row],[tot_mutants]]</f>
        <v>0</v>
      </c>
    </row>
    <row r="1827" spans="1:15" hidden="1" x14ac:dyDescent="0.25">
      <c r="A1827" t="s">
        <v>257</v>
      </c>
      <c r="B1827" t="s">
        <v>21</v>
      </c>
      <c r="C1827" t="s">
        <v>16</v>
      </c>
      <c r="D1827">
        <v>115</v>
      </c>
      <c r="E1827">
        <v>91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8</v>
      </c>
      <c r="M1827">
        <v>0</v>
      </c>
      <c r="N1827" t="s">
        <v>17</v>
      </c>
      <c r="O1827" s="1">
        <f>result[[#This Row],[n_killed_mutants_cumulativa]]/result[[#This Row],[tot_mutants]]</f>
        <v>0</v>
      </c>
    </row>
    <row r="1828" spans="1:15" hidden="1" x14ac:dyDescent="0.25">
      <c r="A1828" t="s">
        <v>257</v>
      </c>
      <c r="B1828" t="s">
        <v>22</v>
      </c>
      <c r="C1828" t="s">
        <v>16</v>
      </c>
      <c r="D1828">
        <v>598</v>
      </c>
      <c r="E1828">
        <v>395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8</v>
      </c>
      <c r="M1828">
        <v>0</v>
      </c>
      <c r="N1828" t="s">
        <v>17</v>
      </c>
      <c r="O1828" s="1">
        <f>result[[#This Row],[n_killed_mutants_cumulativa]]/result[[#This Row],[tot_mutants]]</f>
        <v>0</v>
      </c>
    </row>
    <row r="1829" spans="1:15" hidden="1" x14ac:dyDescent="0.25">
      <c r="A1829" t="s">
        <v>258</v>
      </c>
      <c r="B1829" t="s">
        <v>15</v>
      </c>
      <c r="C1829" t="s">
        <v>16</v>
      </c>
      <c r="D1829">
        <v>1797</v>
      </c>
      <c r="E1829">
        <v>301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10</v>
      </c>
      <c r="L1829">
        <v>4</v>
      </c>
      <c r="M1829">
        <v>0</v>
      </c>
      <c r="N1829" t="s">
        <v>17</v>
      </c>
      <c r="O1829" s="1">
        <f>result[[#This Row],[n_killed_mutants_cumulativa]]/result[[#This Row],[tot_mutants]]</f>
        <v>0</v>
      </c>
    </row>
    <row r="1830" spans="1:15" hidden="1" x14ac:dyDescent="0.25">
      <c r="A1830" t="s">
        <v>258</v>
      </c>
      <c r="B1830" t="s">
        <v>18</v>
      </c>
      <c r="C1830" t="s">
        <v>16</v>
      </c>
      <c r="D1830">
        <v>1521</v>
      </c>
      <c r="E1830">
        <v>538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20</v>
      </c>
      <c r="L1830">
        <v>4</v>
      </c>
      <c r="M1830">
        <v>0</v>
      </c>
      <c r="N1830" t="s">
        <v>17</v>
      </c>
      <c r="O1830" s="1">
        <f>result[[#This Row],[n_killed_mutants_cumulativa]]/result[[#This Row],[tot_mutants]]</f>
        <v>0</v>
      </c>
    </row>
    <row r="1831" spans="1:15" hidden="1" x14ac:dyDescent="0.25">
      <c r="A1831" t="s">
        <v>258</v>
      </c>
      <c r="B1831" t="s">
        <v>19</v>
      </c>
      <c r="C1831" t="s">
        <v>16</v>
      </c>
      <c r="D1831">
        <v>1527</v>
      </c>
      <c r="E1831">
        <v>512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30</v>
      </c>
      <c r="L1831">
        <v>4</v>
      </c>
      <c r="M1831">
        <v>0</v>
      </c>
      <c r="N1831" t="s">
        <v>17</v>
      </c>
      <c r="O1831" s="1">
        <f>result[[#This Row],[n_killed_mutants_cumulativa]]/result[[#This Row],[tot_mutants]]</f>
        <v>0</v>
      </c>
    </row>
    <row r="1832" spans="1:15" hidden="1" x14ac:dyDescent="0.25">
      <c r="A1832" t="s">
        <v>258</v>
      </c>
      <c r="B1832" t="s">
        <v>20</v>
      </c>
      <c r="C1832" t="s">
        <v>16</v>
      </c>
      <c r="D1832">
        <v>1703</v>
      </c>
      <c r="E1832">
        <v>809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40</v>
      </c>
      <c r="L1832">
        <v>4</v>
      </c>
      <c r="M1832">
        <v>0</v>
      </c>
      <c r="N1832" t="s">
        <v>17</v>
      </c>
      <c r="O1832" s="1">
        <f>result[[#This Row],[n_killed_mutants_cumulativa]]/result[[#This Row],[tot_mutants]]</f>
        <v>0</v>
      </c>
    </row>
    <row r="1833" spans="1:15" hidden="1" x14ac:dyDescent="0.25">
      <c r="A1833" t="s">
        <v>258</v>
      </c>
      <c r="B1833" t="s">
        <v>21</v>
      </c>
      <c r="C1833" t="s">
        <v>16</v>
      </c>
      <c r="D1833">
        <v>2110</v>
      </c>
      <c r="E1833">
        <v>845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50</v>
      </c>
      <c r="L1833">
        <v>4</v>
      </c>
      <c r="M1833">
        <v>0</v>
      </c>
      <c r="N1833" t="s">
        <v>17</v>
      </c>
      <c r="O1833" s="1">
        <f>result[[#This Row],[n_killed_mutants_cumulativa]]/result[[#This Row],[tot_mutants]]</f>
        <v>0</v>
      </c>
    </row>
    <row r="1834" spans="1:15" hidden="1" x14ac:dyDescent="0.25">
      <c r="A1834" t="s">
        <v>258</v>
      </c>
      <c r="B1834" t="s">
        <v>22</v>
      </c>
      <c r="C1834" t="s">
        <v>16</v>
      </c>
      <c r="D1834">
        <v>8658</v>
      </c>
      <c r="E1834">
        <v>3005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150</v>
      </c>
      <c r="L1834">
        <v>4</v>
      </c>
      <c r="M1834">
        <v>0</v>
      </c>
      <c r="N1834" t="s">
        <v>17</v>
      </c>
      <c r="O1834" s="1">
        <f>result[[#This Row],[n_killed_mutants_cumulativa]]/result[[#This Row],[tot_mutants]]</f>
        <v>0</v>
      </c>
    </row>
    <row r="1835" spans="1:15" hidden="1" x14ac:dyDescent="0.25">
      <c r="A1835" t="s">
        <v>259</v>
      </c>
      <c r="B1835" t="s">
        <v>15</v>
      </c>
      <c r="C1835" t="s">
        <v>16</v>
      </c>
      <c r="D1835">
        <v>194</v>
      </c>
      <c r="E1835">
        <v>45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5</v>
      </c>
      <c r="M1835">
        <v>0</v>
      </c>
      <c r="N1835" t="s">
        <v>17</v>
      </c>
      <c r="O1835" s="1">
        <f>result[[#This Row],[n_killed_mutants_cumulativa]]/result[[#This Row],[tot_mutants]]</f>
        <v>0</v>
      </c>
    </row>
    <row r="1836" spans="1:15" hidden="1" x14ac:dyDescent="0.25">
      <c r="A1836" t="s">
        <v>259</v>
      </c>
      <c r="B1836" t="s">
        <v>18</v>
      </c>
      <c r="C1836" t="s">
        <v>16</v>
      </c>
      <c r="D1836">
        <v>44</v>
      </c>
      <c r="E1836">
        <v>21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5</v>
      </c>
      <c r="M1836">
        <v>0</v>
      </c>
      <c r="N1836" t="s">
        <v>17</v>
      </c>
      <c r="O1836" s="1">
        <f>result[[#This Row],[n_killed_mutants_cumulativa]]/result[[#This Row],[tot_mutants]]</f>
        <v>0</v>
      </c>
    </row>
    <row r="1837" spans="1:15" hidden="1" x14ac:dyDescent="0.25">
      <c r="A1837" t="s">
        <v>259</v>
      </c>
      <c r="B1837" t="s">
        <v>19</v>
      </c>
      <c r="C1837" t="s">
        <v>16</v>
      </c>
      <c r="D1837">
        <v>50</v>
      </c>
      <c r="E1837">
        <v>28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5</v>
      </c>
      <c r="M1837">
        <v>0</v>
      </c>
      <c r="N1837" t="s">
        <v>17</v>
      </c>
      <c r="O1837" s="1">
        <f>result[[#This Row],[n_killed_mutants_cumulativa]]/result[[#This Row],[tot_mutants]]</f>
        <v>0</v>
      </c>
    </row>
    <row r="1838" spans="1:15" hidden="1" x14ac:dyDescent="0.25">
      <c r="A1838" t="s">
        <v>259</v>
      </c>
      <c r="B1838" t="s">
        <v>20</v>
      </c>
      <c r="C1838" t="s">
        <v>16</v>
      </c>
      <c r="D1838">
        <v>60</v>
      </c>
      <c r="E1838">
        <v>39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5</v>
      </c>
      <c r="M1838">
        <v>0</v>
      </c>
      <c r="N1838" t="s">
        <v>17</v>
      </c>
      <c r="O1838" s="1">
        <f>result[[#This Row],[n_killed_mutants_cumulativa]]/result[[#This Row],[tot_mutants]]</f>
        <v>0</v>
      </c>
    </row>
    <row r="1839" spans="1:15" hidden="1" x14ac:dyDescent="0.25">
      <c r="A1839" t="s">
        <v>259</v>
      </c>
      <c r="B1839" t="s">
        <v>21</v>
      </c>
      <c r="C1839" t="s">
        <v>16</v>
      </c>
      <c r="D1839">
        <v>66</v>
      </c>
      <c r="E1839">
        <v>45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5</v>
      </c>
      <c r="M1839">
        <v>0</v>
      </c>
      <c r="N1839" t="s">
        <v>17</v>
      </c>
      <c r="O1839" s="1">
        <f>result[[#This Row],[n_killed_mutants_cumulativa]]/result[[#This Row],[tot_mutants]]</f>
        <v>0</v>
      </c>
    </row>
    <row r="1840" spans="1:15" hidden="1" x14ac:dyDescent="0.25">
      <c r="A1840" t="s">
        <v>259</v>
      </c>
      <c r="B1840" t="s">
        <v>22</v>
      </c>
      <c r="C1840" t="s">
        <v>16</v>
      </c>
      <c r="D1840">
        <v>414</v>
      </c>
      <c r="E1840">
        <v>178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5</v>
      </c>
      <c r="M1840">
        <v>0</v>
      </c>
      <c r="N1840" t="s">
        <v>17</v>
      </c>
      <c r="O1840" s="1">
        <f>result[[#This Row],[n_killed_mutants_cumulativa]]/result[[#This Row],[tot_mutants]]</f>
        <v>0</v>
      </c>
    </row>
    <row r="1841" spans="1:15" hidden="1" x14ac:dyDescent="0.25">
      <c r="A1841" t="s">
        <v>260</v>
      </c>
      <c r="B1841" t="s">
        <v>15</v>
      </c>
      <c r="C1841" t="s">
        <v>16</v>
      </c>
      <c r="D1841">
        <v>227</v>
      </c>
      <c r="E1841">
        <v>126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1</v>
      </c>
      <c r="M1841">
        <v>0</v>
      </c>
      <c r="N1841" t="s">
        <v>17</v>
      </c>
      <c r="O1841" s="1">
        <f>result[[#This Row],[n_killed_mutants_cumulativa]]/result[[#This Row],[tot_mutants]]</f>
        <v>0</v>
      </c>
    </row>
    <row r="1842" spans="1:15" hidden="1" x14ac:dyDescent="0.25">
      <c r="A1842" t="s">
        <v>260</v>
      </c>
      <c r="B1842" t="s">
        <v>18</v>
      </c>
      <c r="C1842" t="s">
        <v>16</v>
      </c>
      <c r="D1842">
        <v>132</v>
      </c>
      <c r="E1842">
        <v>108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1</v>
      </c>
      <c r="M1842">
        <v>0</v>
      </c>
      <c r="N1842" t="s">
        <v>17</v>
      </c>
      <c r="O1842" s="1">
        <f>result[[#This Row],[n_killed_mutants_cumulativa]]/result[[#This Row],[tot_mutants]]</f>
        <v>0</v>
      </c>
    </row>
    <row r="1843" spans="1:15" hidden="1" x14ac:dyDescent="0.25">
      <c r="A1843" t="s">
        <v>260</v>
      </c>
      <c r="B1843" t="s">
        <v>19</v>
      </c>
      <c r="C1843" t="s">
        <v>16</v>
      </c>
      <c r="D1843">
        <v>143</v>
      </c>
      <c r="E1843">
        <v>122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1</v>
      </c>
      <c r="M1843">
        <v>0</v>
      </c>
      <c r="N1843" t="s">
        <v>17</v>
      </c>
      <c r="O1843" s="1">
        <f>result[[#This Row],[n_killed_mutants_cumulativa]]/result[[#This Row],[tot_mutants]]</f>
        <v>0</v>
      </c>
    </row>
    <row r="1844" spans="1:15" hidden="1" x14ac:dyDescent="0.25">
      <c r="A1844" t="s">
        <v>260</v>
      </c>
      <c r="B1844" t="s">
        <v>20</v>
      </c>
      <c r="C1844" t="s">
        <v>16</v>
      </c>
      <c r="D1844">
        <v>169</v>
      </c>
      <c r="E1844">
        <v>134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1</v>
      </c>
      <c r="M1844">
        <v>0</v>
      </c>
      <c r="N1844" t="s">
        <v>17</v>
      </c>
      <c r="O1844" s="1">
        <f>result[[#This Row],[n_killed_mutants_cumulativa]]/result[[#This Row],[tot_mutants]]</f>
        <v>0</v>
      </c>
    </row>
    <row r="1845" spans="1:15" hidden="1" x14ac:dyDescent="0.25">
      <c r="A1845" t="s">
        <v>260</v>
      </c>
      <c r="B1845" t="s">
        <v>21</v>
      </c>
      <c r="C1845" t="s">
        <v>16</v>
      </c>
      <c r="D1845">
        <v>139</v>
      </c>
      <c r="E1845">
        <v>121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1</v>
      </c>
      <c r="M1845">
        <v>0</v>
      </c>
      <c r="N1845" t="s">
        <v>17</v>
      </c>
      <c r="O1845" s="1">
        <f>result[[#This Row],[n_killed_mutants_cumulativa]]/result[[#This Row],[tot_mutants]]</f>
        <v>0</v>
      </c>
    </row>
    <row r="1846" spans="1:15" hidden="1" x14ac:dyDescent="0.25">
      <c r="A1846" t="s">
        <v>260</v>
      </c>
      <c r="B1846" t="s">
        <v>22</v>
      </c>
      <c r="C1846" t="s">
        <v>16</v>
      </c>
      <c r="D1846">
        <v>810</v>
      </c>
      <c r="E1846">
        <v>611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1</v>
      </c>
      <c r="M1846">
        <v>0</v>
      </c>
      <c r="N1846" t="s">
        <v>17</v>
      </c>
      <c r="O1846" s="1">
        <f>result[[#This Row],[n_killed_mutants_cumulativa]]/result[[#This Row],[tot_mutants]]</f>
        <v>0</v>
      </c>
    </row>
    <row r="1847" spans="1:15" hidden="1" x14ac:dyDescent="0.25">
      <c r="A1847" t="s">
        <v>261</v>
      </c>
      <c r="B1847" t="s">
        <v>15</v>
      </c>
      <c r="C1847" t="s">
        <v>16</v>
      </c>
      <c r="D1847">
        <v>1396</v>
      </c>
      <c r="E1847">
        <v>1207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46</v>
      </c>
      <c r="M1847">
        <v>0</v>
      </c>
      <c r="N1847" t="s">
        <v>17</v>
      </c>
      <c r="O1847" s="1">
        <f>result[[#This Row],[n_killed_mutants_cumulativa]]/result[[#This Row],[tot_mutants]]</f>
        <v>0</v>
      </c>
    </row>
    <row r="1848" spans="1:15" hidden="1" x14ac:dyDescent="0.25">
      <c r="A1848" t="s">
        <v>261</v>
      </c>
      <c r="B1848" t="s">
        <v>18</v>
      </c>
      <c r="C1848" t="s">
        <v>16</v>
      </c>
      <c r="D1848">
        <v>5119</v>
      </c>
      <c r="E1848">
        <v>5042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46</v>
      </c>
      <c r="M1848">
        <v>0</v>
      </c>
      <c r="N1848" t="s">
        <v>17</v>
      </c>
      <c r="O1848" s="1">
        <f>result[[#This Row],[n_killed_mutants_cumulativa]]/result[[#This Row],[tot_mutants]]</f>
        <v>0</v>
      </c>
    </row>
    <row r="1849" spans="1:15" hidden="1" x14ac:dyDescent="0.25">
      <c r="A1849" t="s">
        <v>261</v>
      </c>
      <c r="B1849" t="s">
        <v>19</v>
      </c>
      <c r="C1849" t="s">
        <v>16</v>
      </c>
      <c r="D1849">
        <v>3823</v>
      </c>
      <c r="E1849">
        <v>3759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46</v>
      </c>
      <c r="M1849">
        <v>0</v>
      </c>
      <c r="N1849" t="s">
        <v>17</v>
      </c>
      <c r="O1849" s="1">
        <f>result[[#This Row],[n_killed_mutants_cumulativa]]/result[[#This Row],[tot_mutants]]</f>
        <v>0</v>
      </c>
    </row>
    <row r="1850" spans="1:15" hidden="1" x14ac:dyDescent="0.25">
      <c r="A1850" t="s">
        <v>261</v>
      </c>
      <c r="B1850" t="s">
        <v>20</v>
      </c>
      <c r="C1850" t="s">
        <v>16</v>
      </c>
      <c r="D1850">
        <v>7115</v>
      </c>
      <c r="E1850">
        <v>7058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46</v>
      </c>
      <c r="M1850">
        <v>0</v>
      </c>
      <c r="N1850" t="s">
        <v>17</v>
      </c>
      <c r="O1850" s="1">
        <f>result[[#This Row],[n_killed_mutants_cumulativa]]/result[[#This Row],[tot_mutants]]</f>
        <v>0</v>
      </c>
    </row>
    <row r="1851" spans="1:15" hidden="1" x14ac:dyDescent="0.25">
      <c r="A1851" t="s">
        <v>261</v>
      </c>
      <c r="B1851" t="s">
        <v>21</v>
      </c>
      <c r="C1851" t="s">
        <v>16</v>
      </c>
      <c r="D1851">
        <v>10606</v>
      </c>
      <c r="E1851">
        <v>10552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46</v>
      </c>
      <c r="M1851">
        <v>0</v>
      </c>
      <c r="N1851" t="s">
        <v>17</v>
      </c>
      <c r="O1851" s="1">
        <f>result[[#This Row],[n_killed_mutants_cumulativa]]/result[[#This Row],[tot_mutants]]</f>
        <v>0</v>
      </c>
    </row>
    <row r="1852" spans="1:15" hidden="1" x14ac:dyDescent="0.25">
      <c r="A1852" t="s">
        <v>261</v>
      </c>
      <c r="B1852" t="s">
        <v>22</v>
      </c>
      <c r="C1852" t="s">
        <v>16</v>
      </c>
      <c r="D1852">
        <v>28059</v>
      </c>
      <c r="E1852">
        <v>27618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46</v>
      </c>
      <c r="M1852">
        <v>0</v>
      </c>
      <c r="N1852" t="s">
        <v>17</v>
      </c>
      <c r="O1852" s="1">
        <f>result[[#This Row],[n_killed_mutants_cumulativa]]/result[[#This Row],[tot_mutants]]</f>
        <v>0</v>
      </c>
    </row>
    <row r="1853" spans="1:15" hidden="1" x14ac:dyDescent="0.25">
      <c r="A1853" t="s">
        <v>262</v>
      </c>
      <c r="B1853" t="s">
        <v>15</v>
      </c>
      <c r="C1853" t="s">
        <v>16</v>
      </c>
      <c r="D1853">
        <v>6826</v>
      </c>
      <c r="E1853">
        <v>119</v>
      </c>
      <c r="F1853">
        <v>10</v>
      </c>
      <c r="G1853">
        <v>100</v>
      </c>
      <c r="H1853">
        <v>102</v>
      </c>
      <c r="I1853">
        <v>423</v>
      </c>
      <c r="J1853">
        <v>0</v>
      </c>
      <c r="K1853">
        <v>0</v>
      </c>
      <c r="L1853">
        <v>11</v>
      </c>
      <c r="M1853">
        <v>0</v>
      </c>
      <c r="N1853" t="s">
        <v>17</v>
      </c>
      <c r="O1853" s="1">
        <f>result[[#This Row],[n_killed_mutants_cumulativa]]/result[[#This Row],[tot_mutants]]</f>
        <v>0</v>
      </c>
    </row>
    <row r="1854" spans="1:15" hidden="1" x14ac:dyDescent="0.25">
      <c r="A1854" t="s">
        <v>262</v>
      </c>
      <c r="B1854" t="s">
        <v>18</v>
      </c>
      <c r="C1854" t="s">
        <v>16</v>
      </c>
      <c r="D1854">
        <v>9257</v>
      </c>
      <c r="E1854">
        <v>69</v>
      </c>
      <c r="F1854">
        <v>20</v>
      </c>
      <c r="G1854">
        <v>400</v>
      </c>
      <c r="H1854">
        <v>416</v>
      </c>
      <c r="I1854">
        <v>1944</v>
      </c>
      <c r="J1854">
        <v>0</v>
      </c>
      <c r="K1854">
        <v>0</v>
      </c>
      <c r="L1854">
        <v>11</v>
      </c>
      <c r="M1854">
        <v>1</v>
      </c>
      <c r="N1854" t="s">
        <v>80</v>
      </c>
      <c r="O1854" s="1">
        <f>result[[#This Row],[n_killed_mutants_cumulativa]]/result[[#This Row],[tot_mutants]]</f>
        <v>9.0909090909090912E-2</v>
      </c>
    </row>
    <row r="1855" spans="1:15" hidden="1" x14ac:dyDescent="0.25">
      <c r="A1855" t="s">
        <v>262</v>
      </c>
      <c r="B1855" t="s">
        <v>19</v>
      </c>
      <c r="C1855" t="s">
        <v>16</v>
      </c>
      <c r="D1855">
        <v>16268</v>
      </c>
      <c r="E1855">
        <v>72</v>
      </c>
      <c r="F1855">
        <v>30</v>
      </c>
      <c r="G1855">
        <v>900</v>
      </c>
      <c r="H1855">
        <v>969</v>
      </c>
      <c r="I1855">
        <v>4729</v>
      </c>
      <c r="J1855">
        <v>0</v>
      </c>
      <c r="K1855">
        <v>0</v>
      </c>
      <c r="L1855">
        <v>11</v>
      </c>
      <c r="M1855">
        <v>1</v>
      </c>
      <c r="N1855" t="s">
        <v>80</v>
      </c>
      <c r="O1855" s="1">
        <f>result[[#This Row],[n_killed_mutants_cumulativa]]/result[[#This Row],[tot_mutants]]</f>
        <v>9.0909090909090912E-2</v>
      </c>
    </row>
    <row r="1856" spans="1:15" hidden="1" x14ac:dyDescent="0.25">
      <c r="A1856" t="s">
        <v>262</v>
      </c>
      <c r="B1856" t="s">
        <v>20</v>
      </c>
      <c r="C1856" t="s">
        <v>16</v>
      </c>
      <c r="D1856">
        <v>25715</v>
      </c>
      <c r="E1856">
        <v>115</v>
      </c>
      <c r="F1856">
        <v>40</v>
      </c>
      <c r="G1856">
        <v>1600</v>
      </c>
      <c r="H1856">
        <v>1742</v>
      </c>
      <c r="I1856">
        <v>8453</v>
      </c>
      <c r="J1856">
        <v>0</v>
      </c>
      <c r="K1856">
        <v>0</v>
      </c>
      <c r="L1856">
        <v>11</v>
      </c>
      <c r="M1856">
        <v>1</v>
      </c>
      <c r="N1856" t="s">
        <v>80</v>
      </c>
      <c r="O1856" s="1">
        <f>result[[#This Row],[n_killed_mutants_cumulativa]]/result[[#This Row],[tot_mutants]]</f>
        <v>9.0909090909090912E-2</v>
      </c>
    </row>
    <row r="1857" spans="1:16" hidden="1" x14ac:dyDescent="0.25">
      <c r="A1857" t="s">
        <v>262</v>
      </c>
      <c r="B1857" t="s">
        <v>21</v>
      </c>
      <c r="C1857" t="s">
        <v>16</v>
      </c>
      <c r="D1857">
        <v>37762</v>
      </c>
      <c r="E1857">
        <v>168</v>
      </c>
      <c r="F1857">
        <v>50</v>
      </c>
      <c r="G1857">
        <v>2500</v>
      </c>
      <c r="H1857">
        <v>2687</v>
      </c>
      <c r="I1857">
        <v>13772</v>
      </c>
      <c r="J1857">
        <v>0</v>
      </c>
      <c r="K1857">
        <v>0</v>
      </c>
      <c r="L1857">
        <v>11</v>
      </c>
      <c r="M1857">
        <v>1</v>
      </c>
      <c r="N1857" t="s">
        <v>80</v>
      </c>
      <c r="O1857" s="1">
        <f>result[[#This Row],[n_killed_mutants_cumulativa]]/result[[#This Row],[tot_mutants]]</f>
        <v>9.0909090909090912E-2</v>
      </c>
    </row>
    <row r="1858" spans="1:16" hidden="1" x14ac:dyDescent="0.25">
      <c r="A1858" t="s">
        <v>262</v>
      </c>
      <c r="B1858" t="s">
        <v>24</v>
      </c>
      <c r="C1858" t="s">
        <v>16</v>
      </c>
      <c r="D1858">
        <v>52481</v>
      </c>
      <c r="E1858">
        <v>234</v>
      </c>
      <c r="F1858">
        <v>60</v>
      </c>
      <c r="G1858">
        <v>3600</v>
      </c>
      <c r="H1858">
        <v>3881</v>
      </c>
      <c r="I1858">
        <v>19890</v>
      </c>
      <c r="J1858">
        <v>0</v>
      </c>
      <c r="K1858">
        <v>0</v>
      </c>
      <c r="L1858">
        <v>11</v>
      </c>
      <c r="M1858">
        <v>1</v>
      </c>
      <c r="N1858" t="s">
        <v>80</v>
      </c>
      <c r="O1858" s="1">
        <f>result[[#This Row],[n_killed_mutants_cumulativa]]/result[[#This Row],[tot_mutants]]</f>
        <v>9.0909090909090912E-2</v>
      </c>
    </row>
    <row r="1859" spans="1:16" hidden="1" x14ac:dyDescent="0.25">
      <c r="A1859" t="s">
        <v>262</v>
      </c>
      <c r="B1859" t="s">
        <v>25</v>
      </c>
      <c r="C1859" t="s">
        <v>16</v>
      </c>
      <c r="D1859">
        <v>70644</v>
      </c>
      <c r="E1859">
        <v>298</v>
      </c>
      <c r="F1859">
        <v>70</v>
      </c>
      <c r="G1859">
        <v>4900</v>
      </c>
      <c r="H1859">
        <v>5261</v>
      </c>
      <c r="I1859">
        <v>27179</v>
      </c>
      <c r="J1859">
        <v>0</v>
      </c>
      <c r="K1859">
        <v>0</v>
      </c>
      <c r="L1859">
        <v>11</v>
      </c>
      <c r="M1859">
        <v>1</v>
      </c>
      <c r="N1859" t="s">
        <v>80</v>
      </c>
      <c r="O1859" s="1">
        <f>result[[#This Row],[n_killed_mutants_cumulativa]]/result[[#This Row],[tot_mutants]]</f>
        <v>9.0909090909090912E-2</v>
      </c>
    </row>
    <row r="1860" spans="1:16" hidden="1" x14ac:dyDescent="0.25">
      <c r="A1860" t="s">
        <v>262</v>
      </c>
      <c r="B1860" t="s">
        <v>26</v>
      </c>
      <c r="C1860" t="s">
        <v>16</v>
      </c>
      <c r="D1860">
        <v>99166</v>
      </c>
      <c r="E1860">
        <v>420</v>
      </c>
      <c r="F1860">
        <v>80</v>
      </c>
      <c r="G1860">
        <v>6400</v>
      </c>
      <c r="H1860">
        <v>6898</v>
      </c>
      <c r="I1860">
        <v>35919</v>
      </c>
      <c r="J1860">
        <v>0</v>
      </c>
      <c r="K1860">
        <v>0</v>
      </c>
      <c r="L1860">
        <v>11</v>
      </c>
      <c r="M1860">
        <v>1</v>
      </c>
      <c r="N1860" t="s">
        <v>80</v>
      </c>
      <c r="O1860" s="1">
        <f>result[[#This Row],[n_killed_mutants_cumulativa]]/result[[#This Row],[tot_mutants]]</f>
        <v>9.0909090909090912E-2</v>
      </c>
    </row>
    <row r="1861" spans="1:16" hidden="1" x14ac:dyDescent="0.25">
      <c r="A1861" t="s">
        <v>262</v>
      </c>
      <c r="B1861" t="s">
        <v>27</v>
      </c>
      <c r="C1861" t="s">
        <v>16</v>
      </c>
      <c r="D1861">
        <v>130980</v>
      </c>
      <c r="E1861">
        <v>503</v>
      </c>
      <c r="F1861">
        <v>90</v>
      </c>
      <c r="G1861">
        <v>8100</v>
      </c>
      <c r="H1861">
        <v>8838</v>
      </c>
      <c r="I1861">
        <v>46192</v>
      </c>
      <c r="J1861">
        <v>0</v>
      </c>
      <c r="K1861">
        <v>0</v>
      </c>
      <c r="L1861">
        <v>11</v>
      </c>
      <c r="M1861">
        <v>1</v>
      </c>
      <c r="N1861" t="s">
        <v>80</v>
      </c>
      <c r="O1861" s="1">
        <f>result[[#This Row],[n_killed_mutants_cumulativa]]/result[[#This Row],[tot_mutants]]</f>
        <v>9.0909090909090912E-2</v>
      </c>
    </row>
    <row r="1862" spans="1:16" hidden="1" x14ac:dyDescent="0.25">
      <c r="A1862" t="s">
        <v>262</v>
      </c>
      <c r="B1862" t="s">
        <v>30</v>
      </c>
      <c r="C1862" t="s">
        <v>16</v>
      </c>
      <c r="D1862">
        <v>162620</v>
      </c>
      <c r="E1862">
        <v>645</v>
      </c>
      <c r="F1862">
        <v>100</v>
      </c>
      <c r="G1862">
        <v>10000</v>
      </c>
      <c r="H1862">
        <v>10891</v>
      </c>
      <c r="I1862">
        <v>56952</v>
      </c>
      <c r="J1862">
        <v>0</v>
      </c>
      <c r="K1862">
        <v>0</v>
      </c>
      <c r="L1862">
        <v>11</v>
      </c>
      <c r="M1862">
        <v>1</v>
      </c>
      <c r="N1862" t="s">
        <v>80</v>
      </c>
      <c r="O1862" s="1">
        <f>result[[#This Row],[n_killed_mutants_cumulativa]]/result[[#This Row],[tot_mutants]]</f>
        <v>9.0909090909090912E-2</v>
      </c>
    </row>
    <row r="1863" spans="1:16" x14ac:dyDescent="0.25">
      <c r="A1863" t="s">
        <v>262</v>
      </c>
      <c r="B1863" t="s">
        <v>22</v>
      </c>
      <c r="C1863" t="s">
        <v>16</v>
      </c>
      <c r="D1863">
        <v>611719</v>
      </c>
      <c r="E1863">
        <v>2643</v>
      </c>
      <c r="F1863">
        <v>550</v>
      </c>
      <c r="G1863">
        <v>38500</v>
      </c>
      <c r="H1863">
        <v>41685</v>
      </c>
      <c r="I1863">
        <v>215453</v>
      </c>
      <c r="J1863">
        <v>0</v>
      </c>
      <c r="K1863">
        <v>0</v>
      </c>
      <c r="L1863">
        <v>11</v>
      </c>
      <c r="M1863">
        <v>1</v>
      </c>
      <c r="N1863" t="s">
        <v>80</v>
      </c>
      <c r="O1863" s="1">
        <f>result[[#This Row],[n_killed_mutants_cumulativa]]/result[[#This Row],[tot_mutants]]</f>
        <v>9.0909090909090912E-2</v>
      </c>
      <c r="P1863" s="9" t="s">
        <v>359</v>
      </c>
    </row>
    <row r="1864" spans="1:16" hidden="1" x14ac:dyDescent="0.25">
      <c r="A1864" t="s">
        <v>263</v>
      </c>
      <c r="B1864" t="s">
        <v>15</v>
      </c>
      <c r="C1864" t="s">
        <v>16</v>
      </c>
      <c r="D1864">
        <v>2904</v>
      </c>
      <c r="E1864">
        <v>212</v>
      </c>
      <c r="F1864">
        <v>10</v>
      </c>
      <c r="G1864">
        <v>100</v>
      </c>
      <c r="H1864">
        <v>0</v>
      </c>
      <c r="I1864">
        <v>340</v>
      </c>
      <c r="J1864">
        <v>0</v>
      </c>
      <c r="K1864">
        <v>0</v>
      </c>
      <c r="L1864">
        <v>1</v>
      </c>
      <c r="M1864">
        <v>0</v>
      </c>
      <c r="N1864" t="s">
        <v>17</v>
      </c>
      <c r="O1864" s="1">
        <f>result[[#This Row],[n_killed_mutants_cumulativa]]/result[[#This Row],[tot_mutants]]</f>
        <v>0</v>
      </c>
    </row>
    <row r="1865" spans="1:16" hidden="1" x14ac:dyDescent="0.25">
      <c r="A1865" t="s">
        <v>263</v>
      </c>
      <c r="B1865" t="s">
        <v>18</v>
      </c>
      <c r="C1865" t="s">
        <v>16</v>
      </c>
      <c r="D1865">
        <v>2646</v>
      </c>
      <c r="E1865">
        <v>225</v>
      </c>
      <c r="F1865">
        <v>20</v>
      </c>
      <c r="G1865">
        <v>400</v>
      </c>
      <c r="H1865">
        <v>0</v>
      </c>
      <c r="I1865">
        <v>1160</v>
      </c>
      <c r="J1865">
        <v>0</v>
      </c>
      <c r="K1865">
        <v>0</v>
      </c>
      <c r="L1865">
        <v>1</v>
      </c>
      <c r="M1865">
        <v>0</v>
      </c>
      <c r="N1865" t="s">
        <v>17</v>
      </c>
      <c r="O1865" s="1">
        <f>result[[#This Row],[n_killed_mutants_cumulativa]]/result[[#This Row],[tot_mutants]]</f>
        <v>0</v>
      </c>
    </row>
    <row r="1866" spans="1:16" hidden="1" x14ac:dyDescent="0.25">
      <c r="A1866" t="s">
        <v>263</v>
      </c>
      <c r="B1866" t="s">
        <v>19</v>
      </c>
      <c r="C1866" t="s">
        <v>16</v>
      </c>
      <c r="D1866">
        <v>3216</v>
      </c>
      <c r="E1866">
        <v>316</v>
      </c>
      <c r="F1866">
        <v>30</v>
      </c>
      <c r="G1866">
        <v>900</v>
      </c>
      <c r="H1866">
        <v>0</v>
      </c>
      <c r="I1866">
        <v>2070</v>
      </c>
      <c r="J1866">
        <v>0</v>
      </c>
      <c r="K1866">
        <v>0</v>
      </c>
      <c r="L1866">
        <v>1</v>
      </c>
      <c r="M1866">
        <v>0</v>
      </c>
      <c r="N1866" t="s">
        <v>17</v>
      </c>
      <c r="O1866" s="1">
        <f>result[[#This Row],[n_killed_mutants_cumulativa]]/result[[#This Row],[tot_mutants]]</f>
        <v>0</v>
      </c>
    </row>
    <row r="1867" spans="1:16" hidden="1" x14ac:dyDescent="0.25">
      <c r="A1867" t="s">
        <v>263</v>
      </c>
      <c r="B1867" t="s">
        <v>20</v>
      </c>
      <c r="C1867" t="s">
        <v>16</v>
      </c>
      <c r="D1867">
        <v>3824</v>
      </c>
      <c r="E1867">
        <v>289</v>
      </c>
      <c r="F1867">
        <v>40</v>
      </c>
      <c r="G1867">
        <v>1600</v>
      </c>
      <c r="H1867">
        <v>0</v>
      </c>
      <c r="I1867">
        <v>2760</v>
      </c>
      <c r="J1867">
        <v>0</v>
      </c>
      <c r="K1867">
        <v>0</v>
      </c>
      <c r="L1867">
        <v>1</v>
      </c>
      <c r="M1867">
        <v>0</v>
      </c>
      <c r="N1867" t="s">
        <v>17</v>
      </c>
      <c r="O1867" s="1">
        <f>result[[#This Row],[n_killed_mutants_cumulativa]]/result[[#This Row],[tot_mutants]]</f>
        <v>0</v>
      </c>
    </row>
    <row r="1868" spans="1:16" hidden="1" x14ac:dyDescent="0.25">
      <c r="A1868" t="s">
        <v>263</v>
      </c>
      <c r="B1868" t="s">
        <v>21</v>
      </c>
      <c r="C1868" t="s">
        <v>16</v>
      </c>
      <c r="D1868">
        <v>4751</v>
      </c>
      <c r="E1868">
        <v>442</v>
      </c>
      <c r="F1868">
        <v>50</v>
      </c>
      <c r="G1868">
        <v>2500</v>
      </c>
      <c r="H1868">
        <v>0</v>
      </c>
      <c r="I1868">
        <v>3450</v>
      </c>
      <c r="J1868">
        <v>0</v>
      </c>
      <c r="K1868">
        <v>0</v>
      </c>
      <c r="L1868">
        <v>1</v>
      </c>
      <c r="M1868">
        <v>0</v>
      </c>
      <c r="N1868" t="s">
        <v>17</v>
      </c>
      <c r="O1868" s="1">
        <f>result[[#This Row],[n_killed_mutants_cumulativa]]/result[[#This Row],[tot_mutants]]</f>
        <v>0</v>
      </c>
    </row>
    <row r="1869" spans="1:16" hidden="1" x14ac:dyDescent="0.25">
      <c r="A1869" t="s">
        <v>263</v>
      </c>
      <c r="B1869" t="s">
        <v>24</v>
      </c>
      <c r="C1869" t="s">
        <v>16</v>
      </c>
      <c r="D1869">
        <v>6101</v>
      </c>
      <c r="E1869">
        <v>468</v>
      </c>
      <c r="F1869">
        <v>60</v>
      </c>
      <c r="G1869">
        <v>3600</v>
      </c>
      <c r="H1869">
        <v>0</v>
      </c>
      <c r="I1869">
        <v>4140</v>
      </c>
      <c r="J1869">
        <v>0</v>
      </c>
      <c r="K1869">
        <v>0</v>
      </c>
      <c r="L1869">
        <v>1</v>
      </c>
      <c r="M1869">
        <v>0</v>
      </c>
      <c r="N1869" t="s">
        <v>17</v>
      </c>
      <c r="O1869" s="1">
        <f>result[[#This Row],[n_killed_mutants_cumulativa]]/result[[#This Row],[tot_mutants]]</f>
        <v>0</v>
      </c>
    </row>
    <row r="1870" spans="1:16" hidden="1" x14ac:dyDescent="0.25">
      <c r="A1870" t="s">
        <v>263</v>
      </c>
      <c r="B1870" t="s">
        <v>25</v>
      </c>
      <c r="C1870" t="s">
        <v>16</v>
      </c>
      <c r="D1870">
        <v>7494</v>
      </c>
      <c r="E1870">
        <v>596</v>
      </c>
      <c r="F1870">
        <v>70</v>
      </c>
      <c r="G1870">
        <v>4900</v>
      </c>
      <c r="H1870">
        <v>0</v>
      </c>
      <c r="I1870">
        <v>4830</v>
      </c>
      <c r="J1870">
        <v>0</v>
      </c>
      <c r="K1870">
        <v>0</v>
      </c>
      <c r="L1870">
        <v>1</v>
      </c>
      <c r="M1870">
        <v>0</v>
      </c>
      <c r="N1870" t="s">
        <v>17</v>
      </c>
      <c r="O1870" s="1">
        <f>result[[#This Row],[n_killed_mutants_cumulativa]]/result[[#This Row],[tot_mutants]]</f>
        <v>0</v>
      </c>
    </row>
    <row r="1871" spans="1:16" hidden="1" x14ac:dyDescent="0.25">
      <c r="A1871" t="s">
        <v>263</v>
      </c>
      <c r="B1871" t="s">
        <v>26</v>
      </c>
      <c r="C1871" t="s">
        <v>16</v>
      </c>
      <c r="D1871">
        <v>8837</v>
      </c>
      <c r="E1871">
        <v>744</v>
      </c>
      <c r="F1871">
        <v>80</v>
      </c>
      <c r="G1871">
        <v>6400</v>
      </c>
      <c r="H1871">
        <v>0</v>
      </c>
      <c r="I1871">
        <v>5520</v>
      </c>
      <c r="J1871">
        <v>0</v>
      </c>
      <c r="K1871">
        <v>0</v>
      </c>
      <c r="L1871">
        <v>1</v>
      </c>
      <c r="M1871">
        <v>0</v>
      </c>
      <c r="N1871" t="s">
        <v>17</v>
      </c>
      <c r="O1871" s="1">
        <f>result[[#This Row],[n_killed_mutants_cumulativa]]/result[[#This Row],[tot_mutants]]</f>
        <v>0</v>
      </c>
    </row>
    <row r="1872" spans="1:16" hidden="1" x14ac:dyDescent="0.25">
      <c r="A1872" t="s">
        <v>263</v>
      </c>
      <c r="B1872" t="s">
        <v>27</v>
      </c>
      <c r="C1872" t="s">
        <v>16</v>
      </c>
      <c r="D1872">
        <v>10726</v>
      </c>
      <c r="E1872">
        <v>905</v>
      </c>
      <c r="F1872">
        <v>90</v>
      </c>
      <c r="G1872">
        <v>8100</v>
      </c>
      <c r="H1872">
        <v>0</v>
      </c>
      <c r="I1872">
        <v>6210</v>
      </c>
      <c r="J1872">
        <v>0</v>
      </c>
      <c r="K1872">
        <v>0</v>
      </c>
      <c r="L1872">
        <v>1</v>
      </c>
      <c r="M1872">
        <v>0</v>
      </c>
      <c r="N1872" t="s">
        <v>17</v>
      </c>
      <c r="O1872" s="1">
        <f>result[[#This Row],[n_killed_mutants_cumulativa]]/result[[#This Row],[tot_mutants]]</f>
        <v>0</v>
      </c>
    </row>
    <row r="1873" spans="1:16" hidden="1" x14ac:dyDescent="0.25">
      <c r="A1873" t="s">
        <v>263</v>
      </c>
      <c r="B1873" t="s">
        <v>30</v>
      </c>
      <c r="C1873" t="s">
        <v>16</v>
      </c>
      <c r="D1873">
        <v>12535</v>
      </c>
      <c r="E1873">
        <v>1081</v>
      </c>
      <c r="F1873">
        <v>100</v>
      </c>
      <c r="G1873">
        <v>10000</v>
      </c>
      <c r="H1873">
        <v>0</v>
      </c>
      <c r="I1873">
        <v>6900</v>
      </c>
      <c r="J1873">
        <v>0</v>
      </c>
      <c r="K1873">
        <v>0</v>
      </c>
      <c r="L1873">
        <v>1</v>
      </c>
      <c r="M1873">
        <v>0</v>
      </c>
      <c r="N1873" t="s">
        <v>17</v>
      </c>
      <c r="O1873" s="1">
        <f>result[[#This Row],[n_killed_mutants_cumulativa]]/result[[#This Row],[tot_mutants]]</f>
        <v>0</v>
      </c>
    </row>
    <row r="1874" spans="1:16" hidden="1" x14ac:dyDescent="0.25">
      <c r="A1874" t="s">
        <v>263</v>
      </c>
      <c r="B1874" t="s">
        <v>31</v>
      </c>
      <c r="C1874" t="s">
        <v>16</v>
      </c>
      <c r="D1874">
        <v>14557</v>
      </c>
      <c r="E1874">
        <v>1280</v>
      </c>
      <c r="F1874">
        <v>110</v>
      </c>
      <c r="G1874">
        <v>12100</v>
      </c>
      <c r="H1874">
        <v>0</v>
      </c>
      <c r="I1874">
        <v>7590</v>
      </c>
      <c r="J1874">
        <v>0</v>
      </c>
      <c r="K1874">
        <v>0</v>
      </c>
      <c r="L1874">
        <v>1</v>
      </c>
      <c r="M1874">
        <v>0</v>
      </c>
      <c r="N1874" t="s">
        <v>17</v>
      </c>
      <c r="O1874" s="1">
        <f>result[[#This Row],[n_killed_mutants_cumulativa]]/result[[#This Row],[tot_mutants]]</f>
        <v>0</v>
      </c>
    </row>
    <row r="1875" spans="1:16" hidden="1" x14ac:dyDescent="0.25">
      <c r="A1875" t="s">
        <v>263</v>
      </c>
      <c r="B1875" t="s">
        <v>36</v>
      </c>
      <c r="C1875" t="s">
        <v>16</v>
      </c>
      <c r="D1875">
        <v>16760</v>
      </c>
      <c r="E1875">
        <v>1492</v>
      </c>
      <c r="F1875">
        <v>120</v>
      </c>
      <c r="G1875">
        <v>14400</v>
      </c>
      <c r="H1875">
        <v>0</v>
      </c>
      <c r="I1875">
        <v>8280</v>
      </c>
      <c r="J1875">
        <v>0</v>
      </c>
      <c r="K1875">
        <v>0</v>
      </c>
      <c r="L1875">
        <v>1</v>
      </c>
      <c r="M1875">
        <v>0</v>
      </c>
      <c r="N1875" t="s">
        <v>17</v>
      </c>
      <c r="O1875" s="1">
        <f>result[[#This Row],[n_killed_mutants_cumulativa]]/result[[#This Row],[tot_mutants]]</f>
        <v>0</v>
      </c>
    </row>
    <row r="1876" spans="1:16" hidden="1" x14ac:dyDescent="0.25">
      <c r="A1876" t="s">
        <v>263</v>
      </c>
      <c r="B1876" t="s">
        <v>40</v>
      </c>
      <c r="C1876" t="s">
        <v>16</v>
      </c>
      <c r="D1876">
        <v>19643</v>
      </c>
      <c r="E1876">
        <v>1699</v>
      </c>
      <c r="F1876">
        <v>130</v>
      </c>
      <c r="G1876">
        <v>16900</v>
      </c>
      <c r="H1876">
        <v>0</v>
      </c>
      <c r="I1876">
        <v>8970</v>
      </c>
      <c r="J1876">
        <v>0</v>
      </c>
      <c r="K1876">
        <v>0</v>
      </c>
      <c r="L1876">
        <v>1</v>
      </c>
      <c r="M1876">
        <v>0</v>
      </c>
      <c r="N1876" t="s">
        <v>17</v>
      </c>
      <c r="O1876" s="1">
        <f>result[[#This Row],[n_killed_mutants_cumulativa]]/result[[#This Row],[tot_mutants]]</f>
        <v>0</v>
      </c>
    </row>
    <row r="1877" spans="1:16" hidden="1" x14ac:dyDescent="0.25">
      <c r="A1877" t="s">
        <v>263</v>
      </c>
      <c r="B1877" t="s">
        <v>47</v>
      </c>
      <c r="C1877" t="s">
        <v>16</v>
      </c>
      <c r="D1877">
        <v>22690</v>
      </c>
      <c r="E1877">
        <v>1951</v>
      </c>
      <c r="F1877">
        <v>140</v>
      </c>
      <c r="G1877">
        <v>19600</v>
      </c>
      <c r="H1877">
        <v>0</v>
      </c>
      <c r="I1877">
        <v>9660</v>
      </c>
      <c r="J1877">
        <v>0</v>
      </c>
      <c r="K1877">
        <v>0</v>
      </c>
      <c r="L1877">
        <v>1</v>
      </c>
      <c r="M1877">
        <v>0</v>
      </c>
      <c r="N1877" t="s">
        <v>17</v>
      </c>
      <c r="O1877" s="1">
        <f>result[[#This Row],[n_killed_mutants_cumulativa]]/result[[#This Row],[tot_mutants]]</f>
        <v>0</v>
      </c>
    </row>
    <row r="1878" spans="1:16" hidden="1" x14ac:dyDescent="0.25">
      <c r="A1878" t="s">
        <v>263</v>
      </c>
      <c r="B1878" t="s">
        <v>48</v>
      </c>
      <c r="C1878" t="s">
        <v>16</v>
      </c>
      <c r="D1878">
        <v>25748</v>
      </c>
      <c r="E1878">
        <v>2232</v>
      </c>
      <c r="F1878">
        <v>150</v>
      </c>
      <c r="G1878">
        <v>22500</v>
      </c>
      <c r="H1878">
        <v>0</v>
      </c>
      <c r="I1878">
        <v>10350</v>
      </c>
      <c r="J1878">
        <v>0</v>
      </c>
      <c r="K1878">
        <v>0</v>
      </c>
      <c r="L1878">
        <v>1</v>
      </c>
      <c r="M1878">
        <v>0</v>
      </c>
      <c r="N1878" t="s">
        <v>17</v>
      </c>
      <c r="O1878" s="1">
        <f>result[[#This Row],[n_killed_mutants_cumulativa]]/result[[#This Row],[tot_mutants]]</f>
        <v>0</v>
      </c>
    </row>
    <row r="1879" spans="1:16" hidden="1" x14ac:dyDescent="0.25">
      <c r="A1879" t="s">
        <v>263</v>
      </c>
      <c r="B1879" t="s">
        <v>49</v>
      </c>
      <c r="C1879" t="s">
        <v>16</v>
      </c>
      <c r="D1879">
        <v>29302</v>
      </c>
      <c r="E1879">
        <v>2557</v>
      </c>
      <c r="F1879">
        <v>160</v>
      </c>
      <c r="G1879">
        <v>25600</v>
      </c>
      <c r="H1879">
        <v>0</v>
      </c>
      <c r="I1879">
        <v>11040</v>
      </c>
      <c r="J1879">
        <v>0</v>
      </c>
      <c r="K1879">
        <v>0</v>
      </c>
      <c r="L1879">
        <v>1</v>
      </c>
      <c r="M1879">
        <v>0</v>
      </c>
      <c r="N1879" t="s">
        <v>17</v>
      </c>
      <c r="O1879" s="1">
        <f>result[[#This Row],[n_killed_mutants_cumulativa]]/result[[#This Row],[tot_mutants]]</f>
        <v>0</v>
      </c>
    </row>
    <row r="1880" spans="1:16" hidden="1" x14ac:dyDescent="0.25">
      <c r="A1880" t="s">
        <v>263</v>
      </c>
      <c r="B1880" t="s">
        <v>50</v>
      </c>
      <c r="C1880" t="s">
        <v>16</v>
      </c>
      <c r="D1880">
        <v>32934</v>
      </c>
      <c r="E1880">
        <v>2845</v>
      </c>
      <c r="F1880">
        <v>170</v>
      </c>
      <c r="G1880">
        <v>28900</v>
      </c>
      <c r="H1880">
        <v>0</v>
      </c>
      <c r="I1880">
        <v>11730</v>
      </c>
      <c r="J1880">
        <v>0</v>
      </c>
      <c r="K1880">
        <v>0</v>
      </c>
      <c r="L1880">
        <v>1</v>
      </c>
      <c r="M1880">
        <v>0</v>
      </c>
      <c r="N1880" t="s">
        <v>17</v>
      </c>
      <c r="O1880" s="1">
        <f>result[[#This Row],[n_killed_mutants_cumulativa]]/result[[#This Row],[tot_mutants]]</f>
        <v>0</v>
      </c>
    </row>
    <row r="1881" spans="1:16" hidden="1" x14ac:dyDescent="0.25">
      <c r="A1881" t="s">
        <v>263</v>
      </c>
      <c r="B1881" t="s">
        <v>51</v>
      </c>
      <c r="C1881" t="s">
        <v>16</v>
      </c>
      <c r="D1881">
        <v>36944</v>
      </c>
      <c r="E1881">
        <v>3052</v>
      </c>
      <c r="F1881">
        <v>180</v>
      </c>
      <c r="G1881">
        <v>32400</v>
      </c>
      <c r="H1881">
        <v>0</v>
      </c>
      <c r="I1881">
        <v>12420</v>
      </c>
      <c r="J1881">
        <v>0</v>
      </c>
      <c r="K1881">
        <v>0</v>
      </c>
      <c r="L1881">
        <v>1</v>
      </c>
      <c r="M1881">
        <v>0</v>
      </c>
      <c r="N1881" t="s">
        <v>17</v>
      </c>
      <c r="O1881" s="1">
        <f>result[[#This Row],[n_killed_mutants_cumulativa]]/result[[#This Row],[tot_mutants]]</f>
        <v>0</v>
      </c>
    </row>
    <row r="1882" spans="1:16" hidden="1" x14ac:dyDescent="0.25">
      <c r="A1882" t="s">
        <v>263</v>
      </c>
      <c r="B1882" t="s">
        <v>52</v>
      </c>
      <c r="C1882" t="s">
        <v>16</v>
      </c>
      <c r="D1882">
        <v>41293</v>
      </c>
      <c r="E1882">
        <v>3379</v>
      </c>
      <c r="F1882">
        <v>190</v>
      </c>
      <c r="G1882">
        <v>36100</v>
      </c>
      <c r="H1882">
        <v>0</v>
      </c>
      <c r="I1882">
        <v>13110</v>
      </c>
      <c r="J1882">
        <v>0</v>
      </c>
      <c r="K1882">
        <v>0</v>
      </c>
      <c r="L1882">
        <v>1</v>
      </c>
      <c r="M1882">
        <v>0</v>
      </c>
      <c r="N1882" t="s">
        <v>17</v>
      </c>
      <c r="O1882" s="1">
        <f>result[[#This Row],[n_killed_mutants_cumulativa]]/result[[#This Row],[tot_mutants]]</f>
        <v>0</v>
      </c>
    </row>
    <row r="1883" spans="1:16" hidden="1" x14ac:dyDescent="0.25">
      <c r="A1883" t="s">
        <v>263</v>
      </c>
      <c r="B1883" t="s">
        <v>53</v>
      </c>
      <c r="C1883" t="s">
        <v>16</v>
      </c>
      <c r="D1883">
        <v>45948</v>
      </c>
      <c r="E1883">
        <v>3694</v>
      </c>
      <c r="F1883">
        <v>200</v>
      </c>
      <c r="G1883">
        <v>40000</v>
      </c>
      <c r="H1883">
        <v>0</v>
      </c>
      <c r="I1883">
        <v>13800</v>
      </c>
      <c r="J1883">
        <v>0</v>
      </c>
      <c r="K1883">
        <v>0</v>
      </c>
      <c r="L1883">
        <v>1</v>
      </c>
      <c r="M1883">
        <v>0</v>
      </c>
      <c r="N1883" t="s">
        <v>17</v>
      </c>
      <c r="O1883" s="1">
        <f>result[[#This Row],[n_killed_mutants_cumulativa]]/result[[#This Row],[tot_mutants]]</f>
        <v>0</v>
      </c>
    </row>
    <row r="1884" spans="1:16" hidden="1" x14ac:dyDescent="0.25">
      <c r="A1884" t="s">
        <v>263</v>
      </c>
      <c r="B1884" t="s">
        <v>22</v>
      </c>
      <c r="C1884" t="s">
        <v>16</v>
      </c>
      <c r="D1884">
        <v>348853</v>
      </c>
      <c r="E1884">
        <v>29459</v>
      </c>
      <c r="F1884">
        <v>2100</v>
      </c>
      <c r="G1884">
        <v>287000</v>
      </c>
      <c r="H1884">
        <v>0</v>
      </c>
      <c r="I1884">
        <v>144330</v>
      </c>
      <c r="J1884">
        <v>0</v>
      </c>
      <c r="K1884">
        <v>0</v>
      </c>
      <c r="L1884">
        <v>1</v>
      </c>
      <c r="M1884">
        <v>0</v>
      </c>
      <c r="N1884" t="s">
        <v>17</v>
      </c>
      <c r="O1884" s="1">
        <f>result[[#This Row],[n_killed_mutants_cumulativa]]/result[[#This Row],[tot_mutants]]</f>
        <v>0</v>
      </c>
      <c r="P1884" s="9" t="s">
        <v>346</v>
      </c>
    </row>
    <row r="1885" spans="1:16" hidden="1" x14ac:dyDescent="0.25">
      <c r="A1885" t="s">
        <v>264</v>
      </c>
      <c r="B1885" t="s">
        <v>15</v>
      </c>
      <c r="C1885" t="s">
        <v>16</v>
      </c>
      <c r="D1885">
        <v>3964</v>
      </c>
      <c r="E1885">
        <v>3812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36</v>
      </c>
      <c r="M1885">
        <v>0</v>
      </c>
      <c r="N1885" t="s">
        <v>17</v>
      </c>
      <c r="O1885" s="1">
        <f>result[[#This Row],[n_killed_mutants_cumulativa]]/result[[#This Row],[tot_mutants]]</f>
        <v>0</v>
      </c>
    </row>
    <row r="1886" spans="1:16" hidden="1" x14ac:dyDescent="0.25">
      <c r="A1886" t="s">
        <v>264</v>
      </c>
      <c r="B1886" t="s">
        <v>18</v>
      </c>
      <c r="C1886" t="s">
        <v>16</v>
      </c>
      <c r="D1886">
        <v>5293</v>
      </c>
      <c r="E1886">
        <v>5240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36</v>
      </c>
      <c r="M1886">
        <v>0</v>
      </c>
      <c r="N1886" t="s">
        <v>17</v>
      </c>
      <c r="O1886" s="1">
        <f>result[[#This Row],[n_killed_mutants_cumulativa]]/result[[#This Row],[tot_mutants]]</f>
        <v>0</v>
      </c>
    </row>
    <row r="1887" spans="1:16" hidden="1" x14ac:dyDescent="0.25">
      <c r="A1887" t="s">
        <v>264</v>
      </c>
      <c r="B1887" t="s">
        <v>19</v>
      </c>
      <c r="C1887" t="s">
        <v>16</v>
      </c>
      <c r="D1887">
        <v>12271</v>
      </c>
      <c r="E1887">
        <v>12230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36</v>
      </c>
      <c r="M1887">
        <v>0</v>
      </c>
      <c r="N1887" t="s">
        <v>17</v>
      </c>
      <c r="O1887" s="1">
        <f>result[[#This Row],[n_killed_mutants_cumulativa]]/result[[#This Row],[tot_mutants]]</f>
        <v>0</v>
      </c>
    </row>
    <row r="1888" spans="1:16" hidden="1" x14ac:dyDescent="0.25">
      <c r="A1888" t="s">
        <v>264</v>
      </c>
      <c r="B1888" t="s">
        <v>20</v>
      </c>
      <c r="C1888" t="s">
        <v>16</v>
      </c>
      <c r="D1888">
        <v>11521</v>
      </c>
      <c r="E1888">
        <v>11475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36</v>
      </c>
      <c r="M1888">
        <v>0</v>
      </c>
      <c r="N1888" t="s">
        <v>17</v>
      </c>
      <c r="O1888" s="1">
        <f>result[[#This Row],[n_killed_mutants_cumulativa]]/result[[#This Row],[tot_mutants]]</f>
        <v>0</v>
      </c>
    </row>
    <row r="1889" spans="1:16" hidden="1" x14ac:dyDescent="0.25">
      <c r="A1889" t="s">
        <v>264</v>
      </c>
      <c r="B1889" t="s">
        <v>21</v>
      </c>
      <c r="C1889" t="s">
        <v>16</v>
      </c>
      <c r="D1889">
        <v>17934</v>
      </c>
      <c r="E1889">
        <v>17892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36</v>
      </c>
      <c r="M1889">
        <v>0</v>
      </c>
      <c r="N1889" t="s">
        <v>17</v>
      </c>
      <c r="O1889" s="1">
        <f>result[[#This Row],[n_killed_mutants_cumulativa]]/result[[#This Row],[tot_mutants]]</f>
        <v>0</v>
      </c>
    </row>
    <row r="1890" spans="1:16" hidden="1" x14ac:dyDescent="0.25">
      <c r="A1890" t="s">
        <v>264</v>
      </c>
      <c r="B1890" t="s">
        <v>22</v>
      </c>
      <c r="C1890" t="s">
        <v>16</v>
      </c>
      <c r="D1890">
        <v>50983</v>
      </c>
      <c r="E1890">
        <v>50649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36</v>
      </c>
      <c r="M1890">
        <v>0</v>
      </c>
      <c r="N1890" t="s">
        <v>17</v>
      </c>
      <c r="O1890" s="1">
        <f>result[[#This Row],[n_killed_mutants_cumulativa]]/result[[#This Row],[tot_mutants]]</f>
        <v>0</v>
      </c>
    </row>
    <row r="1891" spans="1:16" hidden="1" x14ac:dyDescent="0.25">
      <c r="A1891" t="s">
        <v>265</v>
      </c>
      <c r="B1891" t="s">
        <v>15</v>
      </c>
      <c r="C1891" t="s">
        <v>16</v>
      </c>
      <c r="D1891">
        <v>5216</v>
      </c>
      <c r="E1891">
        <v>91</v>
      </c>
      <c r="F1891">
        <v>10</v>
      </c>
      <c r="G1891">
        <v>100</v>
      </c>
      <c r="H1891">
        <v>26</v>
      </c>
      <c r="I1891">
        <v>645</v>
      </c>
      <c r="J1891">
        <v>0</v>
      </c>
      <c r="K1891">
        <v>0</v>
      </c>
      <c r="L1891">
        <v>7</v>
      </c>
      <c r="M1891">
        <v>1</v>
      </c>
      <c r="N1891" t="s">
        <v>266</v>
      </c>
      <c r="O1891" s="1">
        <f>result[[#This Row],[n_killed_mutants_cumulativa]]/result[[#This Row],[tot_mutants]]</f>
        <v>0.14285714285714285</v>
      </c>
    </row>
    <row r="1892" spans="1:16" hidden="1" x14ac:dyDescent="0.25">
      <c r="A1892" t="s">
        <v>265</v>
      </c>
      <c r="B1892" t="s">
        <v>18</v>
      </c>
      <c r="C1892" t="s">
        <v>16</v>
      </c>
      <c r="D1892">
        <v>6525</v>
      </c>
      <c r="E1892">
        <v>33</v>
      </c>
      <c r="F1892">
        <v>20</v>
      </c>
      <c r="G1892">
        <v>400</v>
      </c>
      <c r="H1892">
        <v>62</v>
      </c>
      <c r="I1892">
        <v>2740</v>
      </c>
      <c r="J1892">
        <v>0</v>
      </c>
      <c r="K1892">
        <v>0</v>
      </c>
      <c r="L1892">
        <v>7</v>
      </c>
      <c r="M1892">
        <v>1</v>
      </c>
      <c r="N1892" t="s">
        <v>266</v>
      </c>
      <c r="O1892" s="1">
        <f>result[[#This Row],[n_killed_mutants_cumulativa]]/result[[#This Row],[tot_mutants]]</f>
        <v>0.14285714285714285</v>
      </c>
    </row>
    <row r="1893" spans="1:16" hidden="1" x14ac:dyDescent="0.25">
      <c r="A1893" t="s">
        <v>265</v>
      </c>
      <c r="B1893" t="s">
        <v>19</v>
      </c>
      <c r="C1893" t="s">
        <v>16</v>
      </c>
      <c r="D1893">
        <v>10531</v>
      </c>
      <c r="E1893">
        <v>36</v>
      </c>
      <c r="F1893">
        <v>30</v>
      </c>
      <c r="G1893">
        <v>900</v>
      </c>
      <c r="H1893">
        <v>99</v>
      </c>
      <c r="I1893">
        <v>5588</v>
      </c>
      <c r="J1893">
        <v>0</v>
      </c>
      <c r="K1893">
        <v>0</v>
      </c>
      <c r="L1893">
        <v>7</v>
      </c>
      <c r="M1893">
        <v>1</v>
      </c>
      <c r="N1893" t="s">
        <v>266</v>
      </c>
      <c r="O1893" s="1">
        <f>result[[#This Row],[n_killed_mutants_cumulativa]]/result[[#This Row],[tot_mutants]]</f>
        <v>0.14285714285714285</v>
      </c>
    </row>
    <row r="1894" spans="1:16" hidden="1" x14ac:dyDescent="0.25">
      <c r="A1894" t="s">
        <v>265</v>
      </c>
      <c r="B1894" t="s">
        <v>20</v>
      </c>
      <c r="C1894" t="s">
        <v>16</v>
      </c>
      <c r="D1894">
        <v>17679</v>
      </c>
      <c r="E1894">
        <v>46</v>
      </c>
      <c r="F1894">
        <v>40</v>
      </c>
      <c r="G1894">
        <v>1600</v>
      </c>
      <c r="H1894">
        <v>106</v>
      </c>
      <c r="I1894">
        <v>10520</v>
      </c>
      <c r="J1894">
        <v>0</v>
      </c>
      <c r="K1894">
        <v>0</v>
      </c>
      <c r="L1894">
        <v>7</v>
      </c>
      <c r="M1894">
        <v>1</v>
      </c>
      <c r="N1894" t="s">
        <v>266</v>
      </c>
      <c r="O1894" s="1">
        <f>result[[#This Row],[n_killed_mutants_cumulativa]]/result[[#This Row],[tot_mutants]]</f>
        <v>0.14285714285714285</v>
      </c>
    </row>
    <row r="1895" spans="1:16" hidden="1" x14ac:dyDescent="0.25">
      <c r="A1895" t="s">
        <v>265</v>
      </c>
      <c r="B1895" t="s">
        <v>21</v>
      </c>
      <c r="C1895" t="s">
        <v>16</v>
      </c>
      <c r="D1895">
        <v>25897</v>
      </c>
      <c r="E1895">
        <v>60</v>
      </c>
      <c r="F1895">
        <v>50</v>
      </c>
      <c r="G1895">
        <v>2500</v>
      </c>
      <c r="H1895">
        <v>158</v>
      </c>
      <c r="I1895">
        <v>16719</v>
      </c>
      <c r="J1895">
        <v>0</v>
      </c>
      <c r="K1895">
        <v>0</v>
      </c>
      <c r="L1895">
        <v>7</v>
      </c>
      <c r="M1895">
        <v>1</v>
      </c>
      <c r="N1895" t="s">
        <v>266</v>
      </c>
      <c r="O1895" s="1">
        <f>result[[#This Row],[n_killed_mutants_cumulativa]]/result[[#This Row],[tot_mutants]]</f>
        <v>0.14285714285714285</v>
      </c>
    </row>
    <row r="1896" spans="1:16" hidden="1" x14ac:dyDescent="0.25">
      <c r="A1896" t="s">
        <v>265</v>
      </c>
      <c r="B1896" t="s">
        <v>24</v>
      </c>
      <c r="C1896" t="s">
        <v>16</v>
      </c>
      <c r="D1896">
        <v>35446</v>
      </c>
      <c r="E1896">
        <v>108</v>
      </c>
      <c r="F1896">
        <v>60</v>
      </c>
      <c r="G1896">
        <v>3600</v>
      </c>
      <c r="H1896">
        <v>176</v>
      </c>
      <c r="I1896">
        <v>24207</v>
      </c>
      <c r="J1896">
        <v>0</v>
      </c>
      <c r="K1896">
        <v>0</v>
      </c>
      <c r="L1896">
        <v>7</v>
      </c>
      <c r="M1896">
        <v>1</v>
      </c>
      <c r="N1896" t="s">
        <v>266</v>
      </c>
      <c r="O1896" s="1">
        <f>result[[#This Row],[n_killed_mutants_cumulativa]]/result[[#This Row],[tot_mutants]]</f>
        <v>0.14285714285714285</v>
      </c>
    </row>
    <row r="1897" spans="1:16" hidden="1" x14ac:dyDescent="0.25">
      <c r="A1897" t="s">
        <v>265</v>
      </c>
      <c r="B1897" t="s">
        <v>25</v>
      </c>
      <c r="C1897" t="s">
        <v>16</v>
      </c>
      <c r="D1897">
        <v>47770</v>
      </c>
      <c r="E1897">
        <v>103</v>
      </c>
      <c r="F1897">
        <v>70</v>
      </c>
      <c r="G1897">
        <v>4900</v>
      </c>
      <c r="H1897">
        <v>213</v>
      </c>
      <c r="I1897">
        <v>33205</v>
      </c>
      <c r="J1897">
        <v>0</v>
      </c>
      <c r="K1897">
        <v>0</v>
      </c>
      <c r="L1897">
        <v>7</v>
      </c>
      <c r="M1897">
        <v>1</v>
      </c>
      <c r="N1897" t="s">
        <v>266</v>
      </c>
      <c r="O1897" s="1">
        <f>result[[#This Row],[n_killed_mutants_cumulativa]]/result[[#This Row],[tot_mutants]]</f>
        <v>0.14285714285714285</v>
      </c>
    </row>
    <row r="1898" spans="1:16" hidden="1" x14ac:dyDescent="0.25">
      <c r="A1898" t="s">
        <v>265</v>
      </c>
      <c r="B1898" t="s">
        <v>26</v>
      </c>
      <c r="C1898" t="s">
        <v>16</v>
      </c>
      <c r="D1898">
        <v>60135</v>
      </c>
      <c r="E1898">
        <v>153</v>
      </c>
      <c r="F1898">
        <v>80</v>
      </c>
      <c r="G1898">
        <v>6400</v>
      </c>
      <c r="H1898">
        <v>241</v>
      </c>
      <c r="I1898">
        <v>40918</v>
      </c>
      <c r="J1898">
        <v>0</v>
      </c>
      <c r="K1898">
        <v>0</v>
      </c>
      <c r="L1898">
        <v>7</v>
      </c>
      <c r="M1898">
        <v>1</v>
      </c>
      <c r="N1898" t="s">
        <v>266</v>
      </c>
      <c r="O1898" s="1">
        <f>result[[#This Row],[n_killed_mutants_cumulativa]]/result[[#This Row],[tot_mutants]]</f>
        <v>0.14285714285714285</v>
      </c>
    </row>
    <row r="1899" spans="1:16" hidden="1" x14ac:dyDescent="0.25">
      <c r="A1899" t="s">
        <v>265</v>
      </c>
      <c r="B1899" t="s">
        <v>27</v>
      </c>
      <c r="C1899" t="s">
        <v>16</v>
      </c>
      <c r="D1899">
        <v>79631</v>
      </c>
      <c r="E1899">
        <v>156</v>
      </c>
      <c r="F1899">
        <v>90</v>
      </c>
      <c r="G1899">
        <v>8100</v>
      </c>
      <c r="H1899">
        <v>269</v>
      </c>
      <c r="I1899">
        <v>55204</v>
      </c>
      <c r="J1899">
        <v>0</v>
      </c>
      <c r="K1899">
        <v>0</v>
      </c>
      <c r="L1899">
        <v>7</v>
      </c>
      <c r="M1899">
        <v>1</v>
      </c>
      <c r="N1899" t="s">
        <v>266</v>
      </c>
      <c r="O1899" s="1">
        <f>result[[#This Row],[n_killed_mutants_cumulativa]]/result[[#This Row],[tot_mutants]]</f>
        <v>0.14285714285714285</v>
      </c>
    </row>
    <row r="1900" spans="1:16" hidden="1" x14ac:dyDescent="0.25">
      <c r="A1900" t="s">
        <v>265</v>
      </c>
      <c r="B1900" t="s">
        <v>30</v>
      </c>
      <c r="C1900" t="s">
        <v>16</v>
      </c>
      <c r="D1900">
        <v>101235</v>
      </c>
      <c r="E1900">
        <v>191</v>
      </c>
      <c r="F1900">
        <v>100</v>
      </c>
      <c r="G1900">
        <v>10000</v>
      </c>
      <c r="H1900">
        <v>336</v>
      </c>
      <c r="I1900">
        <v>67464</v>
      </c>
      <c r="J1900">
        <v>0</v>
      </c>
      <c r="K1900">
        <v>0</v>
      </c>
      <c r="L1900">
        <v>7</v>
      </c>
      <c r="M1900">
        <v>1</v>
      </c>
      <c r="N1900" t="s">
        <v>266</v>
      </c>
      <c r="O1900" s="1">
        <f>result[[#This Row],[n_killed_mutants_cumulativa]]/result[[#This Row],[tot_mutants]]</f>
        <v>0.14285714285714285</v>
      </c>
    </row>
    <row r="1901" spans="1:16" hidden="1" x14ac:dyDescent="0.25">
      <c r="A1901" t="s">
        <v>265</v>
      </c>
      <c r="B1901" t="s">
        <v>31</v>
      </c>
      <c r="C1901" t="s">
        <v>16</v>
      </c>
      <c r="D1901">
        <v>132375</v>
      </c>
      <c r="E1901">
        <v>235</v>
      </c>
      <c r="F1901">
        <v>110</v>
      </c>
      <c r="G1901">
        <v>12100</v>
      </c>
      <c r="H1901">
        <v>357</v>
      </c>
      <c r="I1901">
        <v>83614</v>
      </c>
      <c r="J1901">
        <v>0</v>
      </c>
      <c r="K1901">
        <v>0</v>
      </c>
      <c r="L1901">
        <v>7</v>
      </c>
      <c r="M1901">
        <v>1</v>
      </c>
      <c r="N1901" t="s">
        <v>266</v>
      </c>
      <c r="O1901" s="1">
        <f>result[[#This Row],[n_killed_mutants_cumulativa]]/result[[#This Row],[tot_mutants]]</f>
        <v>0.14285714285714285</v>
      </c>
    </row>
    <row r="1902" spans="1:16" hidden="1" x14ac:dyDescent="0.25">
      <c r="A1902" t="s">
        <v>265</v>
      </c>
      <c r="B1902" t="s">
        <v>36</v>
      </c>
      <c r="C1902" t="s">
        <v>16</v>
      </c>
      <c r="D1902">
        <v>154231</v>
      </c>
      <c r="E1902">
        <v>319</v>
      </c>
      <c r="F1902">
        <v>120</v>
      </c>
      <c r="G1902">
        <v>14400</v>
      </c>
      <c r="H1902">
        <v>354</v>
      </c>
      <c r="I1902">
        <v>95349</v>
      </c>
      <c r="J1902">
        <v>0</v>
      </c>
      <c r="K1902">
        <v>0</v>
      </c>
      <c r="L1902">
        <v>7</v>
      </c>
      <c r="M1902">
        <v>1</v>
      </c>
      <c r="N1902" t="s">
        <v>266</v>
      </c>
      <c r="O1902" s="1">
        <f>result[[#This Row],[n_killed_mutants_cumulativa]]/result[[#This Row],[tot_mutants]]</f>
        <v>0.14285714285714285</v>
      </c>
    </row>
    <row r="1903" spans="1:16" x14ac:dyDescent="0.25">
      <c r="A1903" t="s">
        <v>265</v>
      </c>
      <c r="B1903" t="s">
        <v>22</v>
      </c>
      <c r="C1903" t="s">
        <v>16</v>
      </c>
      <c r="D1903">
        <v>676671</v>
      </c>
      <c r="E1903">
        <v>1531</v>
      </c>
      <c r="F1903">
        <v>780</v>
      </c>
      <c r="G1903">
        <v>65000</v>
      </c>
      <c r="H1903">
        <v>2397</v>
      </c>
      <c r="I1903">
        <v>436173</v>
      </c>
      <c r="J1903">
        <v>0</v>
      </c>
      <c r="K1903">
        <v>0</v>
      </c>
      <c r="L1903">
        <v>7</v>
      </c>
      <c r="M1903">
        <v>1</v>
      </c>
      <c r="N1903" t="s">
        <v>266</v>
      </c>
      <c r="O1903" s="1">
        <f>result[[#This Row],[n_killed_mutants_cumulativa]]/result[[#This Row],[tot_mutants]]</f>
        <v>0.14285714285714285</v>
      </c>
      <c r="P1903" s="9" t="s">
        <v>360</v>
      </c>
    </row>
    <row r="1904" spans="1:16" hidden="1" x14ac:dyDescent="0.25">
      <c r="A1904" t="s">
        <v>267</v>
      </c>
      <c r="B1904" t="s">
        <v>15</v>
      </c>
      <c r="C1904" t="s">
        <v>16</v>
      </c>
      <c r="D1904">
        <v>1674</v>
      </c>
      <c r="E1904">
        <v>138</v>
      </c>
      <c r="F1904">
        <v>0</v>
      </c>
      <c r="G1904">
        <v>0</v>
      </c>
      <c r="H1904">
        <v>0</v>
      </c>
      <c r="I1904">
        <v>0</v>
      </c>
      <c r="J1904">
        <v>10</v>
      </c>
      <c r="K1904">
        <v>0</v>
      </c>
      <c r="L1904">
        <v>1</v>
      </c>
      <c r="M1904">
        <v>0</v>
      </c>
      <c r="N1904" t="s">
        <v>17</v>
      </c>
      <c r="O1904" s="1">
        <f>result[[#This Row],[n_killed_mutants_cumulativa]]/result[[#This Row],[tot_mutants]]</f>
        <v>0</v>
      </c>
    </row>
    <row r="1905" spans="1:15" hidden="1" x14ac:dyDescent="0.25">
      <c r="A1905" t="s">
        <v>267</v>
      </c>
      <c r="B1905" t="s">
        <v>18</v>
      </c>
      <c r="C1905" t="s">
        <v>16</v>
      </c>
      <c r="D1905">
        <v>1322</v>
      </c>
      <c r="E1905">
        <v>184</v>
      </c>
      <c r="F1905">
        <v>0</v>
      </c>
      <c r="G1905">
        <v>0</v>
      </c>
      <c r="H1905">
        <v>0</v>
      </c>
      <c r="I1905">
        <v>0</v>
      </c>
      <c r="J1905">
        <v>20</v>
      </c>
      <c r="K1905">
        <v>0</v>
      </c>
      <c r="L1905">
        <v>1</v>
      </c>
      <c r="M1905">
        <v>0</v>
      </c>
      <c r="N1905" t="s">
        <v>17</v>
      </c>
      <c r="O1905" s="1">
        <f>result[[#This Row],[n_killed_mutants_cumulativa]]/result[[#This Row],[tot_mutants]]</f>
        <v>0</v>
      </c>
    </row>
    <row r="1906" spans="1:15" hidden="1" x14ac:dyDescent="0.25">
      <c r="A1906" t="s">
        <v>267</v>
      </c>
      <c r="B1906" t="s">
        <v>19</v>
      </c>
      <c r="C1906" t="s">
        <v>16</v>
      </c>
      <c r="D1906">
        <v>1302</v>
      </c>
      <c r="E1906">
        <v>152</v>
      </c>
      <c r="F1906">
        <v>0</v>
      </c>
      <c r="G1906">
        <v>0</v>
      </c>
      <c r="H1906">
        <v>0</v>
      </c>
      <c r="I1906">
        <v>0</v>
      </c>
      <c r="J1906">
        <v>30</v>
      </c>
      <c r="K1906">
        <v>0</v>
      </c>
      <c r="L1906">
        <v>1</v>
      </c>
      <c r="M1906">
        <v>0</v>
      </c>
      <c r="N1906" t="s">
        <v>17</v>
      </c>
      <c r="O1906" s="1">
        <f>result[[#This Row],[n_killed_mutants_cumulativa]]/result[[#This Row],[tot_mutants]]</f>
        <v>0</v>
      </c>
    </row>
    <row r="1907" spans="1:15" hidden="1" x14ac:dyDescent="0.25">
      <c r="A1907" t="s">
        <v>267</v>
      </c>
      <c r="B1907" t="s">
        <v>20</v>
      </c>
      <c r="C1907" t="s">
        <v>16</v>
      </c>
      <c r="D1907">
        <v>1616</v>
      </c>
      <c r="E1907">
        <v>222</v>
      </c>
      <c r="F1907">
        <v>0</v>
      </c>
      <c r="G1907">
        <v>0</v>
      </c>
      <c r="H1907">
        <v>0</v>
      </c>
      <c r="I1907">
        <v>0</v>
      </c>
      <c r="J1907">
        <v>40</v>
      </c>
      <c r="K1907">
        <v>0</v>
      </c>
      <c r="L1907">
        <v>1</v>
      </c>
      <c r="M1907">
        <v>0</v>
      </c>
      <c r="N1907" t="s">
        <v>17</v>
      </c>
      <c r="O1907" s="1">
        <f>result[[#This Row],[n_killed_mutants_cumulativa]]/result[[#This Row],[tot_mutants]]</f>
        <v>0</v>
      </c>
    </row>
    <row r="1908" spans="1:15" hidden="1" x14ac:dyDescent="0.25">
      <c r="A1908" t="s">
        <v>267</v>
      </c>
      <c r="B1908" t="s">
        <v>21</v>
      </c>
      <c r="C1908" t="s">
        <v>16</v>
      </c>
      <c r="D1908">
        <v>2005</v>
      </c>
      <c r="E1908">
        <v>209</v>
      </c>
      <c r="F1908">
        <v>0</v>
      </c>
      <c r="G1908">
        <v>0</v>
      </c>
      <c r="H1908">
        <v>0</v>
      </c>
      <c r="I1908">
        <v>0</v>
      </c>
      <c r="J1908">
        <v>50</v>
      </c>
      <c r="K1908">
        <v>0</v>
      </c>
      <c r="L1908">
        <v>1</v>
      </c>
      <c r="M1908">
        <v>0</v>
      </c>
      <c r="N1908" t="s">
        <v>17</v>
      </c>
      <c r="O1908" s="1">
        <f>result[[#This Row],[n_killed_mutants_cumulativa]]/result[[#This Row],[tot_mutants]]</f>
        <v>0</v>
      </c>
    </row>
    <row r="1909" spans="1:15" hidden="1" x14ac:dyDescent="0.25">
      <c r="A1909" t="s">
        <v>267</v>
      </c>
      <c r="B1909" t="s">
        <v>22</v>
      </c>
      <c r="C1909" t="s">
        <v>16</v>
      </c>
      <c r="D1909">
        <v>7919</v>
      </c>
      <c r="E1909">
        <v>905</v>
      </c>
      <c r="F1909">
        <v>0</v>
      </c>
      <c r="G1909">
        <v>0</v>
      </c>
      <c r="H1909">
        <v>0</v>
      </c>
      <c r="I1909">
        <v>0</v>
      </c>
      <c r="J1909">
        <v>150</v>
      </c>
      <c r="K1909">
        <v>0</v>
      </c>
      <c r="L1909">
        <v>1</v>
      </c>
      <c r="M1909">
        <v>0</v>
      </c>
      <c r="N1909" t="s">
        <v>17</v>
      </c>
      <c r="O1909" s="1">
        <f>result[[#This Row],[n_killed_mutants_cumulativa]]/result[[#This Row],[tot_mutants]]</f>
        <v>0</v>
      </c>
    </row>
    <row r="1910" spans="1:15" hidden="1" x14ac:dyDescent="0.25">
      <c r="A1910" t="s">
        <v>268</v>
      </c>
      <c r="B1910" t="s">
        <v>15</v>
      </c>
      <c r="C1910" t="s">
        <v>16</v>
      </c>
      <c r="D1910">
        <v>2796</v>
      </c>
      <c r="E1910">
        <v>648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10</v>
      </c>
      <c r="L1910">
        <v>2</v>
      </c>
      <c r="M1910">
        <v>0</v>
      </c>
      <c r="N1910" t="s">
        <v>17</v>
      </c>
      <c r="O1910" s="1">
        <f>result[[#This Row],[n_killed_mutants_cumulativa]]/result[[#This Row],[tot_mutants]]</f>
        <v>0</v>
      </c>
    </row>
    <row r="1911" spans="1:15" hidden="1" x14ac:dyDescent="0.25">
      <c r="A1911" t="s">
        <v>268</v>
      </c>
      <c r="B1911" t="s">
        <v>18</v>
      </c>
      <c r="C1911" t="s">
        <v>16</v>
      </c>
      <c r="D1911">
        <v>3025</v>
      </c>
      <c r="E1911">
        <v>1389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20</v>
      </c>
      <c r="L1911">
        <v>2</v>
      </c>
      <c r="M1911">
        <v>0</v>
      </c>
      <c r="N1911" t="s">
        <v>17</v>
      </c>
      <c r="O1911" s="1">
        <f>result[[#This Row],[n_killed_mutants_cumulativa]]/result[[#This Row],[tot_mutants]]</f>
        <v>0</v>
      </c>
    </row>
    <row r="1912" spans="1:15" hidden="1" x14ac:dyDescent="0.25">
      <c r="A1912" t="s">
        <v>268</v>
      </c>
      <c r="B1912" t="s">
        <v>19</v>
      </c>
      <c r="C1912" t="s">
        <v>16</v>
      </c>
      <c r="D1912">
        <v>4105</v>
      </c>
      <c r="E1912">
        <v>2040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30</v>
      </c>
      <c r="L1912">
        <v>2</v>
      </c>
      <c r="M1912">
        <v>0</v>
      </c>
      <c r="N1912" t="s">
        <v>17</v>
      </c>
      <c r="O1912" s="1">
        <f>result[[#This Row],[n_killed_mutants_cumulativa]]/result[[#This Row],[tot_mutants]]</f>
        <v>0</v>
      </c>
    </row>
    <row r="1913" spans="1:15" hidden="1" x14ac:dyDescent="0.25">
      <c r="A1913" t="s">
        <v>268</v>
      </c>
      <c r="B1913" t="s">
        <v>20</v>
      </c>
      <c r="C1913" t="s">
        <v>16</v>
      </c>
      <c r="D1913">
        <v>3092</v>
      </c>
      <c r="E1913">
        <v>3069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2</v>
      </c>
      <c r="M1913">
        <v>0</v>
      </c>
      <c r="N1913" t="s">
        <v>17</v>
      </c>
      <c r="O1913" s="1">
        <f>result[[#This Row],[n_killed_mutants_cumulativa]]/result[[#This Row],[tot_mutants]]</f>
        <v>0</v>
      </c>
    </row>
    <row r="1914" spans="1:15" hidden="1" x14ac:dyDescent="0.25">
      <c r="A1914" t="s">
        <v>268</v>
      </c>
      <c r="B1914" t="s">
        <v>21</v>
      </c>
      <c r="C1914" t="s">
        <v>16</v>
      </c>
      <c r="D1914">
        <v>3668</v>
      </c>
      <c r="E1914">
        <v>3650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2</v>
      </c>
      <c r="M1914">
        <v>0</v>
      </c>
      <c r="N1914" t="s">
        <v>17</v>
      </c>
      <c r="O1914" s="1">
        <f>result[[#This Row],[n_killed_mutants_cumulativa]]/result[[#This Row],[tot_mutants]]</f>
        <v>0</v>
      </c>
    </row>
    <row r="1915" spans="1:15" hidden="1" x14ac:dyDescent="0.25">
      <c r="A1915" t="s">
        <v>268</v>
      </c>
      <c r="B1915" t="s">
        <v>22</v>
      </c>
      <c r="C1915" t="s">
        <v>16</v>
      </c>
      <c r="D1915">
        <v>16686</v>
      </c>
      <c r="E1915">
        <v>10796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60</v>
      </c>
      <c r="L1915">
        <v>2</v>
      </c>
      <c r="M1915">
        <v>0</v>
      </c>
      <c r="N1915" t="s">
        <v>17</v>
      </c>
      <c r="O1915" s="1">
        <f>result[[#This Row],[n_killed_mutants_cumulativa]]/result[[#This Row],[tot_mutants]]</f>
        <v>0</v>
      </c>
    </row>
    <row r="1916" spans="1:15" hidden="1" x14ac:dyDescent="0.25">
      <c r="A1916" t="s">
        <v>269</v>
      </c>
      <c r="B1916" t="s">
        <v>15</v>
      </c>
      <c r="C1916" t="s">
        <v>16</v>
      </c>
      <c r="D1916">
        <v>1703</v>
      </c>
      <c r="E1916">
        <v>237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10</v>
      </c>
      <c r="L1916">
        <v>1</v>
      </c>
      <c r="M1916">
        <v>0</v>
      </c>
      <c r="N1916" t="s">
        <v>17</v>
      </c>
      <c r="O1916" s="1">
        <f>result[[#This Row],[n_killed_mutants_cumulativa]]/result[[#This Row],[tot_mutants]]</f>
        <v>0</v>
      </c>
    </row>
    <row r="1917" spans="1:15" hidden="1" x14ac:dyDescent="0.25">
      <c r="A1917" t="s">
        <v>269</v>
      </c>
      <c r="B1917" t="s">
        <v>18</v>
      </c>
      <c r="C1917" t="s">
        <v>16</v>
      </c>
      <c r="D1917">
        <v>1385</v>
      </c>
      <c r="E1917">
        <v>342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20</v>
      </c>
      <c r="L1917">
        <v>1</v>
      </c>
      <c r="M1917">
        <v>0</v>
      </c>
      <c r="N1917" t="s">
        <v>17</v>
      </c>
      <c r="O1917" s="1">
        <f>result[[#This Row],[n_killed_mutants_cumulativa]]/result[[#This Row],[tot_mutants]]</f>
        <v>0</v>
      </c>
    </row>
    <row r="1918" spans="1:15" hidden="1" x14ac:dyDescent="0.25">
      <c r="A1918" t="s">
        <v>269</v>
      </c>
      <c r="B1918" t="s">
        <v>19</v>
      </c>
      <c r="C1918" t="s">
        <v>16</v>
      </c>
      <c r="D1918">
        <v>1295</v>
      </c>
      <c r="E1918">
        <v>372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30</v>
      </c>
      <c r="L1918">
        <v>1</v>
      </c>
      <c r="M1918">
        <v>0</v>
      </c>
      <c r="N1918" t="s">
        <v>17</v>
      </c>
      <c r="O1918" s="1">
        <f>result[[#This Row],[n_killed_mutants_cumulativa]]/result[[#This Row],[tot_mutants]]</f>
        <v>0</v>
      </c>
    </row>
    <row r="1919" spans="1:15" hidden="1" x14ac:dyDescent="0.25">
      <c r="A1919" t="s">
        <v>269</v>
      </c>
      <c r="B1919" t="s">
        <v>20</v>
      </c>
      <c r="C1919" t="s">
        <v>16</v>
      </c>
      <c r="D1919">
        <v>1840</v>
      </c>
      <c r="E1919">
        <v>683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40</v>
      </c>
      <c r="L1919">
        <v>1</v>
      </c>
      <c r="M1919">
        <v>0</v>
      </c>
      <c r="N1919" t="s">
        <v>17</v>
      </c>
      <c r="O1919" s="1">
        <f>result[[#This Row],[n_killed_mutants_cumulativa]]/result[[#This Row],[tot_mutants]]</f>
        <v>0</v>
      </c>
    </row>
    <row r="1920" spans="1:15" hidden="1" x14ac:dyDescent="0.25">
      <c r="A1920" t="s">
        <v>269</v>
      </c>
      <c r="B1920" t="s">
        <v>21</v>
      </c>
      <c r="C1920" t="s">
        <v>16</v>
      </c>
      <c r="D1920">
        <v>1929</v>
      </c>
      <c r="E1920">
        <v>742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50</v>
      </c>
      <c r="L1920">
        <v>1</v>
      </c>
      <c r="M1920">
        <v>0</v>
      </c>
      <c r="N1920" t="s">
        <v>17</v>
      </c>
      <c r="O1920" s="1">
        <f>result[[#This Row],[n_killed_mutants_cumulativa]]/result[[#This Row],[tot_mutants]]</f>
        <v>0</v>
      </c>
    </row>
    <row r="1921" spans="1:16" hidden="1" x14ac:dyDescent="0.25">
      <c r="A1921" t="s">
        <v>269</v>
      </c>
      <c r="B1921" t="s">
        <v>22</v>
      </c>
      <c r="C1921" t="s">
        <v>16</v>
      </c>
      <c r="D1921">
        <v>8152</v>
      </c>
      <c r="E1921">
        <v>2376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150</v>
      </c>
      <c r="L1921">
        <v>1</v>
      </c>
      <c r="M1921">
        <v>0</v>
      </c>
      <c r="N1921" t="s">
        <v>17</v>
      </c>
      <c r="O1921" s="1">
        <f>result[[#This Row],[n_killed_mutants_cumulativa]]/result[[#This Row],[tot_mutants]]</f>
        <v>0</v>
      </c>
    </row>
    <row r="1922" spans="1:16" hidden="1" x14ac:dyDescent="0.25">
      <c r="A1922" t="s">
        <v>270</v>
      </c>
      <c r="B1922" t="s">
        <v>15</v>
      </c>
      <c r="C1922" t="s">
        <v>16</v>
      </c>
      <c r="D1922">
        <v>9474</v>
      </c>
      <c r="E1922">
        <v>449</v>
      </c>
      <c r="F1922">
        <v>10</v>
      </c>
      <c r="G1922">
        <v>100</v>
      </c>
      <c r="H1922">
        <v>100</v>
      </c>
      <c r="I1922">
        <v>478</v>
      </c>
      <c r="J1922">
        <v>0</v>
      </c>
      <c r="K1922">
        <v>0</v>
      </c>
      <c r="L1922">
        <v>15</v>
      </c>
      <c r="M1922">
        <v>0</v>
      </c>
      <c r="N1922" t="s">
        <v>17</v>
      </c>
      <c r="O1922" s="1">
        <f>result[[#This Row],[n_killed_mutants_cumulativa]]/result[[#This Row],[tot_mutants]]</f>
        <v>0</v>
      </c>
    </row>
    <row r="1923" spans="1:16" hidden="1" x14ac:dyDescent="0.25">
      <c r="A1923" t="s">
        <v>270</v>
      </c>
      <c r="B1923" t="s">
        <v>18</v>
      </c>
      <c r="C1923" t="s">
        <v>16</v>
      </c>
      <c r="D1923">
        <v>14579</v>
      </c>
      <c r="E1923">
        <v>533</v>
      </c>
      <c r="F1923">
        <v>20</v>
      </c>
      <c r="G1923">
        <v>400</v>
      </c>
      <c r="H1923">
        <v>400</v>
      </c>
      <c r="I1923">
        <v>2244</v>
      </c>
      <c r="J1923">
        <v>0</v>
      </c>
      <c r="K1923">
        <v>0</v>
      </c>
      <c r="L1923">
        <v>15</v>
      </c>
      <c r="M1923">
        <v>0</v>
      </c>
      <c r="N1923" t="s">
        <v>17</v>
      </c>
      <c r="O1923" s="1">
        <f>result[[#This Row],[n_killed_mutants_cumulativa]]/result[[#This Row],[tot_mutants]]</f>
        <v>0</v>
      </c>
    </row>
    <row r="1924" spans="1:16" hidden="1" x14ac:dyDescent="0.25">
      <c r="A1924" t="s">
        <v>270</v>
      </c>
      <c r="B1924" t="s">
        <v>19</v>
      </c>
      <c r="C1924" t="s">
        <v>16</v>
      </c>
      <c r="D1924">
        <v>27518</v>
      </c>
      <c r="E1924">
        <v>1627</v>
      </c>
      <c r="F1924">
        <v>30</v>
      </c>
      <c r="G1924">
        <v>900</v>
      </c>
      <c r="H1924">
        <v>900</v>
      </c>
      <c r="I1924">
        <v>5531</v>
      </c>
      <c r="J1924">
        <v>0</v>
      </c>
      <c r="K1924">
        <v>0</v>
      </c>
      <c r="L1924">
        <v>15</v>
      </c>
      <c r="M1924">
        <v>0</v>
      </c>
      <c r="N1924" t="s">
        <v>17</v>
      </c>
      <c r="O1924" s="1">
        <f>result[[#This Row],[n_killed_mutants_cumulativa]]/result[[#This Row],[tot_mutants]]</f>
        <v>0</v>
      </c>
    </row>
    <row r="1925" spans="1:16" hidden="1" x14ac:dyDescent="0.25">
      <c r="A1925" t="s">
        <v>270</v>
      </c>
      <c r="B1925" t="s">
        <v>20</v>
      </c>
      <c r="C1925" t="s">
        <v>16</v>
      </c>
      <c r="D1925">
        <v>43638</v>
      </c>
      <c r="E1925">
        <v>3512</v>
      </c>
      <c r="F1925">
        <v>40</v>
      </c>
      <c r="G1925">
        <v>1600</v>
      </c>
      <c r="H1925">
        <v>1600</v>
      </c>
      <c r="I1925">
        <v>9461</v>
      </c>
      <c r="J1925">
        <v>0</v>
      </c>
      <c r="K1925">
        <v>0</v>
      </c>
      <c r="L1925">
        <v>15</v>
      </c>
      <c r="M1925">
        <v>0</v>
      </c>
      <c r="N1925" t="s">
        <v>17</v>
      </c>
      <c r="O1925" s="1">
        <f>result[[#This Row],[n_killed_mutants_cumulativa]]/result[[#This Row],[tot_mutants]]</f>
        <v>0</v>
      </c>
    </row>
    <row r="1926" spans="1:16" hidden="1" x14ac:dyDescent="0.25">
      <c r="A1926" t="s">
        <v>270</v>
      </c>
      <c r="B1926" t="s">
        <v>21</v>
      </c>
      <c r="C1926" t="s">
        <v>16</v>
      </c>
      <c r="D1926">
        <v>67460</v>
      </c>
      <c r="E1926">
        <v>6741</v>
      </c>
      <c r="F1926">
        <v>50</v>
      </c>
      <c r="G1926">
        <v>2500</v>
      </c>
      <c r="H1926">
        <v>2500</v>
      </c>
      <c r="I1926">
        <v>15614</v>
      </c>
      <c r="J1926">
        <v>0</v>
      </c>
      <c r="K1926">
        <v>0</v>
      </c>
      <c r="L1926">
        <v>15</v>
      </c>
      <c r="M1926">
        <v>0</v>
      </c>
      <c r="N1926" t="s">
        <v>17</v>
      </c>
      <c r="O1926" s="1">
        <f>result[[#This Row],[n_killed_mutants_cumulativa]]/result[[#This Row],[tot_mutants]]</f>
        <v>0</v>
      </c>
    </row>
    <row r="1927" spans="1:16" hidden="1" x14ac:dyDescent="0.25">
      <c r="A1927" t="s">
        <v>270</v>
      </c>
      <c r="B1927" t="s">
        <v>24</v>
      </c>
      <c r="C1927" t="s">
        <v>16</v>
      </c>
      <c r="D1927">
        <v>97516</v>
      </c>
      <c r="E1927">
        <v>11514</v>
      </c>
      <c r="F1927">
        <v>60</v>
      </c>
      <c r="G1927">
        <v>3600</v>
      </c>
      <c r="H1927">
        <v>3600</v>
      </c>
      <c r="I1927">
        <v>23188</v>
      </c>
      <c r="J1927">
        <v>0</v>
      </c>
      <c r="K1927">
        <v>0</v>
      </c>
      <c r="L1927">
        <v>15</v>
      </c>
      <c r="M1927">
        <v>0</v>
      </c>
      <c r="N1927" t="s">
        <v>17</v>
      </c>
      <c r="O1927" s="1">
        <f>result[[#This Row],[n_killed_mutants_cumulativa]]/result[[#This Row],[tot_mutants]]</f>
        <v>0</v>
      </c>
    </row>
    <row r="1928" spans="1:16" hidden="1" x14ac:dyDescent="0.25">
      <c r="A1928" t="s">
        <v>270</v>
      </c>
      <c r="B1928" t="s">
        <v>25</v>
      </c>
      <c r="C1928" t="s">
        <v>16</v>
      </c>
      <c r="D1928">
        <v>134497</v>
      </c>
      <c r="E1928">
        <v>18209</v>
      </c>
      <c r="F1928">
        <v>70</v>
      </c>
      <c r="G1928">
        <v>4900</v>
      </c>
      <c r="H1928">
        <v>4900</v>
      </c>
      <c r="I1928">
        <v>32002</v>
      </c>
      <c r="J1928">
        <v>0</v>
      </c>
      <c r="K1928">
        <v>0</v>
      </c>
      <c r="L1928">
        <v>15</v>
      </c>
      <c r="M1928">
        <v>0</v>
      </c>
      <c r="N1928" t="s">
        <v>17</v>
      </c>
      <c r="O1928" s="1">
        <f>result[[#This Row],[n_killed_mutants_cumulativa]]/result[[#This Row],[tot_mutants]]</f>
        <v>0</v>
      </c>
    </row>
    <row r="1929" spans="1:16" hidden="1" x14ac:dyDescent="0.25">
      <c r="A1929" t="s">
        <v>270</v>
      </c>
      <c r="B1929" t="s">
        <v>26</v>
      </c>
      <c r="C1929" t="s">
        <v>16</v>
      </c>
      <c r="D1929">
        <v>180112</v>
      </c>
      <c r="E1929">
        <v>27181</v>
      </c>
      <c r="F1929">
        <v>80</v>
      </c>
      <c r="G1929">
        <v>6400</v>
      </c>
      <c r="H1929">
        <v>6400</v>
      </c>
      <c r="I1929">
        <v>41880</v>
      </c>
      <c r="J1929">
        <v>0</v>
      </c>
      <c r="K1929">
        <v>0</v>
      </c>
      <c r="L1929">
        <v>15</v>
      </c>
      <c r="M1929">
        <v>0</v>
      </c>
      <c r="N1929" t="s">
        <v>17</v>
      </c>
      <c r="O1929" s="1">
        <f>result[[#This Row],[n_killed_mutants_cumulativa]]/result[[#This Row],[tot_mutants]]</f>
        <v>0</v>
      </c>
    </row>
    <row r="1930" spans="1:16" hidden="1" x14ac:dyDescent="0.25">
      <c r="A1930" t="s">
        <v>270</v>
      </c>
      <c r="B1930" t="s">
        <v>27</v>
      </c>
      <c r="C1930" t="s">
        <v>16</v>
      </c>
      <c r="D1930">
        <v>232661</v>
      </c>
      <c r="E1930">
        <v>38135</v>
      </c>
      <c r="F1930">
        <v>90</v>
      </c>
      <c r="G1930">
        <v>8100</v>
      </c>
      <c r="H1930">
        <v>8100</v>
      </c>
      <c r="I1930">
        <v>53645</v>
      </c>
      <c r="J1930">
        <v>0</v>
      </c>
      <c r="K1930">
        <v>0</v>
      </c>
      <c r="L1930">
        <v>15</v>
      </c>
      <c r="M1930">
        <v>0</v>
      </c>
      <c r="N1930" t="s">
        <v>17</v>
      </c>
      <c r="O1930" s="1">
        <f>result[[#This Row],[n_killed_mutants_cumulativa]]/result[[#This Row],[tot_mutants]]</f>
        <v>0</v>
      </c>
    </row>
    <row r="1931" spans="1:16" hidden="1" x14ac:dyDescent="0.25">
      <c r="A1931" t="s">
        <v>270</v>
      </c>
      <c r="B1931" t="s">
        <v>22</v>
      </c>
      <c r="C1931" t="s">
        <v>16</v>
      </c>
      <c r="D1931">
        <v>807455</v>
      </c>
      <c r="E1931">
        <v>107901</v>
      </c>
      <c r="F1931">
        <v>450</v>
      </c>
      <c r="G1931">
        <v>28500</v>
      </c>
      <c r="H1931">
        <v>28500</v>
      </c>
      <c r="I1931">
        <v>184043</v>
      </c>
      <c r="J1931">
        <v>0</v>
      </c>
      <c r="K1931">
        <v>0</v>
      </c>
      <c r="L1931">
        <v>15</v>
      </c>
      <c r="M1931">
        <v>0</v>
      </c>
      <c r="N1931" t="s">
        <v>17</v>
      </c>
      <c r="O1931" s="1">
        <f>result[[#This Row],[n_killed_mutants_cumulativa]]/result[[#This Row],[tot_mutants]]</f>
        <v>0</v>
      </c>
      <c r="P1931" s="10" t="s">
        <v>346</v>
      </c>
    </row>
    <row r="1932" spans="1:16" hidden="1" x14ac:dyDescent="0.25">
      <c r="A1932" t="s">
        <v>271</v>
      </c>
      <c r="B1932" t="s">
        <v>15</v>
      </c>
      <c r="C1932" t="s">
        <v>16</v>
      </c>
      <c r="D1932">
        <v>19567</v>
      </c>
      <c r="E1932">
        <v>431</v>
      </c>
      <c r="F1932">
        <v>10</v>
      </c>
      <c r="G1932">
        <v>100</v>
      </c>
      <c r="H1932">
        <v>640</v>
      </c>
      <c r="I1932">
        <v>100</v>
      </c>
      <c r="J1932">
        <v>0</v>
      </c>
      <c r="K1932">
        <v>0</v>
      </c>
      <c r="L1932">
        <v>11</v>
      </c>
      <c r="M1932">
        <v>0</v>
      </c>
      <c r="N1932" t="s">
        <v>17</v>
      </c>
      <c r="O1932" s="1">
        <f>result[[#This Row],[n_killed_mutants_cumulativa]]/result[[#This Row],[tot_mutants]]</f>
        <v>0</v>
      </c>
    </row>
    <row r="1933" spans="1:16" hidden="1" x14ac:dyDescent="0.25">
      <c r="A1933" t="s">
        <v>271</v>
      </c>
      <c r="B1933" t="s">
        <v>18</v>
      </c>
      <c r="C1933" t="s">
        <v>16</v>
      </c>
      <c r="D1933">
        <v>35179</v>
      </c>
      <c r="E1933">
        <v>367</v>
      </c>
      <c r="F1933">
        <v>20</v>
      </c>
      <c r="G1933">
        <v>400</v>
      </c>
      <c r="H1933">
        <v>2760</v>
      </c>
      <c r="I1933">
        <v>400</v>
      </c>
      <c r="J1933">
        <v>0</v>
      </c>
      <c r="K1933">
        <v>0</v>
      </c>
      <c r="L1933">
        <v>11</v>
      </c>
      <c r="M1933">
        <v>0</v>
      </c>
      <c r="N1933" t="s">
        <v>17</v>
      </c>
      <c r="O1933" s="1">
        <f>result[[#This Row],[n_killed_mutants_cumulativa]]/result[[#This Row],[tot_mutants]]</f>
        <v>0</v>
      </c>
    </row>
    <row r="1934" spans="1:16" hidden="1" x14ac:dyDescent="0.25">
      <c r="A1934" t="s">
        <v>271</v>
      </c>
      <c r="B1934" t="s">
        <v>19</v>
      </c>
      <c r="C1934" t="s">
        <v>16</v>
      </c>
      <c r="D1934">
        <v>56066</v>
      </c>
      <c r="E1934">
        <v>722</v>
      </c>
      <c r="F1934">
        <v>30</v>
      </c>
      <c r="G1934">
        <v>900</v>
      </c>
      <c r="H1934">
        <v>6720</v>
      </c>
      <c r="I1934">
        <v>900</v>
      </c>
      <c r="J1934">
        <v>0</v>
      </c>
      <c r="K1934">
        <v>0</v>
      </c>
      <c r="L1934">
        <v>11</v>
      </c>
      <c r="M1934">
        <v>0</v>
      </c>
      <c r="N1934" t="s">
        <v>17</v>
      </c>
      <c r="O1934" s="1">
        <f>result[[#This Row],[n_killed_mutants_cumulativa]]/result[[#This Row],[tot_mutants]]</f>
        <v>0</v>
      </c>
    </row>
    <row r="1935" spans="1:16" hidden="1" x14ac:dyDescent="0.25">
      <c r="A1935" t="s">
        <v>271</v>
      </c>
      <c r="B1935" t="s">
        <v>20</v>
      </c>
      <c r="C1935" t="s">
        <v>16</v>
      </c>
      <c r="D1935">
        <v>7186</v>
      </c>
      <c r="E1935">
        <v>2116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40</v>
      </c>
      <c r="L1935">
        <v>11</v>
      </c>
      <c r="M1935">
        <v>0</v>
      </c>
      <c r="N1935" t="s">
        <v>17</v>
      </c>
      <c r="O1935" s="1">
        <f>result[[#This Row],[n_killed_mutants_cumulativa]]/result[[#This Row],[tot_mutants]]</f>
        <v>0</v>
      </c>
    </row>
    <row r="1936" spans="1:16" hidden="1" x14ac:dyDescent="0.25">
      <c r="A1936" t="s">
        <v>271</v>
      </c>
      <c r="B1936" t="s">
        <v>21</v>
      </c>
      <c r="C1936" t="s">
        <v>16</v>
      </c>
      <c r="D1936">
        <v>9005</v>
      </c>
      <c r="E1936">
        <v>2674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50</v>
      </c>
      <c r="L1936">
        <v>11</v>
      </c>
      <c r="M1936">
        <v>0</v>
      </c>
      <c r="N1936" t="s">
        <v>17</v>
      </c>
      <c r="O1936" s="1">
        <f>result[[#This Row],[n_killed_mutants_cumulativa]]/result[[#This Row],[tot_mutants]]</f>
        <v>0</v>
      </c>
    </row>
    <row r="1937" spans="1:16" hidden="1" x14ac:dyDescent="0.25">
      <c r="A1937" t="s">
        <v>271</v>
      </c>
      <c r="B1937" t="s">
        <v>24</v>
      </c>
      <c r="C1937" t="s">
        <v>16</v>
      </c>
      <c r="D1937">
        <v>11360</v>
      </c>
      <c r="E1937">
        <v>3699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60</v>
      </c>
      <c r="L1937">
        <v>11</v>
      </c>
      <c r="M1937">
        <v>0</v>
      </c>
      <c r="N1937" t="s">
        <v>17</v>
      </c>
      <c r="O1937" s="1">
        <f>result[[#This Row],[n_killed_mutants_cumulativa]]/result[[#This Row],[tot_mutants]]</f>
        <v>0</v>
      </c>
    </row>
    <row r="1938" spans="1:16" hidden="1" x14ac:dyDescent="0.25">
      <c r="A1938" t="s">
        <v>271</v>
      </c>
      <c r="B1938" t="s">
        <v>25</v>
      </c>
      <c r="C1938" t="s">
        <v>16</v>
      </c>
      <c r="D1938">
        <v>15069</v>
      </c>
      <c r="E1938">
        <v>5777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70</v>
      </c>
      <c r="L1938">
        <v>11</v>
      </c>
      <c r="M1938">
        <v>0</v>
      </c>
      <c r="N1938" t="s">
        <v>17</v>
      </c>
      <c r="O1938" s="1">
        <f>result[[#This Row],[n_killed_mutants_cumulativa]]/result[[#This Row],[tot_mutants]]</f>
        <v>0</v>
      </c>
    </row>
    <row r="1939" spans="1:16" hidden="1" x14ac:dyDescent="0.25">
      <c r="A1939" t="s">
        <v>271</v>
      </c>
      <c r="B1939" t="s">
        <v>26</v>
      </c>
      <c r="C1939" t="s">
        <v>16</v>
      </c>
      <c r="D1939">
        <v>7322</v>
      </c>
      <c r="E1939">
        <v>7287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11</v>
      </c>
      <c r="M1939">
        <v>0</v>
      </c>
      <c r="N1939" t="s">
        <v>17</v>
      </c>
      <c r="O1939" s="1">
        <f>result[[#This Row],[n_killed_mutants_cumulativa]]/result[[#This Row],[tot_mutants]]</f>
        <v>0</v>
      </c>
    </row>
    <row r="1940" spans="1:16" hidden="1" x14ac:dyDescent="0.25">
      <c r="A1940" t="s">
        <v>271</v>
      </c>
      <c r="B1940" t="s">
        <v>27</v>
      </c>
      <c r="C1940" t="s">
        <v>16</v>
      </c>
      <c r="D1940">
        <v>8134</v>
      </c>
      <c r="E1940">
        <v>8099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11</v>
      </c>
      <c r="M1940">
        <v>0</v>
      </c>
      <c r="N1940" t="s">
        <v>17</v>
      </c>
      <c r="O1940" s="1">
        <f>result[[#This Row],[n_killed_mutants_cumulativa]]/result[[#This Row],[tot_mutants]]</f>
        <v>0</v>
      </c>
    </row>
    <row r="1941" spans="1:16" hidden="1" x14ac:dyDescent="0.25">
      <c r="A1941" t="s">
        <v>271</v>
      </c>
      <c r="B1941" t="s">
        <v>30</v>
      </c>
      <c r="C1941" t="s">
        <v>16</v>
      </c>
      <c r="D1941">
        <v>9021</v>
      </c>
      <c r="E1941">
        <v>8986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11</v>
      </c>
      <c r="M1941">
        <v>0</v>
      </c>
      <c r="N1941" t="s">
        <v>17</v>
      </c>
      <c r="O1941" s="1">
        <f>result[[#This Row],[n_killed_mutants_cumulativa]]/result[[#This Row],[tot_mutants]]</f>
        <v>0</v>
      </c>
    </row>
    <row r="1942" spans="1:16" hidden="1" x14ac:dyDescent="0.25">
      <c r="A1942" t="s">
        <v>271</v>
      </c>
      <c r="B1942" t="s">
        <v>31</v>
      </c>
      <c r="C1942" t="s">
        <v>16</v>
      </c>
      <c r="D1942">
        <v>9952</v>
      </c>
      <c r="E1942">
        <v>9916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11</v>
      </c>
      <c r="M1942">
        <v>0</v>
      </c>
      <c r="N1942" t="s">
        <v>17</v>
      </c>
      <c r="O1942" s="1">
        <f>result[[#This Row],[n_killed_mutants_cumulativa]]/result[[#This Row],[tot_mutants]]</f>
        <v>0</v>
      </c>
    </row>
    <row r="1943" spans="1:16" hidden="1" x14ac:dyDescent="0.25">
      <c r="A1943" t="s">
        <v>271</v>
      </c>
      <c r="B1943" t="s">
        <v>36</v>
      </c>
      <c r="C1943" t="s">
        <v>16</v>
      </c>
      <c r="D1943">
        <v>11103</v>
      </c>
      <c r="E1943">
        <v>11067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11</v>
      </c>
      <c r="M1943">
        <v>0</v>
      </c>
      <c r="N1943" t="s">
        <v>17</v>
      </c>
      <c r="O1943" s="1">
        <f>result[[#This Row],[n_killed_mutants_cumulativa]]/result[[#This Row],[tot_mutants]]</f>
        <v>0</v>
      </c>
    </row>
    <row r="1944" spans="1:16" hidden="1" x14ac:dyDescent="0.25">
      <c r="A1944" t="s">
        <v>271</v>
      </c>
      <c r="B1944" t="s">
        <v>40</v>
      </c>
      <c r="C1944" t="s">
        <v>16</v>
      </c>
      <c r="D1944">
        <v>11754</v>
      </c>
      <c r="E1944">
        <v>11717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11</v>
      </c>
      <c r="M1944">
        <v>0</v>
      </c>
      <c r="N1944" t="s">
        <v>17</v>
      </c>
      <c r="O1944" s="1">
        <f>result[[#This Row],[n_killed_mutants_cumulativa]]/result[[#This Row],[tot_mutants]]</f>
        <v>0</v>
      </c>
    </row>
    <row r="1945" spans="1:16" hidden="1" x14ac:dyDescent="0.25">
      <c r="A1945" t="s">
        <v>271</v>
      </c>
      <c r="B1945" t="s">
        <v>47</v>
      </c>
      <c r="C1945" t="s">
        <v>16</v>
      </c>
      <c r="D1945">
        <v>12714</v>
      </c>
      <c r="E1945">
        <v>12678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11</v>
      </c>
      <c r="M1945">
        <v>0</v>
      </c>
      <c r="N1945" t="s">
        <v>17</v>
      </c>
      <c r="O1945" s="1">
        <f>result[[#This Row],[n_killed_mutants_cumulativa]]/result[[#This Row],[tot_mutants]]</f>
        <v>0</v>
      </c>
    </row>
    <row r="1946" spans="1:16" hidden="1" x14ac:dyDescent="0.25">
      <c r="A1946" t="s">
        <v>271</v>
      </c>
      <c r="B1946" t="s">
        <v>48</v>
      </c>
      <c r="C1946" t="s">
        <v>16</v>
      </c>
      <c r="D1946">
        <v>13686</v>
      </c>
      <c r="E1946">
        <v>13647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11</v>
      </c>
      <c r="M1946">
        <v>0</v>
      </c>
      <c r="N1946" t="s">
        <v>17</v>
      </c>
      <c r="O1946" s="1">
        <f>result[[#This Row],[n_killed_mutants_cumulativa]]/result[[#This Row],[tot_mutants]]</f>
        <v>0</v>
      </c>
    </row>
    <row r="1947" spans="1:16" hidden="1" x14ac:dyDescent="0.25">
      <c r="A1947" t="s">
        <v>271</v>
      </c>
      <c r="B1947" t="s">
        <v>49</v>
      </c>
      <c r="C1947" t="s">
        <v>16</v>
      </c>
      <c r="D1947">
        <v>14454</v>
      </c>
      <c r="E1947">
        <v>14417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11</v>
      </c>
      <c r="M1947">
        <v>0</v>
      </c>
      <c r="N1947" t="s">
        <v>17</v>
      </c>
      <c r="O1947" s="1">
        <f>result[[#This Row],[n_killed_mutants_cumulativa]]/result[[#This Row],[tot_mutants]]</f>
        <v>0</v>
      </c>
    </row>
    <row r="1948" spans="1:16" hidden="1" x14ac:dyDescent="0.25">
      <c r="A1948" t="s">
        <v>271</v>
      </c>
      <c r="B1948" t="s">
        <v>50</v>
      </c>
      <c r="C1948" t="s">
        <v>16</v>
      </c>
      <c r="D1948">
        <v>15310</v>
      </c>
      <c r="E1948">
        <v>15274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11</v>
      </c>
      <c r="M1948">
        <v>0</v>
      </c>
      <c r="N1948" t="s">
        <v>17</v>
      </c>
      <c r="O1948" s="1">
        <f>result[[#This Row],[n_killed_mutants_cumulativa]]/result[[#This Row],[tot_mutants]]</f>
        <v>0</v>
      </c>
    </row>
    <row r="1949" spans="1:16" hidden="1" x14ac:dyDescent="0.25">
      <c r="A1949" t="s">
        <v>271</v>
      </c>
      <c r="B1949" t="s">
        <v>51</v>
      </c>
      <c r="C1949" t="s">
        <v>16</v>
      </c>
      <c r="D1949">
        <v>16235</v>
      </c>
      <c r="E1949">
        <v>16199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11</v>
      </c>
      <c r="M1949">
        <v>0</v>
      </c>
      <c r="N1949" t="s">
        <v>17</v>
      </c>
      <c r="O1949" s="1">
        <f>result[[#This Row],[n_killed_mutants_cumulativa]]/result[[#This Row],[tot_mutants]]</f>
        <v>0</v>
      </c>
    </row>
    <row r="1950" spans="1:16" hidden="1" x14ac:dyDescent="0.25">
      <c r="A1950" t="s">
        <v>271</v>
      </c>
      <c r="B1950" t="s">
        <v>52</v>
      </c>
      <c r="C1950" t="s">
        <v>16</v>
      </c>
      <c r="D1950">
        <v>17135</v>
      </c>
      <c r="E1950">
        <v>17099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11</v>
      </c>
      <c r="M1950">
        <v>0</v>
      </c>
      <c r="N1950" t="s">
        <v>17</v>
      </c>
      <c r="O1950" s="1">
        <f>result[[#This Row],[n_killed_mutants_cumulativa]]/result[[#This Row],[tot_mutants]]</f>
        <v>0</v>
      </c>
    </row>
    <row r="1951" spans="1:16" hidden="1" x14ac:dyDescent="0.25">
      <c r="A1951" t="s">
        <v>271</v>
      </c>
      <c r="B1951" t="s">
        <v>53</v>
      </c>
      <c r="C1951" t="s">
        <v>16</v>
      </c>
      <c r="D1951">
        <v>17982</v>
      </c>
      <c r="E1951">
        <v>17947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11</v>
      </c>
      <c r="M1951">
        <v>0</v>
      </c>
      <c r="N1951" t="s">
        <v>17</v>
      </c>
      <c r="O1951" s="1">
        <f>result[[#This Row],[n_killed_mutants_cumulativa]]/result[[#This Row],[tot_mutants]]</f>
        <v>0</v>
      </c>
    </row>
    <row r="1952" spans="1:16" hidden="1" x14ac:dyDescent="0.25">
      <c r="A1952" t="s">
        <v>271</v>
      </c>
      <c r="B1952" t="s">
        <v>22</v>
      </c>
      <c r="C1952" t="s">
        <v>16</v>
      </c>
      <c r="D1952">
        <v>318234</v>
      </c>
      <c r="E1952">
        <v>180119</v>
      </c>
      <c r="F1952">
        <v>60</v>
      </c>
      <c r="G1952">
        <v>1400</v>
      </c>
      <c r="H1952">
        <v>10120</v>
      </c>
      <c r="I1952">
        <v>1400</v>
      </c>
      <c r="J1952">
        <v>0</v>
      </c>
      <c r="K1952">
        <v>220</v>
      </c>
      <c r="L1952">
        <v>11</v>
      </c>
      <c r="M1952">
        <v>0</v>
      </c>
      <c r="N1952" t="s">
        <v>17</v>
      </c>
      <c r="O1952" s="1">
        <f>result[[#This Row],[n_killed_mutants_cumulativa]]/result[[#This Row],[tot_mutants]]</f>
        <v>0</v>
      </c>
      <c r="P1952" s="9" t="s">
        <v>346</v>
      </c>
    </row>
    <row r="1953" spans="1:16" hidden="1" x14ac:dyDescent="0.25">
      <c r="A1953" t="s">
        <v>272</v>
      </c>
      <c r="B1953" t="s">
        <v>15</v>
      </c>
      <c r="C1953" t="s">
        <v>16</v>
      </c>
      <c r="D1953">
        <v>30288</v>
      </c>
      <c r="E1953">
        <v>109</v>
      </c>
      <c r="F1953">
        <v>10</v>
      </c>
      <c r="G1953">
        <v>100</v>
      </c>
      <c r="H1953">
        <v>100</v>
      </c>
      <c r="I1953">
        <v>210</v>
      </c>
      <c r="J1953">
        <v>0</v>
      </c>
      <c r="K1953">
        <v>0</v>
      </c>
      <c r="L1953">
        <v>99</v>
      </c>
      <c r="M1953">
        <v>1</v>
      </c>
      <c r="N1953" t="s">
        <v>350</v>
      </c>
      <c r="O1953" s="1">
        <f>result[[#This Row],[n_killed_mutants_cumulativa]]/result[[#This Row],[tot_mutants]]</f>
        <v>1.0101010101010102E-2</v>
      </c>
    </row>
    <row r="1954" spans="1:16" hidden="1" x14ac:dyDescent="0.25">
      <c r="A1954" t="s">
        <v>272</v>
      </c>
      <c r="B1954" t="s">
        <v>18</v>
      </c>
      <c r="C1954" t="s">
        <v>16</v>
      </c>
      <c r="D1954">
        <v>59427</v>
      </c>
      <c r="E1954">
        <v>51</v>
      </c>
      <c r="F1954">
        <v>20</v>
      </c>
      <c r="G1954">
        <v>400</v>
      </c>
      <c r="H1954">
        <v>403</v>
      </c>
      <c r="I1954">
        <v>820</v>
      </c>
      <c r="J1954">
        <v>0</v>
      </c>
      <c r="K1954">
        <v>0</v>
      </c>
      <c r="L1954">
        <v>99</v>
      </c>
      <c r="M1954">
        <v>1</v>
      </c>
      <c r="N1954" t="s">
        <v>350</v>
      </c>
      <c r="O1954" s="1">
        <f>result[[#This Row],[n_killed_mutants_cumulativa]]/result[[#This Row],[tot_mutants]]</f>
        <v>1.0101010101010102E-2</v>
      </c>
    </row>
    <row r="1955" spans="1:16" hidden="1" x14ac:dyDescent="0.25">
      <c r="A1955" t="s">
        <v>272</v>
      </c>
      <c r="B1955" t="s">
        <v>19</v>
      </c>
      <c r="C1955" t="s">
        <v>16</v>
      </c>
      <c r="D1955">
        <v>102752</v>
      </c>
      <c r="E1955">
        <v>75</v>
      </c>
      <c r="F1955">
        <v>30</v>
      </c>
      <c r="G1955">
        <v>900</v>
      </c>
      <c r="H1955">
        <v>905</v>
      </c>
      <c r="I1955">
        <v>1830</v>
      </c>
      <c r="J1955">
        <v>0</v>
      </c>
      <c r="K1955">
        <v>0</v>
      </c>
      <c r="L1955">
        <v>99</v>
      </c>
      <c r="M1955">
        <v>1</v>
      </c>
      <c r="N1955" t="s">
        <v>350</v>
      </c>
      <c r="O1955" s="1">
        <f>result[[#This Row],[n_killed_mutants_cumulativa]]/result[[#This Row],[tot_mutants]]</f>
        <v>1.0101010101010102E-2</v>
      </c>
    </row>
    <row r="1956" spans="1:16" hidden="1" x14ac:dyDescent="0.25">
      <c r="A1956" t="s">
        <v>272</v>
      </c>
      <c r="B1956" t="s">
        <v>20</v>
      </c>
      <c r="C1956" t="s">
        <v>16</v>
      </c>
      <c r="D1956">
        <v>155413</v>
      </c>
      <c r="E1956">
        <v>124</v>
      </c>
      <c r="F1956">
        <v>40</v>
      </c>
      <c r="G1956">
        <v>1600</v>
      </c>
      <c r="H1956">
        <v>1605</v>
      </c>
      <c r="I1956">
        <v>3240</v>
      </c>
      <c r="J1956">
        <v>0</v>
      </c>
      <c r="K1956">
        <v>0</v>
      </c>
      <c r="L1956">
        <v>99</v>
      </c>
      <c r="M1956">
        <v>1</v>
      </c>
      <c r="N1956" t="s">
        <v>350</v>
      </c>
      <c r="O1956" s="1">
        <f>result[[#This Row],[n_killed_mutants_cumulativa]]/result[[#This Row],[tot_mutants]]</f>
        <v>1.0101010101010102E-2</v>
      </c>
    </row>
    <row r="1957" spans="1:16" hidden="1" x14ac:dyDescent="0.25">
      <c r="A1957" t="s">
        <v>272</v>
      </c>
      <c r="B1957" t="s">
        <v>21</v>
      </c>
      <c r="C1957" t="s">
        <v>16</v>
      </c>
      <c r="D1957">
        <v>219288</v>
      </c>
      <c r="E1957">
        <v>242</v>
      </c>
      <c r="F1957">
        <v>50</v>
      </c>
      <c r="G1957">
        <v>2500</v>
      </c>
      <c r="H1957">
        <v>2508</v>
      </c>
      <c r="I1957">
        <v>5050</v>
      </c>
      <c r="J1957">
        <v>0</v>
      </c>
      <c r="K1957">
        <v>0</v>
      </c>
      <c r="L1957">
        <v>99</v>
      </c>
      <c r="M1957">
        <v>1</v>
      </c>
      <c r="N1957" t="s">
        <v>350</v>
      </c>
      <c r="O1957" s="1">
        <f>result[[#This Row],[n_killed_mutants_cumulativa]]/result[[#This Row],[tot_mutants]]</f>
        <v>1.0101010101010102E-2</v>
      </c>
    </row>
    <row r="1958" spans="1:16" hidden="1" x14ac:dyDescent="0.25">
      <c r="A1958" t="s">
        <v>272</v>
      </c>
      <c r="B1958" t="s">
        <v>24</v>
      </c>
      <c r="C1958" t="s">
        <v>16</v>
      </c>
      <c r="D1958">
        <v>301453</v>
      </c>
      <c r="E1958">
        <v>228</v>
      </c>
      <c r="F1958">
        <v>60</v>
      </c>
      <c r="G1958">
        <v>3600</v>
      </c>
      <c r="H1958">
        <v>3616</v>
      </c>
      <c r="I1958">
        <v>7260</v>
      </c>
      <c r="J1958">
        <v>0</v>
      </c>
      <c r="K1958">
        <v>0</v>
      </c>
      <c r="L1958">
        <v>99</v>
      </c>
      <c r="M1958">
        <v>1</v>
      </c>
      <c r="N1958" t="s">
        <v>350</v>
      </c>
      <c r="O1958" s="1">
        <f>result[[#This Row],[n_killed_mutants_cumulativa]]/result[[#This Row],[tot_mutants]]</f>
        <v>1.0101010101010102E-2</v>
      </c>
    </row>
    <row r="1959" spans="1:16" x14ac:dyDescent="0.25">
      <c r="A1959" t="s">
        <v>272</v>
      </c>
      <c r="B1959" t="s">
        <v>22</v>
      </c>
      <c r="C1959" t="s">
        <v>16</v>
      </c>
      <c r="D1959">
        <v>868621</v>
      </c>
      <c r="E1959">
        <v>829</v>
      </c>
      <c r="F1959">
        <v>210</v>
      </c>
      <c r="G1959">
        <v>9100</v>
      </c>
      <c r="H1959">
        <v>9137</v>
      </c>
      <c r="I1959">
        <v>18410</v>
      </c>
      <c r="J1959">
        <v>0</v>
      </c>
      <c r="K1959">
        <v>0</v>
      </c>
      <c r="L1959">
        <v>99</v>
      </c>
      <c r="M1959">
        <v>1</v>
      </c>
      <c r="N1959" t="s">
        <v>350</v>
      </c>
      <c r="O1959" s="1">
        <f>result[[#This Row],[n_killed_mutants_cumulativa]]/result[[#This Row],[tot_mutants]]</f>
        <v>1.0101010101010102E-2</v>
      </c>
      <c r="P1959" s="9" t="s">
        <v>359</v>
      </c>
    </row>
    <row r="1960" spans="1:16" hidden="1" x14ac:dyDescent="0.25">
      <c r="A1960" t="s">
        <v>273</v>
      </c>
      <c r="B1960" t="s">
        <v>15</v>
      </c>
      <c r="C1960" t="s">
        <v>16</v>
      </c>
      <c r="D1960">
        <v>169</v>
      </c>
      <c r="E1960">
        <v>73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3</v>
      </c>
      <c r="M1960">
        <v>0</v>
      </c>
      <c r="N1960" t="s">
        <v>17</v>
      </c>
      <c r="O1960" s="1">
        <f>result[[#This Row],[n_killed_mutants_cumulativa]]/result[[#This Row],[tot_mutants]]</f>
        <v>0</v>
      </c>
    </row>
    <row r="1961" spans="1:16" hidden="1" x14ac:dyDescent="0.25">
      <c r="A1961" t="s">
        <v>273</v>
      </c>
      <c r="B1961" t="s">
        <v>18</v>
      </c>
      <c r="C1961" t="s">
        <v>16</v>
      </c>
      <c r="D1961">
        <v>80</v>
      </c>
      <c r="E1961">
        <v>62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3</v>
      </c>
      <c r="M1961">
        <v>0</v>
      </c>
      <c r="N1961" t="s">
        <v>17</v>
      </c>
      <c r="O1961" s="1">
        <f>result[[#This Row],[n_killed_mutants_cumulativa]]/result[[#This Row],[tot_mutants]]</f>
        <v>0</v>
      </c>
    </row>
    <row r="1962" spans="1:16" hidden="1" x14ac:dyDescent="0.25">
      <c r="A1962" t="s">
        <v>273</v>
      </c>
      <c r="B1962" t="s">
        <v>19</v>
      </c>
      <c r="C1962" t="s">
        <v>16</v>
      </c>
      <c r="D1962">
        <v>99</v>
      </c>
      <c r="E1962">
        <v>79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3</v>
      </c>
      <c r="M1962">
        <v>0</v>
      </c>
      <c r="N1962" t="s">
        <v>17</v>
      </c>
      <c r="O1962" s="1">
        <f>result[[#This Row],[n_killed_mutants_cumulativa]]/result[[#This Row],[tot_mutants]]</f>
        <v>0</v>
      </c>
    </row>
    <row r="1963" spans="1:16" hidden="1" x14ac:dyDescent="0.25">
      <c r="A1963" t="s">
        <v>273</v>
      </c>
      <c r="B1963" t="s">
        <v>20</v>
      </c>
      <c r="C1963" t="s">
        <v>16</v>
      </c>
      <c r="D1963">
        <v>99</v>
      </c>
      <c r="E1963">
        <v>81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3</v>
      </c>
      <c r="M1963">
        <v>0</v>
      </c>
      <c r="N1963" t="s">
        <v>17</v>
      </c>
      <c r="O1963" s="1">
        <f>result[[#This Row],[n_killed_mutants_cumulativa]]/result[[#This Row],[tot_mutants]]</f>
        <v>0</v>
      </c>
    </row>
    <row r="1964" spans="1:16" hidden="1" x14ac:dyDescent="0.25">
      <c r="A1964" t="s">
        <v>273</v>
      </c>
      <c r="B1964" t="s">
        <v>21</v>
      </c>
      <c r="C1964" t="s">
        <v>16</v>
      </c>
      <c r="D1964">
        <v>102</v>
      </c>
      <c r="E1964">
        <v>83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3</v>
      </c>
      <c r="M1964">
        <v>0</v>
      </c>
      <c r="N1964" t="s">
        <v>17</v>
      </c>
      <c r="O1964" s="1">
        <f>result[[#This Row],[n_killed_mutants_cumulativa]]/result[[#This Row],[tot_mutants]]</f>
        <v>0</v>
      </c>
    </row>
    <row r="1965" spans="1:16" hidden="1" x14ac:dyDescent="0.25">
      <c r="A1965" t="s">
        <v>273</v>
      </c>
      <c r="B1965" t="s">
        <v>22</v>
      </c>
      <c r="C1965" t="s">
        <v>16</v>
      </c>
      <c r="D1965">
        <v>549</v>
      </c>
      <c r="E1965">
        <v>378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3</v>
      </c>
      <c r="M1965">
        <v>0</v>
      </c>
      <c r="N1965" t="s">
        <v>17</v>
      </c>
      <c r="O1965" s="1">
        <f>result[[#This Row],[n_killed_mutants_cumulativa]]/result[[#This Row],[tot_mutants]]</f>
        <v>0</v>
      </c>
    </row>
    <row r="1966" spans="1:16" hidden="1" x14ac:dyDescent="0.25">
      <c r="A1966" t="s">
        <v>274</v>
      </c>
      <c r="B1966" t="s">
        <v>15</v>
      </c>
      <c r="C1966" t="s">
        <v>16</v>
      </c>
      <c r="D1966">
        <v>4731</v>
      </c>
      <c r="E1966">
        <v>843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8</v>
      </c>
      <c r="L1966">
        <v>2</v>
      </c>
      <c r="M1966">
        <v>0</v>
      </c>
      <c r="N1966" t="s">
        <v>17</v>
      </c>
      <c r="O1966" s="1">
        <f>result[[#This Row],[n_killed_mutants_cumulativa]]/result[[#This Row],[tot_mutants]]</f>
        <v>0</v>
      </c>
    </row>
    <row r="1967" spans="1:16" hidden="1" x14ac:dyDescent="0.25">
      <c r="A1967" t="s">
        <v>274</v>
      </c>
      <c r="B1967" t="s">
        <v>18</v>
      </c>
      <c r="C1967" t="s">
        <v>16</v>
      </c>
      <c r="D1967">
        <v>5614</v>
      </c>
      <c r="E1967">
        <v>1598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16</v>
      </c>
      <c r="L1967">
        <v>2</v>
      </c>
      <c r="M1967">
        <v>0</v>
      </c>
      <c r="N1967" t="s">
        <v>17</v>
      </c>
      <c r="O1967" s="1">
        <f>result[[#This Row],[n_killed_mutants_cumulativa]]/result[[#This Row],[tot_mutants]]</f>
        <v>0</v>
      </c>
    </row>
    <row r="1968" spans="1:16" hidden="1" x14ac:dyDescent="0.25">
      <c r="A1968" t="s">
        <v>274</v>
      </c>
      <c r="B1968" t="s">
        <v>19</v>
      </c>
      <c r="C1968" t="s">
        <v>16</v>
      </c>
      <c r="D1968">
        <v>7477</v>
      </c>
      <c r="E1968">
        <v>2099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22</v>
      </c>
      <c r="L1968">
        <v>2</v>
      </c>
      <c r="M1968">
        <v>0</v>
      </c>
      <c r="N1968" t="s">
        <v>17</v>
      </c>
      <c r="O1968" s="1">
        <f>result[[#This Row],[n_killed_mutants_cumulativa]]/result[[#This Row],[tot_mutants]]</f>
        <v>0</v>
      </c>
    </row>
    <row r="1969" spans="1:16" hidden="1" x14ac:dyDescent="0.25">
      <c r="A1969" t="s">
        <v>274</v>
      </c>
      <c r="B1969" t="s">
        <v>20</v>
      </c>
      <c r="C1969" t="s">
        <v>16</v>
      </c>
      <c r="D1969">
        <v>11126</v>
      </c>
      <c r="E1969">
        <v>3813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31</v>
      </c>
      <c r="L1969">
        <v>2</v>
      </c>
      <c r="M1969">
        <v>0</v>
      </c>
      <c r="N1969" t="s">
        <v>17</v>
      </c>
      <c r="O1969" s="1">
        <f>result[[#This Row],[n_killed_mutants_cumulativa]]/result[[#This Row],[tot_mutants]]</f>
        <v>0</v>
      </c>
    </row>
    <row r="1970" spans="1:16" hidden="1" x14ac:dyDescent="0.25">
      <c r="A1970" t="s">
        <v>274</v>
      </c>
      <c r="B1970" t="s">
        <v>21</v>
      </c>
      <c r="C1970" t="s">
        <v>16</v>
      </c>
      <c r="D1970">
        <v>12504</v>
      </c>
      <c r="E1970">
        <v>5350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31</v>
      </c>
      <c r="L1970">
        <v>2</v>
      </c>
      <c r="M1970">
        <v>0</v>
      </c>
      <c r="N1970" t="s">
        <v>17</v>
      </c>
      <c r="O1970" s="1">
        <f>result[[#This Row],[n_killed_mutants_cumulativa]]/result[[#This Row],[tot_mutants]]</f>
        <v>0</v>
      </c>
    </row>
    <row r="1971" spans="1:16" hidden="1" x14ac:dyDescent="0.25">
      <c r="A1971" t="s">
        <v>274</v>
      </c>
      <c r="B1971" t="s">
        <v>22</v>
      </c>
      <c r="C1971" t="s">
        <v>16</v>
      </c>
      <c r="D1971">
        <v>41452</v>
      </c>
      <c r="E1971">
        <v>13703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108</v>
      </c>
      <c r="L1971">
        <v>2</v>
      </c>
      <c r="M1971">
        <v>0</v>
      </c>
      <c r="N1971" t="s">
        <v>17</v>
      </c>
      <c r="O1971" s="1">
        <f>result[[#This Row],[n_killed_mutants_cumulativa]]/result[[#This Row],[tot_mutants]]</f>
        <v>0</v>
      </c>
    </row>
    <row r="1972" spans="1:16" hidden="1" x14ac:dyDescent="0.25">
      <c r="A1972" t="s">
        <v>275</v>
      </c>
      <c r="B1972" t="s">
        <v>15</v>
      </c>
      <c r="C1972" t="s">
        <v>16</v>
      </c>
      <c r="D1972">
        <v>9153</v>
      </c>
      <c r="E1972">
        <v>297</v>
      </c>
      <c r="F1972">
        <v>10</v>
      </c>
      <c r="G1972">
        <v>100</v>
      </c>
      <c r="H1972">
        <v>160</v>
      </c>
      <c r="I1972">
        <v>485</v>
      </c>
      <c r="J1972">
        <v>0</v>
      </c>
      <c r="K1972">
        <v>0</v>
      </c>
      <c r="L1972">
        <v>15</v>
      </c>
      <c r="M1972">
        <v>0</v>
      </c>
      <c r="N1972" t="s">
        <v>17</v>
      </c>
      <c r="O1972" s="1">
        <f>result[[#This Row],[n_killed_mutants_cumulativa]]/result[[#This Row],[tot_mutants]]</f>
        <v>0</v>
      </c>
    </row>
    <row r="1973" spans="1:16" hidden="1" x14ac:dyDescent="0.25">
      <c r="A1973" t="s">
        <v>275</v>
      </c>
      <c r="B1973" t="s">
        <v>18</v>
      </c>
      <c r="C1973" t="s">
        <v>16</v>
      </c>
      <c r="D1973">
        <v>13517</v>
      </c>
      <c r="E1973">
        <v>303</v>
      </c>
      <c r="F1973">
        <v>20</v>
      </c>
      <c r="G1973">
        <v>400</v>
      </c>
      <c r="H1973">
        <v>630</v>
      </c>
      <c r="I1973">
        <v>1943</v>
      </c>
      <c r="J1973">
        <v>0</v>
      </c>
      <c r="K1973">
        <v>0</v>
      </c>
      <c r="L1973">
        <v>15</v>
      </c>
      <c r="M1973">
        <v>0</v>
      </c>
      <c r="N1973" t="s">
        <v>17</v>
      </c>
      <c r="O1973" s="1">
        <f>result[[#This Row],[n_killed_mutants_cumulativa]]/result[[#This Row],[tot_mutants]]</f>
        <v>0</v>
      </c>
    </row>
    <row r="1974" spans="1:16" hidden="1" x14ac:dyDescent="0.25">
      <c r="A1974" t="s">
        <v>275</v>
      </c>
      <c r="B1974" t="s">
        <v>19</v>
      </c>
      <c r="C1974" t="s">
        <v>16</v>
      </c>
      <c r="D1974">
        <v>23972</v>
      </c>
      <c r="E1974">
        <v>807</v>
      </c>
      <c r="F1974">
        <v>30</v>
      </c>
      <c r="G1974">
        <v>900</v>
      </c>
      <c r="H1974">
        <v>1352</v>
      </c>
      <c r="I1974">
        <v>4491</v>
      </c>
      <c r="J1974">
        <v>0</v>
      </c>
      <c r="K1974">
        <v>0</v>
      </c>
      <c r="L1974">
        <v>15</v>
      </c>
      <c r="M1974">
        <v>0</v>
      </c>
      <c r="N1974" t="s">
        <v>17</v>
      </c>
      <c r="O1974" s="1">
        <f>result[[#This Row],[n_killed_mutants_cumulativa]]/result[[#This Row],[tot_mutants]]</f>
        <v>0</v>
      </c>
    </row>
    <row r="1975" spans="1:16" hidden="1" x14ac:dyDescent="0.25">
      <c r="A1975" t="s">
        <v>275</v>
      </c>
      <c r="B1975" t="s">
        <v>20</v>
      </c>
      <c r="C1975" t="s">
        <v>16</v>
      </c>
      <c r="D1975">
        <v>37386</v>
      </c>
      <c r="E1975">
        <v>1828</v>
      </c>
      <c r="F1975">
        <v>40</v>
      </c>
      <c r="G1975">
        <v>1600</v>
      </c>
      <c r="H1975">
        <v>2399</v>
      </c>
      <c r="I1975">
        <v>8059</v>
      </c>
      <c r="J1975">
        <v>0</v>
      </c>
      <c r="K1975">
        <v>0</v>
      </c>
      <c r="L1975">
        <v>15</v>
      </c>
      <c r="M1975">
        <v>0</v>
      </c>
      <c r="N1975" t="s">
        <v>17</v>
      </c>
      <c r="O1975" s="1">
        <f>result[[#This Row],[n_killed_mutants_cumulativa]]/result[[#This Row],[tot_mutants]]</f>
        <v>0</v>
      </c>
    </row>
    <row r="1976" spans="1:16" hidden="1" x14ac:dyDescent="0.25">
      <c r="A1976" t="s">
        <v>275</v>
      </c>
      <c r="B1976" t="s">
        <v>21</v>
      </c>
      <c r="C1976" t="s">
        <v>16</v>
      </c>
      <c r="D1976">
        <v>56581</v>
      </c>
      <c r="E1976">
        <v>3422</v>
      </c>
      <c r="F1976">
        <v>50</v>
      </c>
      <c r="G1976">
        <v>2500</v>
      </c>
      <c r="H1976">
        <v>3749</v>
      </c>
      <c r="I1976">
        <v>12799</v>
      </c>
      <c r="J1976">
        <v>0</v>
      </c>
      <c r="K1976">
        <v>0</v>
      </c>
      <c r="L1976">
        <v>15</v>
      </c>
      <c r="M1976">
        <v>0</v>
      </c>
      <c r="N1976" t="s">
        <v>17</v>
      </c>
      <c r="O1976" s="1">
        <f>result[[#This Row],[n_killed_mutants_cumulativa]]/result[[#This Row],[tot_mutants]]</f>
        <v>0</v>
      </c>
    </row>
    <row r="1977" spans="1:16" hidden="1" x14ac:dyDescent="0.25">
      <c r="A1977" t="s">
        <v>275</v>
      </c>
      <c r="B1977" t="s">
        <v>24</v>
      </c>
      <c r="C1977" t="s">
        <v>16</v>
      </c>
      <c r="D1977">
        <v>78462</v>
      </c>
      <c r="E1977">
        <v>5841</v>
      </c>
      <c r="F1977">
        <v>60</v>
      </c>
      <c r="G1977">
        <v>3600</v>
      </c>
      <c r="H1977">
        <v>5250</v>
      </c>
      <c r="I1977">
        <v>18175</v>
      </c>
      <c r="J1977">
        <v>0</v>
      </c>
      <c r="K1977">
        <v>0</v>
      </c>
      <c r="L1977">
        <v>15</v>
      </c>
      <c r="M1977">
        <v>0</v>
      </c>
      <c r="N1977" t="s">
        <v>17</v>
      </c>
      <c r="O1977" s="1">
        <f>result[[#This Row],[n_killed_mutants_cumulativa]]/result[[#This Row],[tot_mutants]]</f>
        <v>0</v>
      </c>
    </row>
    <row r="1978" spans="1:16" hidden="1" x14ac:dyDescent="0.25">
      <c r="A1978" t="s">
        <v>275</v>
      </c>
      <c r="B1978" t="s">
        <v>25</v>
      </c>
      <c r="C1978" t="s">
        <v>16</v>
      </c>
      <c r="D1978">
        <v>107340</v>
      </c>
      <c r="E1978">
        <v>9179</v>
      </c>
      <c r="F1978">
        <v>70</v>
      </c>
      <c r="G1978">
        <v>4900</v>
      </c>
      <c r="H1978">
        <v>7070</v>
      </c>
      <c r="I1978">
        <v>25186</v>
      </c>
      <c r="J1978">
        <v>0</v>
      </c>
      <c r="K1978">
        <v>0</v>
      </c>
      <c r="L1978">
        <v>15</v>
      </c>
      <c r="M1978">
        <v>0</v>
      </c>
      <c r="N1978" t="s">
        <v>17</v>
      </c>
      <c r="O1978" s="1">
        <f>result[[#This Row],[n_killed_mutants_cumulativa]]/result[[#This Row],[tot_mutants]]</f>
        <v>0</v>
      </c>
    </row>
    <row r="1979" spans="1:16" hidden="1" x14ac:dyDescent="0.25">
      <c r="A1979" t="s">
        <v>275</v>
      </c>
      <c r="B1979" t="s">
        <v>26</v>
      </c>
      <c r="C1979" t="s">
        <v>16</v>
      </c>
      <c r="D1979">
        <v>141743</v>
      </c>
      <c r="E1979">
        <v>13752</v>
      </c>
      <c r="F1979">
        <v>80</v>
      </c>
      <c r="G1979">
        <v>6400</v>
      </c>
      <c r="H1979">
        <v>9445</v>
      </c>
      <c r="I1979">
        <v>33034</v>
      </c>
      <c r="J1979">
        <v>0</v>
      </c>
      <c r="K1979">
        <v>0</v>
      </c>
      <c r="L1979">
        <v>15</v>
      </c>
      <c r="M1979">
        <v>0</v>
      </c>
      <c r="N1979" t="s">
        <v>17</v>
      </c>
      <c r="O1979" s="1">
        <f>result[[#This Row],[n_killed_mutants_cumulativa]]/result[[#This Row],[tot_mutants]]</f>
        <v>0</v>
      </c>
    </row>
    <row r="1980" spans="1:16" hidden="1" x14ac:dyDescent="0.25">
      <c r="A1980" t="s">
        <v>275</v>
      </c>
      <c r="B1980" t="s">
        <v>27</v>
      </c>
      <c r="C1980" t="s">
        <v>16</v>
      </c>
      <c r="D1980">
        <v>181562</v>
      </c>
      <c r="E1980">
        <v>19317</v>
      </c>
      <c r="F1980">
        <v>90</v>
      </c>
      <c r="G1980">
        <v>8100</v>
      </c>
      <c r="H1980">
        <v>11756</v>
      </c>
      <c r="I1980">
        <v>41256</v>
      </c>
      <c r="J1980">
        <v>0</v>
      </c>
      <c r="K1980">
        <v>0</v>
      </c>
      <c r="L1980">
        <v>15</v>
      </c>
      <c r="M1980">
        <v>0</v>
      </c>
      <c r="N1980" t="s">
        <v>17</v>
      </c>
      <c r="O1980" s="1">
        <f>result[[#This Row],[n_killed_mutants_cumulativa]]/result[[#This Row],[tot_mutants]]</f>
        <v>0</v>
      </c>
    </row>
    <row r="1981" spans="1:16" hidden="1" x14ac:dyDescent="0.25">
      <c r="A1981" t="s">
        <v>275</v>
      </c>
      <c r="B1981" t="s">
        <v>22</v>
      </c>
      <c r="C1981" t="s">
        <v>16</v>
      </c>
      <c r="D1981">
        <v>649716</v>
      </c>
      <c r="E1981">
        <v>54746</v>
      </c>
      <c r="F1981">
        <v>450</v>
      </c>
      <c r="G1981">
        <v>28500</v>
      </c>
      <c r="H1981">
        <v>41811</v>
      </c>
      <c r="I1981">
        <v>145428</v>
      </c>
      <c r="J1981">
        <v>0</v>
      </c>
      <c r="K1981">
        <v>0</v>
      </c>
      <c r="L1981">
        <v>15</v>
      </c>
      <c r="M1981">
        <v>0</v>
      </c>
      <c r="N1981" t="s">
        <v>17</v>
      </c>
      <c r="O1981" s="1">
        <f>result[[#This Row],[n_killed_mutants_cumulativa]]/result[[#This Row],[tot_mutants]]</f>
        <v>0</v>
      </c>
      <c r="P1981" s="9" t="s">
        <v>346</v>
      </c>
    </row>
    <row r="1982" spans="1:16" hidden="1" x14ac:dyDescent="0.25">
      <c r="A1982" t="s">
        <v>276</v>
      </c>
      <c r="B1982" t="s">
        <v>15</v>
      </c>
      <c r="C1982" t="s">
        <v>16</v>
      </c>
      <c r="D1982">
        <v>271</v>
      </c>
      <c r="E1982">
        <v>164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14</v>
      </c>
      <c r="M1982">
        <v>0</v>
      </c>
      <c r="N1982" t="s">
        <v>17</v>
      </c>
      <c r="O1982" s="1">
        <f>result[[#This Row],[n_killed_mutants_cumulativa]]/result[[#This Row],[tot_mutants]]</f>
        <v>0</v>
      </c>
    </row>
    <row r="1983" spans="1:16" hidden="1" x14ac:dyDescent="0.25">
      <c r="A1983" t="s">
        <v>276</v>
      </c>
      <c r="B1983" t="s">
        <v>18</v>
      </c>
      <c r="C1983" t="s">
        <v>16</v>
      </c>
      <c r="D1983">
        <v>171</v>
      </c>
      <c r="E1983">
        <v>141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14</v>
      </c>
      <c r="M1983">
        <v>0</v>
      </c>
      <c r="N1983" t="s">
        <v>17</v>
      </c>
      <c r="O1983" s="1">
        <f>result[[#This Row],[n_killed_mutants_cumulativa]]/result[[#This Row],[tot_mutants]]</f>
        <v>0</v>
      </c>
    </row>
    <row r="1984" spans="1:16" hidden="1" x14ac:dyDescent="0.25">
      <c r="A1984" t="s">
        <v>276</v>
      </c>
      <c r="B1984" t="s">
        <v>19</v>
      </c>
      <c r="C1984" t="s">
        <v>16</v>
      </c>
      <c r="D1984">
        <v>177</v>
      </c>
      <c r="E1984">
        <v>150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14</v>
      </c>
      <c r="M1984">
        <v>0</v>
      </c>
      <c r="N1984" t="s">
        <v>17</v>
      </c>
      <c r="O1984" s="1">
        <f>result[[#This Row],[n_killed_mutants_cumulativa]]/result[[#This Row],[tot_mutants]]</f>
        <v>0</v>
      </c>
    </row>
    <row r="1985" spans="1:15" hidden="1" x14ac:dyDescent="0.25">
      <c r="A1985" t="s">
        <v>276</v>
      </c>
      <c r="B1985" t="s">
        <v>20</v>
      </c>
      <c r="C1985" t="s">
        <v>16</v>
      </c>
      <c r="D1985">
        <v>194</v>
      </c>
      <c r="E1985">
        <v>169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14</v>
      </c>
      <c r="M1985">
        <v>0</v>
      </c>
      <c r="N1985" t="s">
        <v>17</v>
      </c>
      <c r="O1985" s="1">
        <f>result[[#This Row],[n_killed_mutants_cumulativa]]/result[[#This Row],[tot_mutants]]</f>
        <v>0</v>
      </c>
    </row>
    <row r="1986" spans="1:15" hidden="1" x14ac:dyDescent="0.25">
      <c r="A1986" t="s">
        <v>276</v>
      </c>
      <c r="B1986" t="s">
        <v>21</v>
      </c>
      <c r="C1986" t="s">
        <v>16</v>
      </c>
      <c r="D1986">
        <v>204</v>
      </c>
      <c r="E1986">
        <v>179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14</v>
      </c>
      <c r="M1986">
        <v>0</v>
      </c>
      <c r="N1986" t="s">
        <v>17</v>
      </c>
      <c r="O1986" s="1">
        <f>result[[#This Row],[n_killed_mutants_cumulativa]]/result[[#This Row],[tot_mutants]]</f>
        <v>0</v>
      </c>
    </row>
    <row r="1987" spans="1:15" hidden="1" x14ac:dyDescent="0.25">
      <c r="A1987" t="s">
        <v>276</v>
      </c>
      <c r="B1987" t="s">
        <v>22</v>
      </c>
      <c r="C1987" t="s">
        <v>16</v>
      </c>
      <c r="D1987">
        <v>1017</v>
      </c>
      <c r="E1987">
        <v>803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14</v>
      </c>
      <c r="M1987">
        <v>0</v>
      </c>
      <c r="N1987" t="s">
        <v>17</v>
      </c>
      <c r="O1987" s="1">
        <f>result[[#This Row],[n_killed_mutants_cumulativa]]/result[[#This Row],[tot_mutants]]</f>
        <v>0</v>
      </c>
    </row>
    <row r="1988" spans="1:15" hidden="1" x14ac:dyDescent="0.25">
      <c r="A1988" t="s">
        <v>277</v>
      </c>
      <c r="B1988" t="s">
        <v>15</v>
      </c>
      <c r="C1988" t="s">
        <v>16</v>
      </c>
      <c r="D1988">
        <v>4325</v>
      </c>
      <c r="E1988">
        <v>272</v>
      </c>
      <c r="F1988">
        <v>10</v>
      </c>
      <c r="G1988">
        <v>100</v>
      </c>
      <c r="H1988">
        <v>65</v>
      </c>
      <c r="I1988">
        <v>256</v>
      </c>
      <c r="J1988">
        <v>0</v>
      </c>
      <c r="K1988">
        <v>0</v>
      </c>
      <c r="L1988">
        <v>6</v>
      </c>
      <c r="M1988">
        <v>1</v>
      </c>
      <c r="N1988" t="s">
        <v>80</v>
      </c>
      <c r="O1988" s="1">
        <f>result[[#This Row],[n_killed_mutants_cumulativa]]/result[[#This Row],[tot_mutants]]</f>
        <v>0.16666666666666666</v>
      </c>
    </row>
    <row r="1989" spans="1:15" hidden="1" x14ac:dyDescent="0.25">
      <c r="A1989" t="s">
        <v>277</v>
      </c>
      <c r="B1989" t="s">
        <v>18</v>
      </c>
      <c r="C1989" t="s">
        <v>16</v>
      </c>
      <c r="D1989">
        <v>4674</v>
      </c>
      <c r="E1989">
        <v>387</v>
      </c>
      <c r="F1989">
        <v>20</v>
      </c>
      <c r="G1989">
        <v>400</v>
      </c>
      <c r="H1989">
        <v>236</v>
      </c>
      <c r="I1989">
        <v>864</v>
      </c>
      <c r="J1989">
        <v>0</v>
      </c>
      <c r="K1989">
        <v>0</v>
      </c>
      <c r="L1989">
        <v>6</v>
      </c>
      <c r="M1989">
        <v>1</v>
      </c>
      <c r="N1989" t="s">
        <v>80</v>
      </c>
      <c r="O1989" s="1">
        <f>result[[#This Row],[n_killed_mutants_cumulativa]]/result[[#This Row],[tot_mutants]]</f>
        <v>0.16666666666666666</v>
      </c>
    </row>
    <row r="1990" spans="1:15" hidden="1" x14ac:dyDescent="0.25">
      <c r="A1990" t="s">
        <v>277</v>
      </c>
      <c r="B1990" t="s">
        <v>19</v>
      </c>
      <c r="C1990" t="s">
        <v>16</v>
      </c>
      <c r="D1990">
        <v>7255</v>
      </c>
      <c r="E1990">
        <v>624</v>
      </c>
      <c r="F1990">
        <v>30</v>
      </c>
      <c r="G1990">
        <v>900</v>
      </c>
      <c r="H1990">
        <v>486</v>
      </c>
      <c r="I1990">
        <v>2006</v>
      </c>
      <c r="J1990">
        <v>0</v>
      </c>
      <c r="K1990">
        <v>0</v>
      </c>
      <c r="L1990">
        <v>6</v>
      </c>
      <c r="M1990">
        <v>1</v>
      </c>
      <c r="N1990" t="s">
        <v>80</v>
      </c>
      <c r="O1990" s="1">
        <f>result[[#This Row],[n_killed_mutants_cumulativa]]/result[[#This Row],[tot_mutants]]</f>
        <v>0.16666666666666666</v>
      </c>
    </row>
    <row r="1991" spans="1:15" hidden="1" x14ac:dyDescent="0.25">
      <c r="A1991" t="s">
        <v>277</v>
      </c>
      <c r="B1991" t="s">
        <v>20</v>
      </c>
      <c r="C1991" t="s">
        <v>16</v>
      </c>
      <c r="D1991">
        <v>11049</v>
      </c>
      <c r="E1991">
        <v>1138</v>
      </c>
      <c r="F1991">
        <v>40</v>
      </c>
      <c r="G1991">
        <v>1600</v>
      </c>
      <c r="H1991">
        <v>858</v>
      </c>
      <c r="I1991">
        <v>3390</v>
      </c>
      <c r="J1991">
        <v>0</v>
      </c>
      <c r="K1991">
        <v>0</v>
      </c>
      <c r="L1991">
        <v>6</v>
      </c>
      <c r="M1991">
        <v>1</v>
      </c>
      <c r="N1991" t="s">
        <v>80</v>
      </c>
      <c r="O1991" s="1">
        <f>result[[#This Row],[n_killed_mutants_cumulativa]]/result[[#This Row],[tot_mutants]]</f>
        <v>0.16666666666666666</v>
      </c>
    </row>
    <row r="1992" spans="1:15" hidden="1" x14ac:dyDescent="0.25">
      <c r="A1992" t="s">
        <v>277</v>
      </c>
      <c r="B1992" t="s">
        <v>21</v>
      </c>
      <c r="C1992" t="s">
        <v>16</v>
      </c>
      <c r="D1992">
        <v>15861</v>
      </c>
      <c r="E1992">
        <v>2085</v>
      </c>
      <c r="F1992">
        <v>50</v>
      </c>
      <c r="G1992">
        <v>2500</v>
      </c>
      <c r="H1992">
        <v>1339</v>
      </c>
      <c r="I1992">
        <v>5250</v>
      </c>
      <c r="J1992">
        <v>0</v>
      </c>
      <c r="K1992">
        <v>0</v>
      </c>
      <c r="L1992">
        <v>6</v>
      </c>
      <c r="M1992">
        <v>1</v>
      </c>
      <c r="N1992" t="s">
        <v>80</v>
      </c>
      <c r="O1992" s="1">
        <f>result[[#This Row],[n_killed_mutants_cumulativa]]/result[[#This Row],[tot_mutants]]</f>
        <v>0.16666666666666666</v>
      </c>
    </row>
    <row r="1993" spans="1:15" hidden="1" x14ac:dyDescent="0.25">
      <c r="A1993" t="s">
        <v>277</v>
      </c>
      <c r="B1993" t="s">
        <v>24</v>
      </c>
      <c r="C1993" t="s">
        <v>16</v>
      </c>
      <c r="D1993">
        <v>22244</v>
      </c>
      <c r="E1993">
        <v>3881</v>
      </c>
      <c r="F1993">
        <v>60</v>
      </c>
      <c r="G1993">
        <v>3600</v>
      </c>
      <c r="H1993">
        <v>1896</v>
      </c>
      <c r="I1993">
        <v>7584</v>
      </c>
      <c r="J1993">
        <v>0</v>
      </c>
      <c r="K1993">
        <v>0</v>
      </c>
      <c r="L1993">
        <v>6</v>
      </c>
      <c r="M1993">
        <v>1</v>
      </c>
      <c r="N1993" t="s">
        <v>80</v>
      </c>
      <c r="O1993" s="1">
        <f>result[[#This Row],[n_killed_mutants_cumulativa]]/result[[#This Row],[tot_mutants]]</f>
        <v>0.16666666666666666</v>
      </c>
    </row>
    <row r="1994" spans="1:15" hidden="1" x14ac:dyDescent="0.25">
      <c r="A1994" t="s">
        <v>277</v>
      </c>
      <c r="B1994" t="s">
        <v>25</v>
      </c>
      <c r="C1994" t="s">
        <v>16</v>
      </c>
      <c r="D1994">
        <v>29246</v>
      </c>
      <c r="E1994">
        <v>5405</v>
      </c>
      <c r="F1994">
        <v>70</v>
      </c>
      <c r="G1994">
        <v>4900</v>
      </c>
      <c r="H1994">
        <v>2572</v>
      </c>
      <c r="I1994">
        <v>10024</v>
      </c>
      <c r="J1994">
        <v>0</v>
      </c>
      <c r="K1994">
        <v>0</v>
      </c>
      <c r="L1994">
        <v>6</v>
      </c>
      <c r="M1994">
        <v>1</v>
      </c>
      <c r="N1994" t="s">
        <v>80</v>
      </c>
      <c r="O1994" s="1">
        <f>result[[#This Row],[n_killed_mutants_cumulativa]]/result[[#This Row],[tot_mutants]]</f>
        <v>0.16666666666666666</v>
      </c>
    </row>
    <row r="1995" spans="1:15" hidden="1" x14ac:dyDescent="0.25">
      <c r="A1995" t="s">
        <v>277</v>
      </c>
      <c r="B1995" t="s">
        <v>26</v>
      </c>
      <c r="C1995" t="s">
        <v>16</v>
      </c>
      <c r="D1995">
        <v>38740</v>
      </c>
      <c r="E1995">
        <v>7942</v>
      </c>
      <c r="F1995">
        <v>80</v>
      </c>
      <c r="G1995">
        <v>6400</v>
      </c>
      <c r="H1995">
        <v>3285</v>
      </c>
      <c r="I1995">
        <v>13320</v>
      </c>
      <c r="J1995">
        <v>0</v>
      </c>
      <c r="K1995">
        <v>0</v>
      </c>
      <c r="L1995">
        <v>6</v>
      </c>
      <c r="M1995">
        <v>1</v>
      </c>
      <c r="N1995" t="s">
        <v>80</v>
      </c>
      <c r="O1995" s="1">
        <f>result[[#This Row],[n_killed_mutants_cumulativa]]/result[[#This Row],[tot_mutants]]</f>
        <v>0.16666666666666666</v>
      </c>
    </row>
    <row r="1996" spans="1:15" hidden="1" x14ac:dyDescent="0.25">
      <c r="A1996" t="s">
        <v>277</v>
      </c>
      <c r="B1996" t="s">
        <v>27</v>
      </c>
      <c r="C1996" t="s">
        <v>16</v>
      </c>
      <c r="D1996">
        <v>49236</v>
      </c>
      <c r="E1996">
        <v>11118</v>
      </c>
      <c r="F1996">
        <v>90</v>
      </c>
      <c r="G1996">
        <v>8100</v>
      </c>
      <c r="H1996">
        <v>4133</v>
      </c>
      <c r="I1996">
        <v>16644</v>
      </c>
      <c r="J1996">
        <v>0</v>
      </c>
      <c r="K1996">
        <v>0</v>
      </c>
      <c r="L1996">
        <v>6</v>
      </c>
      <c r="M1996">
        <v>1</v>
      </c>
      <c r="N1996" t="s">
        <v>80</v>
      </c>
      <c r="O1996" s="1">
        <f>result[[#This Row],[n_killed_mutants_cumulativa]]/result[[#This Row],[tot_mutants]]</f>
        <v>0.16666666666666666</v>
      </c>
    </row>
    <row r="1997" spans="1:15" hidden="1" x14ac:dyDescent="0.25">
      <c r="A1997" t="s">
        <v>277</v>
      </c>
      <c r="B1997" t="s">
        <v>30</v>
      </c>
      <c r="C1997" t="s">
        <v>16</v>
      </c>
      <c r="D1997">
        <v>62134</v>
      </c>
      <c r="E1997">
        <v>15177</v>
      </c>
      <c r="F1997">
        <v>100</v>
      </c>
      <c r="G1997">
        <v>10000</v>
      </c>
      <c r="H1997">
        <v>5133</v>
      </c>
      <c r="I1997">
        <v>20532</v>
      </c>
      <c r="J1997">
        <v>0</v>
      </c>
      <c r="K1997">
        <v>0</v>
      </c>
      <c r="L1997">
        <v>6</v>
      </c>
      <c r="M1997">
        <v>1</v>
      </c>
      <c r="N1997" t="s">
        <v>80</v>
      </c>
      <c r="O1997" s="1">
        <f>result[[#This Row],[n_killed_mutants_cumulativa]]/result[[#This Row],[tot_mutants]]</f>
        <v>0.16666666666666666</v>
      </c>
    </row>
    <row r="1998" spans="1:15" hidden="1" x14ac:dyDescent="0.25">
      <c r="A1998" t="s">
        <v>277</v>
      </c>
      <c r="B1998" t="s">
        <v>31</v>
      </c>
      <c r="C1998" t="s">
        <v>16</v>
      </c>
      <c r="D1998">
        <v>77693</v>
      </c>
      <c r="E1998">
        <v>19853</v>
      </c>
      <c r="F1998">
        <v>110</v>
      </c>
      <c r="G1998">
        <v>12100</v>
      </c>
      <c r="H1998">
        <v>6231</v>
      </c>
      <c r="I1998">
        <v>24688</v>
      </c>
      <c r="J1998">
        <v>0</v>
      </c>
      <c r="K1998">
        <v>0</v>
      </c>
      <c r="L1998">
        <v>6</v>
      </c>
      <c r="M1998">
        <v>1</v>
      </c>
      <c r="N1998" t="s">
        <v>80</v>
      </c>
      <c r="O1998" s="1">
        <f>result[[#This Row],[n_killed_mutants_cumulativa]]/result[[#This Row],[tot_mutants]]</f>
        <v>0.16666666666666666</v>
      </c>
    </row>
    <row r="1999" spans="1:15" hidden="1" x14ac:dyDescent="0.25">
      <c r="A1999" t="s">
        <v>277</v>
      </c>
      <c r="B1999" t="s">
        <v>36</v>
      </c>
      <c r="C1999" t="s">
        <v>16</v>
      </c>
      <c r="D1999">
        <v>94021</v>
      </c>
      <c r="E1999">
        <v>25553</v>
      </c>
      <c r="F1999">
        <v>120</v>
      </c>
      <c r="G1999">
        <v>14400</v>
      </c>
      <c r="H1999">
        <v>7319</v>
      </c>
      <c r="I1999">
        <v>29234</v>
      </c>
      <c r="J1999">
        <v>0</v>
      </c>
      <c r="K1999">
        <v>0</v>
      </c>
      <c r="L1999">
        <v>6</v>
      </c>
      <c r="M1999">
        <v>1</v>
      </c>
      <c r="N1999" t="s">
        <v>80</v>
      </c>
      <c r="O1999" s="1">
        <f>result[[#This Row],[n_killed_mutants_cumulativa]]/result[[#This Row],[tot_mutants]]</f>
        <v>0.16666666666666666</v>
      </c>
    </row>
    <row r="2000" spans="1:15" hidden="1" x14ac:dyDescent="0.25">
      <c r="A2000" t="s">
        <v>277</v>
      </c>
      <c r="B2000" t="s">
        <v>40</v>
      </c>
      <c r="C2000" t="s">
        <v>16</v>
      </c>
      <c r="D2000">
        <v>114230</v>
      </c>
      <c r="E2000">
        <v>32462</v>
      </c>
      <c r="F2000">
        <v>130</v>
      </c>
      <c r="G2000">
        <v>16900</v>
      </c>
      <c r="H2000">
        <v>8631</v>
      </c>
      <c r="I2000">
        <v>34366</v>
      </c>
      <c r="J2000">
        <v>0</v>
      </c>
      <c r="K2000">
        <v>0</v>
      </c>
      <c r="L2000">
        <v>6</v>
      </c>
      <c r="M2000">
        <v>1</v>
      </c>
      <c r="N2000" t="s">
        <v>80</v>
      </c>
      <c r="O2000" s="1">
        <f>result[[#This Row],[n_killed_mutants_cumulativa]]/result[[#This Row],[tot_mutants]]</f>
        <v>0.16666666666666666</v>
      </c>
    </row>
    <row r="2001" spans="1:16" hidden="1" x14ac:dyDescent="0.25">
      <c r="A2001" t="s">
        <v>277</v>
      </c>
      <c r="B2001" t="s">
        <v>47</v>
      </c>
      <c r="C2001" t="s">
        <v>16</v>
      </c>
      <c r="D2001">
        <v>143239</v>
      </c>
      <c r="E2001">
        <v>41261</v>
      </c>
      <c r="F2001">
        <v>140</v>
      </c>
      <c r="G2001">
        <v>19600</v>
      </c>
      <c r="H2001">
        <v>9963</v>
      </c>
      <c r="I2001">
        <v>40030</v>
      </c>
      <c r="J2001">
        <v>0</v>
      </c>
      <c r="K2001">
        <v>0</v>
      </c>
      <c r="L2001">
        <v>6</v>
      </c>
      <c r="M2001">
        <v>1</v>
      </c>
      <c r="N2001" t="s">
        <v>80</v>
      </c>
      <c r="O2001" s="1">
        <f>result[[#This Row],[n_killed_mutants_cumulativa]]/result[[#This Row],[tot_mutants]]</f>
        <v>0.16666666666666666</v>
      </c>
    </row>
    <row r="2002" spans="1:16" x14ac:dyDescent="0.25">
      <c r="A2002" t="s">
        <v>277</v>
      </c>
      <c r="B2002" t="s">
        <v>22</v>
      </c>
      <c r="C2002" t="s">
        <v>16</v>
      </c>
      <c r="D2002">
        <v>673947</v>
      </c>
      <c r="E2002">
        <v>167158</v>
      </c>
      <c r="F2002">
        <v>1050</v>
      </c>
      <c r="G2002">
        <v>101500</v>
      </c>
      <c r="H2002">
        <v>52147</v>
      </c>
      <c r="I2002">
        <v>208188</v>
      </c>
      <c r="J2002">
        <v>0</v>
      </c>
      <c r="K2002">
        <v>0</v>
      </c>
      <c r="L2002">
        <v>6</v>
      </c>
      <c r="M2002">
        <v>1</v>
      </c>
      <c r="N2002" t="s">
        <v>80</v>
      </c>
      <c r="O2002" s="1">
        <f>result[[#This Row],[n_killed_mutants_cumulativa]]/result[[#This Row],[tot_mutants]]</f>
        <v>0.16666666666666666</v>
      </c>
      <c r="P2002" s="9" t="s">
        <v>359</v>
      </c>
    </row>
    <row r="2003" spans="1:16" hidden="1" x14ac:dyDescent="0.25">
      <c r="A2003" t="s">
        <v>278</v>
      </c>
      <c r="B2003" t="s">
        <v>15</v>
      </c>
      <c r="C2003" t="s">
        <v>16</v>
      </c>
      <c r="D2003">
        <v>11881</v>
      </c>
      <c r="E2003">
        <v>349</v>
      </c>
      <c r="F2003">
        <v>10</v>
      </c>
      <c r="G2003">
        <v>100</v>
      </c>
      <c r="H2003">
        <v>100</v>
      </c>
      <c r="I2003">
        <v>197</v>
      </c>
      <c r="J2003">
        <v>0</v>
      </c>
      <c r="K2003">
        <v>0</v>
      </c>
      <c r="L2003">
        <v>27</v>
      </c>
      <c r="M2003">
        <v>1</v>
      </c>
      <c r="N2003" t="s">
        <v>184</v>
      </c>
      <c r="O2003" s="1">
        <f>result[[#This Row],[n_killed_mutants_cumulativa]]/result[[#This Row],[tot_mutants]]</f>
        <v>3.7037037037037035E-2</v>
      </c>
    </row>
    <row r="2004" spans="1:16" hidden="1" x14ac:dyDescent="0.25">
      <c r="A2004" t="s">
        <v>278</v>
      </c>
      <c r="B2004" t="s">
        <v>18</v>
      </c>
      <c r="C2004" t="s">
        <v>16</v>
      </c>
      <c r="D2004">
        <v>18371</v>
      </c>
      <c r="E2004">
        <v>127</v>
      </c>
      <c r="F2004">
        <v>20</v>
      </c>
      <c r="G2004">
        <v>400</v>
      </c>
      <c r="H2004">
        <v>400</v>
      </c>
      <c r="I2004">
        <v>804</v>
      </c>
      <c r="J2004">
        <v>0</v>
      </c>
      <c r="K2004">
        <v>0</v>
      </c>
      <c r="L2004">
        <v>27</v>
      </c>
      <c r="M2004">
        <v>1</v>
      </c>
      <c r="N2004" t="s">
        <v>184</v>
      </c>
      <c r="O2004" s="1">
        <f>result[[#This Row],[n_killed_mutants_cumulativa]]/result[[#This Row],[tot_mutants]]</f>
        <v>3.7037037037037035E-2</v>
      </c>
    </row>
    <row r="2005" spans="1:16" hidden="1" x14ac:dyDescent="0.25">
      <c r="A2005" t="s">
        <v>278</v>
      </c>
      <c r="B2005" t="s">
        <v>19</v>
      </c>
      <c r="C2005" t="s">
        <v>16</v>
      </c>
      <c r="D2005">
        <v>31885</v>
      </c>
      <c r="E2005">
        <v>250</v>
      </c>
      <c r="F2005">
        <v>30</v>
      </c>
      <c r="G2005">
        <v>900</v>
      </c>
      <c r="H2005">
        <v>900</v>
      </c>
      <c r="I2005">
        <v>1796</v>
      </c>
      <c r="J2005">
        <v>0</v>
      </c>
      <c r="K2005">
        <v>0</v>
      </c>
      <c r="L2005">
        <v>27</v>
      </c>
      <c r="M2005">
        <v>1</v>
      </c>
      <c r="N2005" t="s">
        <v>184</v>
      </c>
      <c r="O2005" s="1">
        <f>result[[#This Row],[n_killed_mutants_cumulativa]]/result[[#This Row],[tot_mutants]]</f>
        <v>3.7037037037037035E-2</v>
      </c>
    </row>
    <row r="2006" spans="1:16" hidden="1" x14ac:dyDescent="0.25">
      <c r="A2006" t="s">
        <v>278</v>
      </c>
      <c r="B2006" t="s">
        <v>20</v>
      </c>
      <c r="C2006" t="s">
        <v>16</v>
      </c>
      <c r="D2006">
        <v>49503</v>
      </c>
      <c r="E2006">
        <v>438</v>
      </c>
      <c r="F2006">
        <v>40</v>
      </c>
      <c r="G2006">
        <v>1600</v>
      </c>
      <c r="H2006">
        <v>1600</v>
      </c>
      <c r="I2006">
        <v>3209</v>
      </c>
      <c r="J2006">
        <v>0</v>
      </c>
      <c r="K2006">
        <v>0</v>
      </c>
      <c r="L2006">
        <v>27</v>
      </c>
      <c r="M2006">
        <v>1</v>
      </c>
      <c r="N2006" t="s">
        <v>184</v>
      </c>
      <c r="O2006" s="1">
        <f>result[[#This Row],[n_killed_mutants_cumulativa]]/result[[#This Row],[tot_mutants]]</f>
        <v>3.7037037037037035E-2</v>
      </c>
    </row>
    <row r="2007" spans="1:16" hidden="1" x14ac:dyDescent="0.25">
      <c r="A2007" t="s">
        <v>278</v>
      </c>
      <c r="B2007" t="s">
        <v>21</v>
      </c>
      <c r="C2007" t="s">
        <v>16</v>
      </c>
      <c r="D2007">
        <v>71328</v>
      </c>
      <c r="E2007">
        <v>654</v>
      </c>
      <c r="F2007">
        <v>50</v>
      </c>
      <c r="G2007">
        <v>2500</v>
      </c>
      <c r="H2007">
        <v>2500</v>
      </c>
      <c r="I2007">
        <v>4975</v>
      </c>
      <c r="J2007">
        <v>0</v>
      </c>
      <c r="K2007">
        <v>0</v>
      </c>
      <c r="L2007">
        <v>27</v>
      </c>
      <c r="M2007">
        <v>1</v>
      </c>
      <c r="N2007" t="s">
        <v>184</v>
      </c>
      <c r="O2007" s="1">
        <f>result[[#This Row],[n_killed_mutants_cumulativa]]/result[[#This Row],[tot_mutants]]</f>
        <v>3.7037037037037035E-2</v>
      </c>
    </row>
    <row r="2008" spans="1:16" hidden="1" x14ac:dyDescent="0.25">
      <c r="A2008" t="s">
        <v>278</v>
      </c>
      <c r="B2008" t="s">
        <v>24</v>
      </c>
      <c r="C2008" t="s">
        <v>16</v>
      </c>
      <c r="D2008">
        <v>99665</v>
      </c>
      <c r="E2008">
        <v>911</v>
      </c>
      <c r="F2008">
        <v>60</v>
      </c>
      <c r="G2008">
        <v>3600</v>
      </c>
      <c r="H2008">
        <v>3600</v>
      </c>
      <c r="I2008">
        <v>7201</v>
      </c>
      <c r="J2008">
        <v>0</v>
      </c>
      <c r="K2008">
        <v>0</v>
      </c>
      <c r="L2008">
        <v>27</v>
      </c>
      <c r="M2008">
        <v>1</v>
      </c>
      <c r="N2008" t="s">
        <v>184</v>
      </c>
      <c r="O2008" s="1">
        <f>result[[#This Row],[n_killed_mutants_cumulativa]]/result[[#This Row],[tot_mutants]]</f>
        <v>3.7037037037037035E-2</v>
      </c>
    </row>
    <row r="2009" spans="1:16" hidden="1" x14ac:dyDescent="0.25">
      <c r="A2009" t="s">
        <v>278</v>
      </c>
      <c r="B2009" t="s">
        <v>25</v>
      </c>
      <c r="C2009" t="s">
        <v>16</v>
      </c>
      <c r="D2009">
        <v>130920</v>
      </c>
      <c r="E2009">
        <v>1254</v>
      </c>
      <c r="F2009">
        <v>70</v>
      </c>
      <c r="G2009">
        <v>4900</v>
      </c>
      <c r="H2009">
        <v>4900</v>
      </c>
      <c r="I2009">
        <v>9795</v>
      </c>
      <c r="J2009">
        <v>0</v>
      </c>
      <c r="K2009">
        <v>0</v>
      </c>
      <c r="L2009">
        <v>27</v>
      </c>
      <c r="M2009">
        <v>1</v>
      </c>
      <c r="N2009" t="s">
        <v>184</v>
      </c>
      <c r="O2009" s="1">
        <f>result[[#This Row],[n_killed_mutants_cumulativa]]/result[[#This Row],[tot_mutants]]</f>
        <v>3.7037037037037035E-2</v>
      </c>
    </row>
    <row r="2010" spans="1:16" hidden="1" x14ac:dyDescent="0.25">
      <c r="A2010" t="s">
        <v>278</v>
      </c>
      <c r="B2010" t="s">
        <v>26</v>
      </c>
      <c r="C2010" t="s">
        <v>16</v>
      </c>
      <c r="D2010">
        <v>167292</v>
      </c>
      <c r="E2010">
        <v>1618</v>
      </c>
      <c r="F2010">
        <v>80</v>
      </c>
      <c r="G2010">
        <v>6400</v>
      </c>
      <c r="H2010">
        <v>6400</v>
      </c>
      <c r="I2010">
        <v>12782</v>
      </c>
      <c r="J2010">
        <v>0</v>
      </c>
      <c r="K2010">
        <v>0</v>
      </c>
      <c r="L2010">
        <v>27</v>
      </c>
      <c r="M2010">
        <v>1</v>
      </c>
      <c r="N2010" t="s">
        <v>184</v>
      </c>
      <c r="O2010" s="1">
        <f>result[[#This Row],[n_killed_mutants_cumulativa]]/result[[#This Row],[tot_mutants]]</f>
        <v>3.7037037037037035E-2</v>
      </c>
    </row>
    <row r="2011" spans="1:16" hidden="1" x14ac:dyDescent="0.25">
      <c r="A2011" t="s">
        <v>278</v>
      </c>
      <c r="B2011" t="s">
        <v>27</v>
      </c>
      <c r="C2011" t="s">
        <v>16</v>
      </c>
      <c r="D2011">
        <v>210244</v>
      </c>
      <c r="E2011">
        <v>2043</v>
      </c>
      <c r="F2011">
        <v>90</v>
      </c>
      <c r="G2011">
        <v>8100</v>
      </c>
      <c r="H2011">
        <v>8100</v>
      </c>
      <c r="I2011">
        <v>16203</v>
      </c>
      <c r="J2011">
        <v>0</v>
      </c>
      <c r="K2011">
        <v>0</v>
      </c>
      <c r="L2011">
        <v>27</v>
      </c>
      <c r="M2011">
        <v>1</v>
      </c>
      <c r="N2011" t="s">
        <v>184</v>
      </c>
      <c r="O2011" s="1">
        <f>result[[#This Row],[n_killed_mutants_cumulativa]]/result[[#This Row],[tot_mutants]]</f>
        <v>3.7037037037037035E-2</v>
      </c>
    </row>
    <row r="2012" spans="1:16" x14ac:dyDescent="0.25">
      <c r="A2012" t="s">
        <v>278</v>
      </c>
      <c r="B2012" t="s">
        <v>22</v>
      </c>
      <c r="C2012" t="s">
        <v>16</v>
      </c>
      <c r="D2012">
        <v>791089</v>
      </c>
      <c r="E2012">
        <v>7644</v>
      </c>
      <c r="F2012">
        <v>450</v>
      </c>
      <c r="G2012">
        <v>28500</v>
      </c>
      <c r="H2012">
        <v>28500</v>
      </c>
      <c r="I2012">
        <v>56962</v>
      </c>
      <c r="J2012">
        <v>0</v>
      </c>
      <c r="K2012">
        <v>0</v>
      </c>
      <c r="L2012">
        <v>27</v>
      </c>
      <c r="M2012">
        <v>1</v>
      </c>
      <c r="N2012" t="s">
        <v>184</v>
      </c>
      <c r="O2012" s="1">
        <f>result[[#This Row],[n_killed_mutants_cumulativa]]/result[[#This Row],[tot_mutants]]</f>
        <v>3.7037037037037035E-2</v>
      </c>
      <c r="P2012" s="9" t="s">
        <v>359</v>
      </c>
    </row>
    <row r="2013" spans="1:16" hidden="1" x14ac:dyDescent="0.25">
      <c r="A2013" t="s">
        <v>279</v>
      </c>
      <c r="B2013" t="s">
        <v>15</v>
      </c>
      <c r="C2013" t="s">
        <v>16</v>
      </c>
      <c r="D2013">
        <v>13572</v>
      </c>
      <c r="E2013">
        <v>222</v>
      </c>
      <c r="F2013">
        <v>10</v>
      </c>
      <c r="G2013">
        <v>100</v>
      </c>
      <c r="H2013">
        <v>177</v>
      </c>
      <c r="I2013">
        <v>700</v>
      </c>
      <c r="J2013">
        <v>0</v>
      </c>
      <c r="K2013">
        <v>0</v>
      </c>
      <c r="L2013">
        <v>21</v>
      </c>
      <c r="M2013">
        <v>2</v>
      </c>
      <c r="N2013" t="s">
        <v>280</v>
      </c>
      <c r="O2013" s="1">
        <f>result[[#This Row],[n_killed_mutants_cumulativa]]/result[[#This Row],[tot_mutants]]</f>
        <v>9.5238095238095233E-2</v>
      </c>
    </row>
    <row r="2014" spans="1:16" hidden="1" x14ac:dyDescent="0.25">
      <c r="A2014" t="s">
        <v>279</v>
      </c>
      <c r="B2014" t="s">
        <v>18</v>
      </c>
      <c r="C2014" t="s">
        <v>16</v>
      </c>
      <c r="D2014">
        <v>22867</v>
      </c>
      <c r="E2014">
        <v>170</v>
      </c>
      <c r="F2014">
        <v>20</v>
      </c>
      <c r="G2014">
        <v>400</v>
      </c>
      <c r="H2014">
        <v>774</v>
      </c>
      <c r="I2014">
        <v>2762</v>
      </c>
      <c r="J2014">
        <v>0</v>
      </c>
      <c r="K2014">
        <v>0</v>
      </c>
      <c r="L2014">
        <v>21</v>
      </c>
      <c r="M2014">
        <v>4</v>
      </c>
      <c r="N2014" t="s">
        <v>281</v>
      </c>
      <c r="O2014" s="1">
        <f>result[[#This Row],[n_killed_mutants_cumulativa]]/result[[#This Row],[tot_mutants]]</f>
        <v>0.19047619047619047</v>
      </c>
    </row>
    <row r="2015" spans="1:16" hidden="1" x14ac:dyDescent="0.25">
      <c r="A2015" t="s">
        <v>279</v>
      </c>
      <c r="B2015" t="s">
        <v>19</v>
      </c>
      <c r="C2015" t="s">
        <v>16</v>
      </c>
      <c r="D2015">
        <v>39984</v>
      </c>
      <c r="E2015">
        <v>288</v>
      </c>
      <c r="F2015">
        <v>30</v>
      </c>
      <c r="G2015">
        <v>900</v>
      </c>
      <c r="H2015">
        <v>2088</v>
      </c>
      <c r="I2015">
        <v>6497</v>
      </c>
      <c r="J2015">
        <v>0</v>
      </c>
      <c r="K2015">
        <v>0</v>
      </c>
      <c r="L2015">
        <v>21</v>
      </c>
      <c r="M2015">
        <v>5</v>
      </c>
      <c r="N2015" t="s">
        <v>282</v>
      </c>
      <c r="O2015" s="1">
        <f>result[[#This Row],[n_killed_mutants_cumulativa]]/result[[#This Row],[tot_mutants]]</f>
        <v>0.23809523809523808</v>
      </c>
    </row>
    <row r="2016" spans="1:16" hidden="1" x14ac:dyDescent="0.25">
      <c r="A2016" t="s">
        <v>279</v>
      </c>
      <c r="B2016" t="s">
        <v>20</v>
      </c>
      <c r="C2016" t="s">
        <v>16</v>
      </c>
      <c r="D2016">
        <v>59753</v>
      </c>
      <c r="E2016">
        <v>481</v>
      </c>
      <c r="F2016">
        <v>40</v>
      </c>
      <c r="G2016">
        <v>1600</v>
      </c>
      <c r="H2016">
        <v>3866</v>
      </c>
      <c r="I2016">
        <v>12044</v>
      </c>
      <c r="J2016">
        <v>0</v>
      </c>
      <c r="K2016">
        <v>0</v>
      </c>
      <c r="L2016">
        <v>21</v>
      </c>
      <c r="M2016">
        <v>6</v>
      </c>
      <c r="N2016" t="s">
        <v>283</v>
      </c>
      <c r="O2016" s="1">
        <f>result[[#This Row],[n_killed_mutants_cumulativa]]/result[[#This Row],[tot_mutants]]</f>
        <v>0.2857142857142857</v>
      </c>
    </row>
    <row r="2017" spans="1:16" hidden="1" x14ac:dyDescent="0.25">
      <c r="A2017" t="s">
        <v>279</v>
      </c>
      <c r="B2017" t="s">
        <v>21</v>
      </c>
      <c r="C2017" t="s">
        <v>16</v>
      </c>
      <c r="D2017">
        <v>89409</v>
      </c>
      <c r="E2017">
        <v>732</v>
      </c>
      <c r="F2017">
        <v>50</v>
      </c>
      <c r="G2017">
        <v>2500</v>
      </c>
      <c r="H2017">
        <v>6204</v>
      </c>
      <c r="I2017">
        <v>19869</v>
      </c>
      <c r="J2017">
        <v>0</v>
      </c>
      <c r="K2017">
        <v>0</v>
      </c>
      <c r="L2017">
        <v>21</v>
      </c>
      <c r="M2017">
        <v>6</v>
      </c>
      <c r="N2017" t="s">
        <v>283</v>
      </c>
      <c r="O2017" s="1">
        <f>result[[#This Row],[n_killed_mutants_cumulativa]]/result[[#This Row],[tot_mutants]]</f>
        <v>0.2857142857142857</v>
      </c>
    </row>
    <row r="2018" spans="1:16" hidden="1" x14ac:dyDescent="0.25">
      <c r="A2018" t="s">
        <v>279</v>
      </c>
      <c r="B2018" t="s">
        <v>24</v>
      </c>
      <c r="C2018" t="s">
        <v>16</v>
      </c>
      <c r="D2018">
        <v>132468</v>
      </c>
      <c r="E2018">
        <v>1036</v>
      </c>
      <c r="F2018">
        <v>60</v>
      </c>
      <c r="G2018">
        <v>3600</v>
      </c>
      <c r="H2018">
        <v>8950</v>
      </c>
      <c r="I2018">
        <v>30056</v>
      </c>
      <c r="J2018">
        <v>0</v>
      </c>
      <c r="K2018">
        <v>0</v>
      </c>
      <c r="L2018">
        <v>21</v>
      </c>
      <c r="M2018">
        <v>6</v>
      </c>
      <c r="N2018" t="s">
        <v>283</v>
      </c>
      <c r="O2018" s="1">
        <f>result[[#This Row],[n_killed_mutants_cumulativa]]/result[[#This Row],[tot_mutants]]</f>
        <v>0.2857142857142857</v>
      </c>
    </row>
    <row r="2019" spans="1:16" hidden="1" x14ac:dyDescent="0.25">
      <c r="A2019" t="s">
        <v>279</v>
      </c>
      <c r="B2019" t="s">
        <v>25</v>
      </c>
      <c r="C2019" t="s">
        <v>16</v>
      </c>
      <c r="D2019">
        <v>185933</v>
      </c>
      <c r="E2019">
        <v>1441</v>
      </c>
      <c r="F2019">
        <v>70</v>
      </c>
      <c r="G2019">
        <v>4900</v>
      </c>
      <c r="H2019">
        <v>11835</v>
      </c>
      <c r="I2019">
        <v>42503</v>
      </c>
      <c r="J2019">
        <v>0</v>
      </c>
      <c r="K2019">
        <v>0</v>
      </c>
      <c r="L2019">
        <v>21</v>
      </c>
      <c r="M2019">
        <v>6</v>
      </c>
      <c r="N2019" t="s">
        <v>283</v>
      </c>
      <c r="O2019" s="1">
        <f>result[[#This Row],[n_killed_mutants_cumulativa]]/result[[#This Row],[tot_mutants]]</f>
        <v>0.2857142857142857</v>
      </c>
    </row>
    <row r="2020" spans="1:16" hidden="1" x14ac:dyDescent="0.25">
      <c r="A2020" t="s">
        <v>279</v>
      </c>
      <c r="B2020" t="s">
        <v>26</v>
      </c>
      <c r="C2020" t="s">
        <v>16</v>
      </c>
      <c r="D2020">
        <v>237405</v>
      </c>
      <c r="E2020">
        <v>2114</v>
      </c>
      <c r="F2020">
        <v>80</v>
      </c>
      <c r="G2020">
        <v>6400</v>
      </c>
      <c r="H2020">
        <v>15413</v>
      </c>
      <c r="I2020">
        <v>57763</v>
      </c>
      <c r="J2020">
        <v>0</v>
      </c>
      <c r="K2020">
        <v>0</v>
      </c>
      <c r="L2020">
        <v>21</v>
      </c>
      <c r="M2020">
        <v>7</v>
      </c>
      <c r="N2020" t="s">
        <v>284</v>
      </c>
      <c r="O2020" s="1">
        <f>result[[#This Row],[n_killed_mutants_cumulativa]]/result[[#This Row],[tot_mutants]]</f>
        <v>0.33333333333333331</v>
      </c>
    </row>
    <row r="2021" spans="1:16" x14ac:dyDescent="0.25">
      <c r="A2021" t="s">
        <v>279</v>
      </c>
      <c r="B2021" t="s">
        <v>22</v>
      </c>
      <c r="C2021" t="s">
        <v>16</v>
      </c>
      <c r="D2021">
        <v>781391</v>
      </c>
      <c r="E2021">
        <v>6484</v>
      </c>
      <c r="F2021">
        <v>360</v>
      </c>
      <c r="G2021">
        <v>20400</v>
      </c>
      <c r="H2021">
        <v>49307</v>
      </c>
      <c r="I2021">
        <v>172194</v>
      </c>
      <c r="J2021">
        <v>0</v>
      </c>
      <c r="K2021">
        <v>0</v>
      </c>
      <c r="L2021">
        <v>21</v>
      </c>
      <c r="M2021">
        <v>7</v>
      </c>
      <c r="N2021" t="s">
        <v>284</v>
      </c>
      <c r="O2021" s="1">
        <f>result[[#This Row],[n_killed_mutants_cumulativa]]/result[[#This Row],[tot_mutants]]</f>
        <v>0.33333333333333331</v>
      </c>
      <c r="P2021" s="9" t="s">
        <v>361</v>
      </c>
    </row>
    <row r="2022" spans="1:16" hidden="1" x14ac:dyDescent="0.25">
      <c r="A2022" t="s">
        <v>285</v>
      </c>
      <c r="B2022" t="s">
        <v>15</v>
      </c>
      <c r="C2022" t="s">
        <v>16</v>
      </c>
      <c r="D2022">
        <v>1732</v>
      </c>
      <c r="E2022">
        <v>138</v>
      </c>
      <c r="F2022">
        <v>10</v>
      </c>
      <c r="G2022">
        <v>100</v>
      </c>
      <c r="H2022">
        <v>0</v>
      </c>
      <c r="I2022">
        <v>120</v>
      </c>
      <c r="J2022">
        <v>0</v>
      </c>
      <c r="K2022">
        <v>0</v>
      </c>
      <c r="L2022">
        <v>1</v>
      </c>
      <c r="M2022">
        <v>1</v>
      </c>
      <c r="N2022" t="s">
        <v>55</v>
      </c>
      <c r="O2022" s="1">
        <f>result[[#This Row],[n_killed_mutants_cumulativa]]/result[[#This Row],[tot_mutants]]</f>
        <v>1</v>
      </c>
    </row>
    <row r="2023" spans="1:16" x14ac:dyDescent="0.25">
      <c r="A2023" t="s">
        <v>285</v>
      </c>
      <c r="B2023" t="s">
        <v>22</v>
      </c>
      <c r="C2023" t="s">
        <v>16</v>
      </c>
      <c r="D2023">
        <v>1732</v>
      </c>
      <c r="E2023">
        <v>138</v>
      </c>
      <c r="F2023">
        <v>10</v>
      </c>
      <c r="G2023">
        <v>100</v>
      </c>
      <c r="H2023">
        <v>0</v>
      </c>
      <c r="I2023">
        <v>120</v>
      </c>
      <c r="J2023">
        <v>0</v>
      </c>
      <c r="K2023">
        <v>0</v>
      </c>
      <c r="L2023">
        <v>1</v>
      </c>
      <c r="M2023">
        <v>1</v>
      </c>
      <c r="N2023" t="s">
        <v>55</v>
      </c>
      <c r="O2023" s="1">
        <f>result[[#This Row],[n_killed_mutants_cumulativa]]/result[[#This Row],[tot_mutants]]</f>
        <v>1</v>
      </c>
      <c r="P2023" s="10" t="s">
        <v>365</v>
      </c>
    </row>
    <row r="2024" spans="1:16" hidden="1" x14ac:dyDescent="0.25">
      <c r="A2024" t="s">
        <v>286</v>
      </c>
      <c r="B2024" t="s">
        <v>15</v>
      </c>
      <c r="C2024" t="s">
        <v>16</v>
      </c>
      <c r="D2024">
        <v>5736</v>
      </c>
      <c r="E2024">
        <v>696</v>
      </c>
      <c r="F2024">
        <v>10</v>
      </c>
      <c r="G2024">
        <v>100</v>
      </c>
      <c r="H2024">
        <v>484</v>
      </c>
      <c r="I2024">
        <v>381</v>
      </c>
      <c r="J2024">
        <v>0</v>
      </c>
      <c r="K2024">
        <v>0</v>
      </c>
      <c r="L2024">
        <v>5</v>
      </c>
      <c r="M2024">
        <v>2</v>
      </c>
      <c r="N2024" t="s">
        <v>287</v>
      </c>
      <c r="O2024" s="1">
        <f>result[[#This Row],[n_killed_mutants_cumulativa]]/result[[#This Row],[tot_mutants]]</f>
        <v>0.4</v>
      </c>
    </row>
    <row r="2025" spans="1:16" hidden="1" x14ac:dyDescent="0.25">
      <c r="A2025" t="s">
        <v>286</v>
      </c>
      <c r="B2025" t="s">
        <v>18</v>
      </c>
      <c r="C2025" t="s">
        <v>16</v>
      </c>
      <c r="D2025">
        <v>7096</v>
      </c>
      <c r="E2025">
        <v>804</v>
      </c>
      <c r="F2025">
        <v>20</v>
      </c>
      <c r="G2025">
        <v>400</v>
      </c>
      <c r="H2025">
        <v>1845</v>
      </c>
      <c r="I2025">
        <v>1435</v>
      </c>
      <c r="J2025">
        <v>0</v>
      </c>
      <c r="K2025">
        <v>0</v>
      </c>
      <c r="L2025">
        <v>5</v>
      </c>
      <c r="M2025">
        <v>2</v>
      </c>
      <c r="N2025" t="s">
        <v>287</v>
      </c>
      <c r="O2025" s="1">
        <f>result[[#This Row],[n_killed_mutants_cumulativa]]/result[[#This Row],[tot_mutants]]</f>
        <v>0.4</v>
      </c>
    </row>
    <row r="2026" spans="1:16" hidden="1" x14ac:dyDescent="0.25">
      <c r="A2026" t="s">
        <v>286</v>
      </c>
      <c r="B2026" t="s">
        <v>19</v>
      </c>
      <c r="C2026" t="s">
        <v>16</v>
      </c>
      <c r="D2026">
        <v>13024</v>
      </c>
      <c r="E2026">
        <v>1266</v>
      </c>
      <c r="F2026">
        <v>30</v>
      </c>
      <c r="G2026">
        <v>900</v>
      </c>
      <c r="H2026">
        <v>4119</v>
      </c>
      <c r="I2026">
        <v>3129</v>
      </c>
      <c r="J2026">
        <v>0</v>
      </c>
      <c r="K2026">
        <v>0</v>
      </c>
      <c r="L2026">
        <v>5</v>
      </c>
      <c r="M2026">
        <v>2</v>
      </c>
      <c r="N2026" t="s">
        <v>287</v>
      </c>
      <c r="O2026" s="1">
        <f>result[[#This Row],[n_killed_mutants_cumulativa]]/result[[#This Row],[tot_mutants]]</f>
        <v>0.4</v>
      </c>
    </row>
    <row r="2027" spans="1:16" hidden="1" x14ac:dyDescent="0.25">
      <c r="A2027" t="s">
        <v>286</v>
      </c>
      <c r="B2027" t="s">
        <v>20</v>
      </c>
      <c r="C2027" t="s">
        <v>16</v>
      </c>
      <c r="D2027">
        <v>20783</v>
      </c>
      <c r="E2027">
        <v>2370</v>
      </c>
      <c r="F2027">
        <v>40</v>
      </c>
      <c r="G2027">
        <v>1600</v>
      </c>
      <c r="H2027">
        <v>7451</v>
      </c>
      <c r="I2027">
        <v>5463</v>
      </c>
      <c r="J2027">
        <v>0</v>
      </c>
      <c r="K2027">
        <v>0</v>
      </c>
      <c r="L2027">
        <v>5</v>
      </c>
      <c r="M2027">
        <v>2</v>
      </c>
      <c r="N2027" t="s">
        <v>287</v>
      </c>
      <c r="O2027" s="1">
        <f>result[[#This Row],[n_killed_mutants_cumulativa]]/result[[#This Row],[tot_mutants]]</f>
        <v>0.4</v>
      </c>
    </row>
    <row r="2028" spans="1:16" hidden="1" x14ac:dyDescent="0.25">
      <c r="A2028" t="s">
        <v>286</v>
      </c>
      <c r="B2028" t="s">
        <v>21</v>
      </c>
      <c r="C2028" t="s">
        <v>16</v>
      </c>
      <c r="D2028">
        <v>30663</v>
      </c>
      <c r="E2028">
        <v>3374</v>
      </c>
      <c r="F2028">
        <v>50</v>
      </c>
      <c r="G2028">
        <v>2500</v>
      </c>
      <c r="H2028">
        <v>11644</v>
      </c>
      <c r="I2028">
        <v>8497</v>
      </c>
      <c r="J2028">
        <v>0</v>
      </c>
      <c r="K2028">
        <v>0</v>
      </c>
      <c r="L2028">
        <v>5</v>
      </c>
      <c r="M2028">
        <v>2</v>
      </c>
      <c r="N2028" t="s">
        <v>287</v>
      </c>
      <c r="O2028" s="1">
        <f>result[[#This Row],[n_killed_mutants_cumulativa]]/result[[#This Row],[tot_mutants]]</f>
        <v>0.4</v>
      </c>
    </row>
    <row r="2029" spans="1:16" hidden="1" x14ac:dyDescent="0.25">
      <c r="A2029" t="s">
        <v>286</v>
      </c>
      <c r="B2029" t="s">
        <v>24</v>
      </c>
      <c r="C2029" t="s">
        <v>16</v>
      </c>
      <c r="D2029">
        <v>42584</v>
      </c>
      <c r="E2029">
        <v>4857</v>
      </c>
      <c r="F2029">
        <v>60</v>
      </c>
      <c r="G2029">
        <v>3600</v>
      </c>
      <c r="H2029">
        <v>16445</v>
      </c>
      <c r="I2029">
        <v>12115</v>
      </c>
      <c r="J2029">
        <v>0</v>
      </c>
      <c r="K2029">
        <v>0</v>
      </c>
      <c r="L2029">
        <v>5</v>
      </c>
      <c r="M2029">
        <v>2</v>
      </c>
      <c r="N2029" t="s">
        <v>287</v>
      </c>
      <c r="O2029" s="1">
        <f>result[[#This Row],[n_killed_mutants_cumulativa]]/result[[#This Row],[tot_mutants]]</f>
        <v>0.4</v>
      </c>
    </row>
    <row r="2030" spans="1:16" hidden="1" x14ac:dyDescent="0.25">
      <c r="A2030" t="s">
        <v>286</v>
      </c>
      <c r="B2030" t="s">
        <v>25</v>
      </c>
      <c r="C2030" t="s">
        <v>16</v>
      </c>
      <c r="D2030">
        <v>57477</v>
      </c>
      <c r="E2030">
        <v>6747</v>
      </c>
      <c r="F2030">
        <v>70</v>
      </c>
      <c r="G2030">
        <v>4900</v>
      </c>
      <c r="H2030">
        <v>22505</v>
      </c>
      <c r="I2030">
        <v>16449</v>
      </c>
      <c r="J2030">
        <v>0</v>
      </c>
      <c r="K2030">
        <v>0</v>
      </c>
      <c r="L2030">
        <v>5</v>
      </c>
      <c r="M2030">
        <v>2</v>
      </c>
      <c r="N2030" t="s">
        <v>287</v>
      </c>
      <c r="O2030" s="1">
        <f>result[[#This Row],[n_killed_mutants_cumulativa]]/result[[#This Row],[tot_mutants]]</f>
        <v>0.4</v>
      </c>
    </row>
    <row r="2031" spans="1:16" hidden="1" x14ac:dyDescent="0.25">
      <c r="A2031" t="s">
        <v>286</v>
      </c>
      <c r="B2031" t="s">
        <v>26</v>
      </c>
      <c r="C2031" t="s">
        <v>16</v>
      </c>
      <c r="D2031">
        <v>73641</v>
      </c>
      <c r="E2031">
        <v>8572</v>
      </c>
      <c r="F2031">
        <v>80</v>
      </c>
      <c r="G2031">
        <v>6400</v>
      </c>
      <c r="H2031">
        <v>29084</v>
      </c>
      <c r="I2031">
        <v>21348</v>
      </c>
      <c r="J2031">
        <v>0</v>
      </c>
      <c r="K2031">
        <v>0</v>
      </c>
      <c r="L2031">
        <v>5</v>
      </c>
      <c r="M2031">
        <v>2</v>
      </c>
      <c r="N2031" t="s">
        <v>287</v>
      </c>
      <c r="O2031" s="1">
        <f>result[[#This Row],[n_killed_mutants_cumulativa]]/result[[#This Row],[tot_mutants]]</f>
        <v>0.4</v>
      </c>
    </row>
    <row r="2032" spans="1:16" hidden="1" x14ac:dyDescent="0.25">
      <c r="A2032" t="s">
        <v>286</v>
      </c>
      <c r="B2032" t="s">
        <v>27</v>
      </c>
      <c r="C2032" t="s">
        <v>16</v>
      </c>
      <c r="D2032">
        <v>93998</v>
      </c>
      <c r="E2032">
        <v>10979</v>
      </c>
      <c r="F2032">
        <v>90</v>
      </c>
      <c r="G2032">
        <v>8100</v>
      </c>
      <c r="H2032">
        <v>36826</v>
      </c>
      <c r="I2032">
        <v>26952</v>
      </c>
      <c r="J2032">
        <v>0</v>
      </c>
      <c r="K2032">
        <v>0</v>
      </c>
      <c r="L2032">
        <v>5</v>
      </c>
      <c r="M2032">
        <v>2</v>
      </c>
      <c r="N2032" t="s">
        <v>287</v>
      </c>
      <c r="O2032" s="1">
        <f>result[[#This Row],[n_killed_mutants_cumulativa]]/result[[#This Row],[tot_mutants]]</f>
        <v>0.4</v>
      </c>
    </row>
    <row r="2033" spans="1:16" hidden="1" x14ac:dyDescent="0.25">
      <c r="A2033" t="s">
        <v>286</v>
      </c>
      <c r="B2033" t="s">
        <v>30</v>
      </c>
      <c r="C2033" t="s">
        <v>16</v>
      </c>
      <c r="D2033">
        <v>116690</v>
      </c>
      <c r="E2033">
        <v>13359</v>
      </c>
      <c r="F2033">
        <v>100</v>
      </c>
      <c r="G2033">
        <v>10000</v>
      </c>
      <c r="H2033">
        <v>45339</v>
      </c>
      <c r="I2033">
        <v>33230</v>
      </c>
      <c r="J2033">
        <v>0</v>
      </c>
      <c r="K2033">
        <v>0</v>
      </c>
      <c r="L2033">
        <v>5</v>
      </c>
      <c r="M2033">
        <v>2</v>
      </c>
      <c r="N2033" t="s">
        <v>287</v>
      </c>
      <c r="O2033" s="1">
        <f>result[[#This Row],[n_killed_mutants_cumulativa]]/result[[#This Row],[tot_mutants]]</f>
        <v>0.4</v>
      </c>
    </row>
    <row r="2034" spans="1:16" hidden="1" x14ac:dyDescent="0.25">
      <c r="A2034" t="s">
        <v>286</v>
      </c>
      <c r="B2034" t="s">
        <v>31</v>
      </c>
      <c r="C2034" t="s">
        <v>16</v>
      </c>
      <c r="D2034">
        <v>147615</v>
      </c>
      <c r="E2034">
        <v>16530</v>
      </c>
      <c r="F2034">
        <v>110</v>
      </c>
      <c r="G2034">
        <v>12100</v>
      </c>
      <c r="H2034">
        <v>55060</v>
      </c>
      <c r="I2034">
        <v>40184</v>
      </c>
      <c r="J2034">
        <v>0</v>
      </c>
      <c r="K2034">
        <v>0</v>
      </c>
      <c r="L2034">
        <v>5</v>
      </c>
      <c r="M2034">
        <v>2</v>
      </c>
      <c r="N2034" t="s">
        <v>287</v>
      </c>
      <c r="O2034" s="1">
        <f>result[[#This Row],[n_killed_mutants_cumulativa]]/result[[#This Row],[tot_mutants]]</f>
        <v>0.4</v>
      </c>
    </row>
    <row r="2035" spans="1:16" x14ac:dyDescent="0.25">
      <c r="A2035" t="s">
        <v>286</v>
      </c>
      <c r="B2035" t="s">
        <v>22</v>
      </c>
      <c r="C2035" t="s">
        <v>16</v>
      </c>
      <c r="D2035">
        <v>609307</v>
      </c>
      <c r="E2035">
        <v>69554</v>
      </c>
      <c r="F2035">
        <v>660</v>
      </c>
      <c r="G2035">
        <v>50600</v>
      </c>
      <c r="H2035">
        <v>230802</v>
      </c>
      <c r="I2035">
        <v>169183</v>
      </c>
      <c r="J2035">
        <v>0</v>
      </c>
      <c r="K2035">
        <v>0</v>
      </c>
      <c r="L2035">
        <v>5</v>
      </c>
      <c r="M2035">
        <v>2</v>
      </c>
      <c r="N2035" t="s">
        <v>287</v>
      </c>
      <c r="O2035" s="1">
        <f>result[[#This Row],[n_killed_mutants_cumulativa]]/result[[#This Row],[tot_mutants]]</f>
        <v>0.4</v>
      </c>
      <c r="P2035" s="9" t="s">
        <v>363</v>
      </c>
    </row>
    <row r="2036" spans="1:16" hidden="1" x14ac:dyDescent="0.25">
      <c r="A2036" t="s">
        <v>288</v>
      </c>
      <c r="B2036" t="s">
        <v>15</v>
      </c>
      <c r="C2036" t="s">
        <v>16</v>
      </c>
      <c r="D2036">
        <v>3832</v>
      </c>
      <c r="E2036">
        <v>3655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54</v>
      </c>
      <c r="M2036">
        <v>0</v>
      </c>
      <c r="N2036" t="s">
        <v>17</v>
      </c>
      <c r="O2036" s="1">
        <f>result[[#This Row],[n_killed_mutants_cumulativa]]/result[[#This Row],[tot_mutants]]</f>
        <v>0</v>
      </c>
    </row>
    <row r="2037" spans="1:16" hidden="1" x14ac:dyDescent="0.25">
      <c r="A2037" t="s">
        <v>288</v>
      </c>
      <c r="B2037" t="s">
        <v>18</v>
      </c>
      <c r="C2037" t="s">
        <v>16</v>
      </c>
      <c r="D2037">
        <v>8566</v>
      </c>
      <c r="E2037">
        <v>8489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54</v>
      </c>
      <c r="M2037">
        <v>0</v>
      </c>
      <c r="N2037" t="s">
        <v>17</v>
      </c>
      <c r="O2037" s="1">
        <f>result[[#This Row],[n_killed_mutants_cumulativa]]/result[[#This Row],[tot_mutants]]</f>
        <v>0</v>
      </c>
    </row>
    <row r="2038" spans="1:16" hidden="1" x14ac:dyDescent="0.25">
      <c r="A2038" t="s">
        <v>288</v>
      </c>
      <c r="B2038" t="s">
        <v>19</v>
      </c>
      <c r="C2038" t="s">
        <v>16</v>
      </c>
      <c r="D2038">
        <v>9700</v>
      </c>
      <c r="E2038">
        <v>9634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54</v>
      </c>
      <c r="M2038">
        <v>0</v>
      </c>
      <c r="N2038" t="s">
        <v>17</v>
      </c>
      <c r="O2038" s="1">
        <f>result[[#This Row],[n_killed_mutants_cumulativa]]/result[[#This Row],[tot_mutants]]</f>
        <v>0</v>
      </c>
    </row>
    <row r="2039" spans="1:16" hidden="1" x14ac:dyDescent="0.25">
      <c r="A2039" t="s">
        <v>288</v>
      </c>
      <c r="B2039" t="s">
        <v>20</v>
      </c>
      <c r="C2039" t="s">
        <v>16</v>
      </c>
      <c r="D2039">
        <v>10735</v>
      </c>
      <c r="E2039">
        <v>10671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54</v>
      </c>
      <c r="M2039">
        <v>0</v>
      </c>
      <c r="N2039" t="s">
        <v>17</v>
      </c>
      <c r="O2039" s="1">
        <f>result[[#This Row],[n_killed_mutants_cumulativa]]/result[[#This Row],[tot_mutants]]</f>
        <v>0</v>
      </c>
    </row>
    <row r="2040" spans="1:16" hidden="1" x14ac:dyDescent="0.25">
      <c r="A2040" t="s">
        <v>288</v>
      </c>
      <c r="B2040" t="s">
        <v>21</v>
      </c>
      <c r="C2040" t="s">
        <v>16</v>
      </c>
      <c r="D2040">
        <v>13577</v>
      </c>
      <c r="E2040">
        <v>13521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54</v>
      </c>
      <c r="M2040">
        <v>0</v>
      </c>
      <c r="N2040" t="s">
        <v>17</v>
      </c>
      <c r="O2040" s="1">
        <f>result[[#This Row],[n_killed_mutants_cumulativa]]/result[[#This Row],[tot_mutants]]</f>
        <v>0</v>
      </c>
    </row>
    <row r="2041" spans="1:16" hidden="1" x14ac:dyDescent="0.25">
      <c r="A2041" t="s">
        <v>288</v>
      </c>
      <c r="B2041" t="s">
        <v>22</v>
      </c>
      <c r="C2041" t="s">
        <v>16</v>
      </c>
      <c r="D2041">
        <v>46410</v>
      </c>
      <c r="E2041">
        <v>45970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54</v>
      </c>
      <c r="M2041">
        <v>0</v>
      </c>
      <c r="N2041" t="s">
        <v>17</v>
      </c>
      <c r="O2041" s="1">
        <f>result[[#This Row],[n_killed_mutants_cumulativa]]/result[[#This Row],[tot_mutants]]</f>
        <v>0</v>
      </c>
    </row>
    <row r="2042" spans="1:16" hidden="1" x14ac:dyDescent="0.25">
      <c r="A2042" t="s">
        <v>289</v>
      </c>
      <c r="B2042" t="s">
        <v>15</v>
      </c>
      <c r="C2042" t="s">
        <v>16</v>
      </c>
      <c r="D2042">
        <v>5932</v>
      </c>
      <c r="E2042">
        <v>1280</v>
      </c>
      <c r="F2042">
        <v>10</v>
      </c>
      <c r="G2042">
        <v>100</v>
      </c>
      <c r="H2042">
        <v>0</v>
      </c>
      <c r="I2042">
        <v>560</v>
      </c>
      <c r="J2042">
        <v>0</v>
      </c>
      <c r="K2042">
        <v>0</v>
      </c>
      <c r="L2042">
        <v>1</v>
      </c>
      <c r="M2042">
        <v>0</v>
      </c>
      <c r="N2042" t="s">
        <v>17</v>
      </c>
      <c r="O2042" s="1">
        <f>result[[#This Row],[n_killed_mutants_cumulativa]]/result[[#This Row],[tot_mutants]]</f>
        <v>0</v>
      </c>
    </row>
    <row r="2043" spans="1:16" hidden="1" x14ac:dyDescent="0.25">
      <c r="A2043" t="s">
        <v>289</v>
      </c>
      <c r="B2043" t="s">
        <v>18</v>
      </c>
      <c r="C2043" t="s">
        <v>16</v>
      </c>
      <c r="D2043">
        <v>8596</v>
      </c>
      <c r="E2043">
        <v>1388</v>
      </c>
      <c r="F2043">
        <v>20</v>
      </c>
      <c r="G2043">
        <v>400</v>
      </c>
      <c r="H2043">
        <v>0</v>
      </c>
      <c r="I2043">
        <v>1520</v>
      </c>
      <c r="J2043">
        <v>0</v>
      </c>
      <c r="K2043">
        <v>0</v>
      </c>
      <c r="L2043">
        <v>1</v>
      </c>
      <c r="M2043">
        <v>0</v>
      </c>
      <c r="N2043" t="s">
        <v>17</v>
      </c>
      <c r="O2043" s="1">
        <f>result[[#This Row],[n_killed_mutants_cumulativa]]/result[[#This Row],[tot_mutants]]</f>
        <v>0</v>
      </c>
    </row>
    <row r="2044" spans="1:16" hidden="1" x14ac:dyDescent="0.25">
      <c r="A2044" t="s">
        <v>289</v>
      </c>
      <c r="B2044" t="s">
        <v>19</v>
      </c>
      <c r="C2044" t="s">
        <v>16</v>
      </c>
      <c r="D2044">
        <v>15473</v>
      </c>
      <c r="E2044">
        <v>3103</v>
      </c>
      <c r="F2044">
        <v>30</v>
      </c>
      <c r="G2044">
        <v>900</v>
      </c>
      <c r="H2044">
        <v>0</v>
      </c>
      <c r="I2044">
        <v>2880</v>
      </c>
      <c r="J2044">
        <v>0</v>
      </c>
      <c r="K2044">
        <v>0</v>
      </c>
      <c r="L2044">
        <v>1</v>
      </c>
      <c r="M2044">
        <v>0</v>
      </c>
      <c r="N2044" t="s">
        <v>17</v>
      </c>
      <c r="O2044" s="1">
        <f>result[[#This Row],[n_killed_mutants_cumulativa]]/result[[#This Row],[tot_mutants]]</f>
        <v>0</v>
      </c>
    </row>
    <row r="2045" spans="1:16" hidden="1" x14ac:dyDescent="0.25">
      <c r="A2045" t="s">
        <v>289</v>
      </c>
      <c r="B2045" t="s">
        <v>20</v>
      </c>
      <c r="C2045" t="s">
        <v>16</v>
      </c>
      <c r="D2045">
        <v>25019</v>
      </c>
      <c r="E2045">
        <v>4876</v>
      </c>
      <c r="F2045">
        <v>40</v>
      </c>
      <c r="G2045">
        <v>1600</v>
      </c>
      <c r="H2045">
        <v>0</v>
      </c>
      <c r="I2045">
        <v>4640</v>
      </c>
      <c r="J2045">
        <v>0</v>
      </c>
      <c r="K2045">
        <v>0</v>
      </c>
      <c r="L2045">
        <v>1</v>
      </c>
      <c r="M2045">
        <v>0</v>
      </c>
      <c r="N2045" t="s">
        <v>17</v>
      </c>
      <c r="O2045" s="1">
        <f>result[[#This Row],[n_killed_mutants_cumulativa]]/result[[#This Row],[tot_mutants]]</f>
        <v>0</v>
      </c>
    </row>
    <row r="2046" spans="1:16" hidden="1" x14ac:dyDescent="0.25">
      <c r="A2046" t="s">
        <v>289</v>
      </c>
      <c r="B2046" t="s">
        <v>21</v>
      </c>
      <c r="C2046" t="s">
        <v>16</v>
      </c>
      <c r="D2046">
        <v>37558</v>
      </c>
      <c r="E2046">
        <v>7378</v>
      </c>
      <c r="F2046">
        <v>50</v>
      </c>
      <c r="G2046">
        <v>2500</v>
      </c>
      <c r="H2046">
        <v>0</v>
      </c>
      <c r="I2046">
        <v>6800</v>
      </c>
      <c r="J2046">
        <v>0</v>
      </c>
      <c r="K2046">
        <v>0</v>
      </c>
      <c r="L2046">
        <v>1</v>
      </c>
      <c r="M2046">
        <v>0</v>
      </c>
      <c r="N2046" t="s">
        <v>17</v>
      </c>
      <c r="O2046" s="1">
        <f>result[[#This Row],[n_killed_mutants_cumulativa]]/result[[#This Row],[tot_mutants]]</f>
        <v>0</v>
      </c>
    </row>
    <row r="2047" spans="1:16" hidden="1" x14ac:dyDescent="0.25">
      <c r="A2047" t="s">
        <v>289</v>
      </c>
      <c r="B2047" t="s">
        <v>24</v>
      </c>
      <c r="C2047" t="s">
        <v>16</v>
      </c>
      <c r="D2047">
        <v>53644</v>
      </c>
      <c r="E2047">
        <v>10853</v>
      </c>
      <c r="F2047">
        <v>60</v>
      </c>
      <c r="G2047">
        <v>3600</v>
      </c>
      <c r="H2047">
        <v>0</v>
      </c>
      <c r="I2047">
        <v>9360</v>
      </c>
      <c r="J2047">
        <v>0</v>
      </c>
      <c r="K2047">
        <v>0</v>
      </c>
      <c r="L2047">
        <v>1</v>
      </c>
      <c r="M2047">
        <v>0</v>
      </c>
      <c r="N2047" t="s">
        <v>17</v>
      </c>
      <c r="O2047" s="1">
        <f>result[[#This Row],[n_killed_mutants_cumulativa]]/result[[#This Row],[tot_mutants]]</f>
        <v>0</v>
      </c>
    </row>
    <row r="2048" spans="1:16" hidden="1" x14ac:dyDescent="0.25">
      <c r="A2048" t="s">
        <v>289</v>
      </c>
      <c r="B2048" t="s">
        <v>25</v>
      </c>
      <c r="C2048" t="s">
        <v>16</v>
      </c>
      <c r="D2048">
        <v>71810</v>
      </c>
      <c r="E2048">
        <v>14443</v>
      </c>
      <c r="F2048">
        <v>70</v>
      </c>
      <c r="G2048">
        <v>4900</v>
      </c>
      <c r="H2048">
        <v>0</v>
      </c>
      <c r="I2048">
        <v>12320</v>
      </c>
      <c r="J2048">
        <v>0</v>
      </c>
      <c r="K2048">
        <v>0</v>
      </c>
      <c r="L2048">
        <v>1</v>
      </c>
      <c r="M2048">
        <v>0</v>
      </c>
      <c r="N2048" t="s">
        <v>17</v>
      </c>
      <c r="O2048" s="1">
        <f>result[[#This Row],[n_killed_mutants_cumulativa]]/result[[#This Row],[tot_mutants]]</f>
        <v>0</v>
      </c>
    </row>
    <row r="2049" spans="1:16" hidden="1" x14ac:dyDescent="0.25">
      <c r="A2049" t="s">
        <v>289</v>
      </c>
      <c r="B2049" t="s">
        <v>26</v>
      </c>
      <c r="C2049" t="s">
        <v>16</v>
      </c>
      <c r="D2049">
        <v>92666</v>
      </c>
      <c r="E2049">
        <v>18807</v>
      </c>
      <c r="F2049">
        <v>80</v>
      </c>
      <c r="G2049">
        <v>6400</v>
      </c>
      <c r="H2049">
        <v>0</v>
      </c>
      <c r="I2049">
        <v>15680</v>
      </c>
      <c r="J2049">
        <v>0</v>
      </c>
      <c r="K2049">
        <v>0</v>
      </c>
      <c r="L2049">
        <v>1</v>
      </c>
      <c r="M2049">
        <v>0</v>
      </c>
      <c r="N2049" t="s">
        <v>17</v>
      </c>
      <c r="O2049" s="1">
        <f>result[[#This Row],[n_killed_mutants_cumulativa]]/result[[#This Row],[tot_mutants]]</f>
        <v>0</v>
      </c>
    </row>
    <row r="2050" spans="1:16" hidden="1" x14ac:dyDescent="0.25">
      <c r="A2050" t="s">
        <v>289</v>
      </c>
      <c r="B2050" t="s">
        <v>27</v>
      </c>
      <c r="C2050" t="s">
        <v>16</v>
      </c>
      <c r="D2050">
        <v>116462</v>
      </c>
      <c r="E2050">
        <v>23677</v>
      </c>
      <c r="F2050">
        <v>90</v>
      </c>
      <c r="G2050">
        <v>8100</v>
      </c>
      <c r="H2050">
        <v>0</v>
      </c>
      <c r="I2050">
        <v>19440</v>
      </c>
      <c r="J2050">
        <v>0</v>
      </c>
      <c r="K2050">
        <v>0</v>
      </c>
      <c r="L2050">
        <v>1</v>
      </c>
      <c r="M2050">
        <v>0</v>
      </c>
      <c r="N2050" t="s">
        <v>17</v>
      </c>
      <c r="O2050" s="1">
        <f>result[[#This Row],[n_killed_mutants_cumulativa]]/result[[#This Row],[tot_mutants]]</f>
        <v>0</v>
      </c>
    </row>
    <row r="2051" spans="1:16" hidden="1" x14ac:dyDescent="0.25">
      <c r="A2051" t="s">
        <v>289</v>
      </c>
      <c r="B2051" t="s">
        <v>30</v>
      </c>
      <c r="C2051" t="s">
        <v>16</v>
      </c>
      <c r="D2051">
        <v>143358</v>
      </c>
      <c r="E2051">
        <v>29315</v>
      </c>
      <c r="F2051">
        <v>100</v>
      </c>
      <c r="G2051">
        <v>10000</v>
      </c>
      <c r="H2051">
        <v>0</v>
      </c>
      <c r="I2051">
        <v>23600</v>
      </c>
      <c r="J2051">
        <v>0</v>
      </c>
      <c r="K2051">
        <v>0</v>
      </c>
      <c r="L2051">
        <v>1</v>
      </c>
      <c r="M2051">
        <v>0</v>
      </c>
      <c r="N2051" t="s">
        <v>17</v>
      </c>
      <c r="O2051" s="1">
        <f>result[[#This Row],[n_killed_mutants_cumulativa]]/result[[#This Row],[tot_mutants]]</f>
        <v>0</v>
      </c>
    </row>
    <row r="2052" spans="1:16" hidden="1" x14ac:dyDescent="0.25">
      <c r="A2052" t="s">
        <v>289</v>
      </c>
      <c r="B2052" t="s">
        <v>31</v>
      </c>
      <c r="C2052" t="s">
        <v>16</v>
      </c>
      <c r="D2052">
        <v>174894</v>
      </c>
      <c r="E2052">
        <v>35373</v>
      </c>
      <c r="F2052">
        <v>110</v>
      </c>
      <c r="G2052">
        <v>12100</v>
      </c>
      <c r="H2052">
        <v>0</v>
      </c>
      <c r="I2052">
        <v>28160</v>
      </c>
      <c r="J2052">
        <v>0</v>
      </c>
      <c r="K2052">
        <v>0</v>
      </c>
      <c r="L2052">
        <v>1</v>
      </c>
      <c r="M2052">
        <v>0</v>
      </c>
      <c r="N2052" t="s">
        <v>17</v>
      </c>
      <c r="O2052" s="1">
        <f>result[[#This Row],[n_killed_mutants_cumulativa]]/result[[#This Row],[tot_mutants]]</f>
        <v>0</v>
      </c>
    </row>
    <row r="2053" spans="1:16" hidden="1" x14ac:dyDescent="0.25">
      <c r="A2053" t="s">
        <v>289</v>
      </c>
      <c r="B2053" t="s">
        <v>22</v>
      </c>
      <c r="C2053" t="s">
        <v>16</v>
      </c>
      <c r="D2053">
        <v>745412</v>
      </c>
      <c r="E2053">
        <v>150493</v>
      </c>
      <c r="F2053">
        <v>660</v>
      </c>
      <c r="G2053">
        <v>50600</v>
      </c>
      <c r="H2053">
        <v>0</v>
      </c>
      <c r="I2053">
        <v>124960</v>
      </c>
      <c r="J2053">
        <v>0</v>
      </c>
      <c r="K2053">
        <v>0</v>
      </c>
      <c r="L2053">
        <v>1</v>
      </c>
      <c r="M2053">
        <v>0</v>
      </c>
      <c r="N2053" t="s">
        <v>17</v>
      </c>
      <c r="O2053" s="1">
        <f>result[[#This Row],[n_killed_mutants_cumulativa]]/result[[#This Row],[tot_mutants]]</f>
        <v>0</v>
      </c>
      <c r="P2053" s="9" t="s">
        <v>346</v>
      </c>
    </row>
    <row r="2054" spans="1:16" hidden="1" x14ac:dyDescent="0.25">
      <c r="A2054" t="s">
        <v>290</v>
      </c>
      <c r="B2054" t="s">
        <v>15</v>
      </c>
      <c r="C2054" t="s">
        <v>16</v>
      </c>
      <c r="D2054">
        <v>5471</v>
      </c>
      <c r="E2054">
        <v>108</v>
      </c>
      <c r="F2054">
        <v>10</v>
      </c>
      <c r="G2054">
        <v>100</v>
      </c>
      <c r="H2054">
        <v>68</v>
      </c>
      <c r="I2054">
        <v>676</v>
      </c>
      <c r="J2054">
        <v>0</v>
      </c>
      <c r="K2054">
        <v>0</v>
      </c>
      <c r="L2054">
        <v>7</v>
      </c>
      <c r="M2054">
        <v>1</v>
      </c>
      <c r="N2054" t="s">
        <v>266</v>
      </c>
      <c r="O2054" s="1">
        <f>result[[#This Row],[n_killed_mutants_cumulativa]]/result[[#This Row],[tot_mutants]]</f>
        <v>0.14285714285714285</v>
      </c>
    </row>
    <row r="2055" spans="1:16" hidden="1" x14ac:dyDescent="0.25">
      <c r="A2055" t="s">
        <v>290</v>
      </c>
      <c r="B2055" t="s">
        <v>18</v>
      </c>
      <c r="C2055" t="s">
        <v>16</v>
      </c>
      <c r="D2055">
        <v>6781</v>
      </c>
      <c r="E2055">
        <v>33</v>
      </c>
      <c r="F2055">
        <v>20</v>
      </c>
      <c r="G2055">
        <v>400</v>
      </c>
      <c r="H2055">
        <v>150</v>
      </c>
      <c r="I2055">
        <v>2616</v>
      </c>
      <c r="J2055">
        <v>0</v>
      </c>
      <c r="K2055">
        <v>0</v>
      </c>
      <c r="L2055">
        <v>7</v>
      </c>
      <c r="M2055">
        <v>1</v>
      </c>
      <c r="N2055" t="s">
        <v>266</v>
      </c>
      <c r="O2055" s="1">
        <f>result[[#This Row],[n_killed_mutants_cumulativa]]/result[[#This Row],[tot_mutants]]</f>
        <v>0.14285714285714285</v>
      </c>
    </row>
    <row r="2056" spans="1:16" hidden="1" x14ac:dyDescent="0.25">
      <c r="A2056" t="s">
        <v>290</v>
      </c>
      <c r="B2056" t="s">
        <v>19</v>
      </c>
      <c r="C2056" t="s">
        <v>16</v>
      </c>
      <c r="D2056">
        <v>11287</v>
      </c>
      <c r="E2056">
        <v>46</v>
      </c>
      <c r="F2056">
        <v>30</v>
      </c>
      <c r="G2056">
        <v>900</v>
      </c>
      <c r="H2056">
        <v>262</v>
      </c>
      <c r="I2056">
        <v>6383</v>
      </c>
      <c r="J2056">
        <v>0</v>
      </c>
      <c r="K2056">
        <v>0</v>
      </c>
      <c r="L2056">
        <v>7</v>
      </c>
      <c r="M2056">
        <v>1</v>
      </c>
      <c r="N2056" t="s">
        <v>266</v>
      </c>
      <c r="O2056" s="1">
        <f>result[[#This Row],[n_killed_mutants_cumulativa]]/result[[#This Row],[tot_mutants]]</f>
        <v>0.14285714285714285</v>
      </c>
    </row>
    <row r="2057" spans="1:16" hidden="1" x14ac:dyDescent="0.25">
      <c r="A2057" t="s">
        <v>290</v>
      </c>
      <c r="B2057" t="s">
        <v>20</v>
      </c>
      <c r="C2057" t="s">
        <v>16</v>
      </c>
      <c r="D2057">
        <v>18394</v>
      </c>
      <c r="E2057">
        <v>42</v>
      </c>
      <c r="F2057">
        <v>40</v>
      </c>
      <c r="G2057">
        <v>1600</v>
      </c>
      <c r="H2057">
        <v>258</v>
      </c>
      <c r="I2057">
        <v>10677</v>
      </c>
      <c r="J2057">
        <v>0</v>
      </c>
      <c r="K2057">
        <v>0</v>
      </c>
      <c r="L2057">
        <v>7</v>
      </c>
      <c r="M2057">
        <v>1</v>
      </c>
      <c r="N2057" t="s">
        <v>266</v>
      </c>
      <c r="O2057" s="1">
        <f>result[[#This Row],[n_killed_mutants_cumulativa]]/result[[#This Row],[tot_mutants]]</f>
        <v>0.14285714285714285</v>
      </c>
    </row>
    <row r="2058" spans="1:16" hidden="1" x14ac:dyDescent="0.25">
      <c r="A2058" t="s">
        <v>290</v>
      </c>
      <c r="B2058" t="s">
        <v>21</v>
      </c>
      <c r="C2058" t="s">
        <v>16</v>
      </c>
      <c r="D2058">
        <v>26261</v>
      </c>
      <c r="E2058">
        <v>51</v>
      </c>
      <c r="F2058">
        <v>50</v>
      </c>
      <c r="G2058">
        <v>2500</v>
      </c>
      <c r="H2058">
        <v>330</v>
      </c>
      <c r="I2058">
        <v>16494</v>
      </c>
      <c r="J2058">
        <v>0</v>
      </c>
      <c r="K2058">
        <v>0</v>
      </c>
      <c r="L2058">
        <v>7</v>
      </c>
      <c r="M2058">
        <v>1</v>
      </c>
      <c r="N2058" t="s">
        <v>266</v>
      </c>
      <c r="O2058" s="1">
        <f>result[[#This Row],[n_killed_mutants_cumulativa]]/result[[#This Row],[tot_mutants]]</f>
        <v>0.14285714285714285</v>
      </c>
    </row>
    <row r="2059" spans="1:16" hidden="1" x14ac:dyDescent="0.25">
      <c r="A2059" t="s">
        <v>290</v>
      </c>
      <c r="B2059" t="s">
        <v>24</v>
      </c>
      <c r="C2059" t="s">
        <v>16</v>
      </c>
      <c r="D2059">
        <v>36251</v>
      </c>
      <c r="E2059">
        <v>65</v>
      </c>
      <c r="F2059">
        <v>60</v>
      </c>
      <c r="G2059">
        <v>3600</v>
      </c>
      <c r="H2059">
        <v>400</v>
      </c>
      <c r="I2059">
        <v>24287</v>
      </c>
      <c r="J2059">
        <v>0</v>
      </c>
      <c r="K2059">
        <v>0</v>
      </c>
      <c r="L2059">
        <v>7</v>
      </c>
      <c r="M2059">
        <v>1</v>
      </c>
      <c r="N2059" t="s">
        <v>266</v>
      </c>
      <c r="O2059" s="1">
        <f>result[[#This Row],[n_killed_mutants_cumulativa]]/result[[#This Row],[tot_mutants]]</f>
        <v>0.14285714285714285</v>
      </c>
    </row>
    <row r="2060" spans="1:16" hidden="1" x14ac:dyDescent="0.25">
      <c r="A2060" t="s">
        <v>290</v>
      </c>
      <c r="B2060" t="s">
        <v>25</v>
      </c>
      <c r="C2060" t="s">
        <v>16</v>
      </c>
      <c r="D2060">
        <v>49983</v>
      </c>
      <c r="E2060">
        <v>94</v>
      </c>
      <c r="F2060">
        <v>70</v>
      </c>
      <c r="G2060">
        <v>4900</v>
      </c>
      <c r="H2060">
        <v>590</v>
      </c>
      <c r="I2060">
        <v>34783</v>
      </c>
      <c r="J2060">
        <v>0</v>
      </c>
      <c r="K2060">
        <v>0</v>
      </c>
      <c r="L2060">
        <v>7</v>
      </c>
      <c r="M2060">
        <v>1</v>
      </c>
      <c r="N2060" t="s">
        <v>266</v>
      </c>
      <c r="O2060" s="1">
        <f>result[[#This Row],[n_killed_mutants_cumulativa]]/result[[#This Row],[tot_mutants]]</f>
        <v>0.14285714285714285</v>
      </c>
    </row>
    <row r="2061" spans="1:16" hidden="1" x14ac:dyDescent="0.25">
      <c r="A2061" t="s">
        <v>290</v>
      </c>
      <c r="B2061" t="s">
        <v>26</v>
      </c>
      <c r="C2061" t="s">
        <v>16</v>
      </c>
      <c r="D2061">
        <v>65289</v>
      </c>
      <c r="E2061">
        <v>112</v>
      </c>
      <c r="F2061">
        <v>80</v>
      </c>
      <c r="G2061">
        <v>6400</v>
      </c>
      <c r="H2061">
        <v>606</v>
      </c>
      <c r="I2061">
        <v>45469</v>
      </c>
      <c r="J2061">
        <v>0</v>
      </c>
      <c r="K2061">
        <v>0</v>
      </c>
      <c r="L2061">
        <v>7</v>
      </c>
      <c r="M2061">
        <v>1</v>
      </c>
      <c r="N2061" t="s">
        <v>266</v>
      </c>
      <c r="O2061" s="1">
        <f>result[[#This Row],[n_killed_mutants_cumulativa]]/result[[#This Row],[tot_mutants]]</f>
        <v>0.14285714285714285</v>
      </c>
    </row>
    <row r="2062" spans="1:16" hidden="1" x14ac:dyDescent="0.25">
      <c r="A2062" t="s">
        <v>290</v>
      </c>
      <c r="B2062" t="s">
        <v>27</v>
      </c>
      <c r="C2062" t="s">
        <v>16</v>
      </c>
      <c r="D2062">
        <v>81741</v>
      </c>
      <c r="E2062">
        <v>134</v>
      </c>
      <c r="F2062">
        <v>90</v>
      </c>
      <c r="G2062">
        <v>8100</v>
      </c>
      <c r="H2062">
        <v>668</v>
      </c>
      <c r="I2062">
        <v>55410</v>
      </c>
      <c r="J2062">
        <v>0</v>
      </c>
      <c r="K2062">
        <v>0</v>
      </c>
      <c r="L2062">
        <v>7</v>
      </c>
      <c r="M2062">
        <v>1</v>
      </c>
      <c r="N2062" t="s">
        <v>266</v>
      </c>
      <c r="O2062" s="1">
        <f>result[[#This Row],[n_killed_mutants_cumulativa]]/result[[#This Row],[tot_mutants]]</f>
        <v>0.14285714285714285</v>
      </c>
    </row>
    <row r="2063" spans="1:16" hidden="1" x14ac:dyDescent="0.25">
      <c r="A2063" t="s">
        <v>290</v>
      </c>
      <c r="B2063" t="s">
        <v>30</v>
      </c>
      <c r="C2063" t="s">
        <v>16</v>
      </c>
      <c r="D2063">
        <v>104889</v>
      </c>
      <c r="E2063">
        <v>167</v>
      </c>
      <c r="F2063">
        <v>100</v>
      </c>
      <c r="G2063">
        <v>10000</v>
      </c>
      <c r="H2063">
        <v>788</v>
      </c>
      <c r="I2063">
        <v>70348</v>
      </c>
      <c r="J2063">
        <v>0</v>
      </c>
      <c r="K2063">
        <v>0</v>
      </c>
      <c r="L2063">
        <v>7</v>
      </c>
      <c r="M2063">
        <v>1</v>
      </c>
      <c r="N2063" t="s">
        <v>266</v>
      </c>
      <c r="O2063" s="1">
        <f>result[[#This Row],[n_killed_mutants_cumulativa]]/result[[#This Row],[tot_mutants]]</f>
        <v>0.14285714285714285</v>
      </c>
    </row>
    <row r="2064" spans="1:16" hidden="1" x14ac:dyDescent="0.25">
      <c r="A2064" t="s">
        <v>290</v>
      </c>
      <c r="B2064" t="s">
        <v>31</v>
      </c>
      <c r="C2064" t="s">
        <v>16</v>
      </c>
      <c r="D2064">
        <v>133409</v>
      </c>
      <c r="E2064">
        <v>191</v>
      </c>
      <c r="F2064">
        <v>110</v>
      </c>
      <c r="G2064">
        <v>12100</v>
      </c>
      <c r="H2064">
        <v>810</v>
      </c>
      <c r="I2064">
        <v>82291</v>
      </c>
      <c r="J2064">
        <v>0</v>
      </c>
      <c r="K2064">
        <v>0</v>
      </c>
      <c r="L2064">
        <v>7</v>
      </c>
      <c r="M2064">
        <v>1</v>
      </c>
      <c r="N2064" t="s">
        <v>266</v>
      </c>
      <c r="O2064" s="1">
        <f>result[[#This Row],[n_killed_mutants_cumulativa]]/result[[#This Row],[tot_mutants]]</f>
        <v>0.14285714285714285</v>
      </c>
    </row>
    <row r="2065" spans="1:16" hidden="1" x14ac:dyDescent="0.25">
      <c r="A2065" t="s">
        <v>290</v>
      </c>
      <c r="B2065" t="s">
        <v>36</v>
      </c>
      <c r="C2065" t="s">
        <v>16</v>
      </c>
      <c r="D2065">
        <v>159447</v>
      </c>
      <c r="E2065">
        <v>230</v>
      </c>
      <c r="F2065">
        <v>120</v>
      </c>
      <c r="G2065">
        <v>14400</v>
      </c>
      <c r="H2065">
        <v>910</v>
      </c>
      <c r="I2065">
        <v>100867</v>
      </c>
      <c r="J2065">
        <v>0</v>
      </c>
      <c r="K2065">
        <v>0</v>
      </c>
      <c r="L2065">
        <v>7</v>
      </c>
      <c r="M2065">
        <v>1</v>
      </c>
      <c r="N2065" t="s">
        <v>266</v>
      </c>
      <c r="O2065" s="1">
        <f>result[[#This Row],[n_killed_mutants_cumulativa]]/result[[#This Row],[tot_mutants]]</f>
        <v>0.14285714285714285</v>
      </c>
    </row>
    <row r="2066" spans="1:16" x14ac:dyDescent="0.25">
      <c r="A2066" t="s">
        <v>290</v>
      </c>
      <c r="B2066" t="s">
        <v>22</v>
      </c>
      <c r="C2066" t="s">
        <v>16</v>
      </c>
      <c r="D2066">
        <v>699203</v>
      </c>
      <c r="E2066">
        <v>1273</v>
      </c>
      <c r="F2066">
        <v>780</v>
      </c>
      <c r="G2066">
        <v>65000</v>
      </c>
      <c r="H2066">
        <v>5840</v>
      </c>
      <c r="I2066">
        <v>450301</v>
      </c>
      <c r="J2066">
        <v>0</v>
      </c>
      <c r="K2066">
        <v>0</v>
      </c>
      <c r="L2066">
        <v>7</v>
      </c>
      <c r="M2066">
        <v>1</v>
      </c>
      <c r="N2066" t="s">
        <v>266</v>
      </c>
      <c r="O2066" s="1">
        <f>result[[#This Row],[n_killed_mutants_cumulativa]]/result[[#This Row],[tot_mutants]]</f>
        <v>0.14285714285714285</v>
      </c>
      <c r="P2066" s="9" t="s">
        <v>360</v>
      </c>
    </row>
    <row r="2067" spans="1:16" hidden="1" x14ac:dyDescent="0.25">
      <c r="A2067" t="s">
        <v>291</v>
      </c>
      <c r="B2067" t="s">
        <v>15</v>
      </c>
      <c r="C2067" t="s">
        <v>16</v>
      </c>
      <c r="D2067">
        <v>16219</v>
      </c>
      <c r="E2067">
        <v>122</v>
      </c>
      <c r="F2067">
        <v>10</v>
      </c>
      <c r="G2067">
        <v>100</v>
      </c>
      <c r="H2067">
        <v>54</v>
      </c>
      <c r="I2067">
        <v>280</v>
      </c>
      <c r="J2067">
        <v>0</v>
      </c>
      <c r="K2067">
        <v>0</v>
      </c>
      <c r="L2067">
        <v>31</v>
      </c>
      <c r="M2067">
        <v>2</v>
      </c>
      <c r="N2067" t="s">
        <v>292</v>
      </c>
      <c r="O2067" s="1">
        <f>result[[#This Row],[n_killed_mutants_cumulativa]]/result[[#This Row],[tot_mutants]]</f>
        <v>6.4516129032258063E-2</v>
      </c>
    </row>
    <row r="2068" spans="1:16" hidden="1" x14ac:dyDescent="0.25">
      <c r="A2068" t="s">
        <v>291</v>
      </c>
      <c r="B2068" t="s">
        <v>18</v>
      </c>
      <c r="C2068" t="s">
        <v>16</v>
      </c>
      <c r="D2068">
        <v>27964</v>
      </c>
      <c r="E2068">
        <v>59</v>
      </c>
      <c r="F2068">
        <v>20</v>
      </c>
      <c r="G2068">
        <v>400</v>
      </c>
      <c r="H2068">
        <v>288</v>
      </c>
      <c r="I2068">
        <v>1444</v>
      </c>
      <c r="J2068">
        <v>0</v>
      </c>
      <c r="K2068">
        <v>0</v>
      </c>
      <c r="L2068">
        <v>31</v>
      </c>
      <c r="M2068">
        <v>3</v>
      </c>
      <c r="N2068" t="s">
        <v>293</v>
      </c>
      <c r="O2068" s="1">
        <f>result[[#This Row],[n_killed_mutants_cumulativa]]/result[[#This Row],[tot_mutants]]</f>
        <v>9.6774193548387094E-2</v>
      </c>
    </row>
    <row r="2069" spans="1:16" hidden="1" x14ac:dyDescent="0.25">
      <c r="A2069" t="s">
        <v>291</v>
      </c>
      <c r="B2069" t="s">
        <v>19</v>
      </c>
      <c r="C2069" t="s">
        <v>16</v>
      </c>
      <c r="D2069">
        <v>47694</v>
      </c>
      <c r="E2069">
        <v>93</v>
      </c>
      <c r="F2069">
        <v>30</v>
      </c>
      <c r="G2069">
        <v>900</v>
      </c>
      <c r="H2069">
        <v>684</v>
      </c>
      <c r="I2069">
        <v>3761</v>
      </c>
      <c r="J2069">
        <v>0</v>
      </c>
      <c r="K2069">
        <v>0</v>
      </c>
      <c r="L2069">
        <v>31</v>
      </c>
      <c r="M2069">
        <v>4</v>
      </c>
      <c r="N2069" t="s">
        <v>294</v>
      </c>
      <c r="O2069" s="1">
        <f>result[[#This Row],[n_killed_mutants_cumulativa]]/result[[#This Row],[tot_mutants]]</f>
        <v>0.12903225806451613</v>
      </c>
    </row>
    <row r="2070" spans="1:16" hidden="1" x14ac:dyDescent="0.25">
      <c r="A2070" t="s">
        <v>291</v>
      </c>
      <c r="B2070" t="s">
        <v>20</v>
      </c>
      <c r="C2070" t="s">
        <v>16</v>
      </c>
      <c r="D2070">
        <v>75194</v>
      </c>
      <c r="E2070">
        <v>179</v>
      </c>
      <c r="F2070">
        <v>40</v>
      </c>
      <c r="G2070">
        <v>1600</v>
      </c>
      <c r="H2070">
        <v>942</v>
      </c>
      <c r="I2070">
        <v>7450</v>
      </c>
      <c r="J2070">
        <v>0</v>
      </c>
      <c r="K2070">
        <v>0</v>
      </c>
      <c r="L2070">
        <v>31</v>
      </c>
      <c r="M2070">
        <v>4</v>
      </c>
      <c r="N2070" t="s">
        <v>294</v>
      </c>
      <c r="O2070" s="1">
        <f>result[[#This Row],[n_killed_mutants_cumulativa]]/result[[#This Row],[tot_mutants]]</f>
        <v>0.12903225806451613</v>
      </c>
    </row>
    <row r="2071" spans="1:16" hidden="1" x14ac:dyDescent="0.25">
      <c r="A2071" t="s">
        <v>291</v>
      </c>
      <c r="B2071" t="s">
        <v>21</v>
      </c>
      <c r="C2071" t="s">
        <v>16</v>
      </c>
      <c r="D2071">
        <v>109809</v>
      </c>
      <c r="E2071">
        <v>291</v>
      </c>
      <c r="F2071">
        <v>50</v>
      </c>
      <c r="G2071">
        <v>2500</v>
      </c>
      <c r="H2071">
        <v>1281</v>
      </c>
      <c r="I2071">
        <v>12454</v>
      </c>
      <c r="J2071">
        <v>0</v>
      </c>
      <c r="K2071">
        <v>0</v>
      </c>
      <c r="L2071">
        <v>31</v>
      </c>
      <c r="M2071">
        <v>5</v>
      </c>
      <c r="N2071" t="s">
        <v>295</v>
      </c>
      <c r="O2071" s="1">
        <f>result[[#This Row],[n_killed_mutants_cumulativa]]/result[[#This Row],[tot_mutants]]</f>
        <v>0.16129032258064516</v>
      </c>
    </row>
    <row r="2072" spans="1:16" hidden="1" x14ac:dyDescent="0.25">
      <c r="A2072" t="s">
        <v>291</v>
      </c>
      <c r="B2072" t="s">
        <v>24</v>
      </c>
      <c r="C2072" t="s">
        <v>16</v>
      </c>
      <c r="D2072">
        <v>146212</v>
      </c>
      <c r="E2072">
        <v>431</v>
      </c>
      <c r="F2072">
        <v>60</v>
      </c>
      <c r="G2072">
        <v>3600</v>
      </c>
      <c r="H2072">
        <v>1974</v>
      </c>
      <c r="I2072">
        <v>19878</v>
      </c>
      <c r="J2072">
        <v>0</v>
      </c>
      <c r="K2072">
        <v>0</v>
      </c>
      <c r="L2072">
        <v>31</v>
      </c>
      <c r="M2072">
        <v>7</v>
      </c>
      <c r="N2072" t="s">
        <v>296</v>
      </c>
      <c r="O2072" s="1">
        <f>result[[#This Row],[n_killed_mutants_cumulativa]]/result[[#This Row],[tot_mutants]]</f>
        <v>0.22580645161290322</v>
      </c>
    </row>
    <row r="2073" spans="1:16" hidden="1" x14ac:dyDescent="0.25">
      <c r="A2073" t="s">
        <v>291</v>
      </c>
      <c r="B2073" t="s">
        <v>25</v>
      </c>
      <c r="C2073" t="s">
        <v>16</v>
      </c>
      <c r="D2073">
        <v>211692</v>
      </c>
      <c r="E2073">
        <v>529</v>
      </c>
      <c r="F2073">
        <v>70</v>
      </c>
      <c r="G2073">
        <v>4900</v>
      </c>
      <c r="H2073">
        <v>2993</v>
      </c>
      <c r="I2073">
        <v>31600</v>
      </c>
      <c r="J2073">
        <v>0</v>
      </c>
      <c r="K2073">
        <v>0</v>
      </c>
      <c r="L2073">
        <v>31</v>
      </c>
      <c r="M2073">
        <v>9</v>
      </c>
      <c r="N2073" t="s">
        <v>297</v>
      </c>
      <c r="O2073" s="1">
        <f>result[[#This Row],[n_killed_mutants_cumulativa]]/result[[#This Row],[tot_mutants]]</f>
        <v>0.29032258064516131</v>
      </c>
    </row>
    <row r="2074" spans="1:16" x14ac:dyDescent="0.25">
      <c r="A2074" t="s">
        <v>291</v>
      </c>
      <c r="B2074" t="s">
        <v>22</v>
      </c>
      <c r="C2074" t="s">
        <v>16</v>
      </c>
      <c r="D2074">
        <v>634784</v>
      </c>
      <c r="E2074">
        <v>1704</v>
      </c>
      <c r="F2074">
        <v>280</v>
      </c>
      <c r="G2074">
        <v>14000</v>
      </c>
      <c r="H2074">
        <v>8216</v>
      </c>
      <c r="I2074">
        <v>76867</v>
      </c>
      <c r="J2074">
        <v>0</v>
      </c>
      <c r="K2074">
        <v>0</v>
      </c>
      <c r="L2074">
        <v>31</v>
      </c>
      <c r="M2074">
        <v>9</v>
      </c>
      <c r="N2074" t="s">
        <v>297</v>
      </c>
      <c r="O2074" s="1">
        <f>result[[#This Row],[n_killed_mutants_cumulativa]]/result[[#This Row],[tot_mutants]]</f>
        <v>0.29032258064516131</v>
      </c>
      <c r="P2074" s="9" t="s">
        <v>361</v>
      </c>
    </row>
    <row r="2075" spans="1:16" hidden="1" x14ac:dyDescent="0.25">
      <c r="A2075" t="s">
        <v>298</v>
      </c>
      <c r="B2075" t="s">
        <v>15</v>
      </c>
      <c r="C2075" t="s">
        <v>16</v>
      </c>
      <c r="D2075">
        <v>4965</v>
      </c>
      <c r="E2075">
        <v>316</v>
      </c>
      <c r="F2075">
        <v>10</v>
      </c>
      <c r="G2075">
        <v>100</v>
      </c>
      <c r="H2075">
        <v>506</v>
      </c>
      <c r="I2075">
        <v>120</v>
      </c>
      <c r="J2075">
        <v>0</v>
      </c>
      <c r="K2075">
        <v>0</v>
      </c>
      <c r="L2075">
        <v>5</v>
      </c>
      <c r="M2075">
        <v>0</v>
      </c>
      <c r="N2075" t="s">
        <v>17</v>
      </c>
      <c r="O2075" s="1">
        <f>result[[#This Row],[n_killed_mutants_cumulativa]]/result[[#This Row],[tot_mutants]]</f>
        <v>0</v>
      </c>
    </row>
    <row r="2076" spans="1:16" hidden="1" x14ac:dyDescent="0.25">
      <c r="A2076" t="s">
        <v>298</v>
      </c>
      <c r="B2076" t="s">
        <v>18</v>
      </c>
      <c r="C2076" t="s">
        <v>16</v>
      </c>
      <c r="D2076">
        <v>5786</v>
      </c>
      <c r="E2076">
        <v>406</v>
      </c>
      <c r="F2076">
        <v>20</v>
      </c>
      <c r="G2076">
        <v>400</v>
      </c>
      <c r="H2076">
        <v>1979</v>
      </c>
      <c r="I2076">
        <v>239</v>
      </c>
      <c r="J2076">
        <v>0</v>
      </c>
      <c r="K2076">
        <v>0</v>
      </c>
      <c r="L2076">
        <v>5</v>
      </c>
      <c r="M2076">
        <v>0</v>
      </c>
      <c r="N2076" t="s">
        <v>17</v>
      </c>
      <c r="O2076" s="1">
        <f>result[[#This Row],[n_killed_mutants_cumulativa]]/result[[#This Row],[tot_mutants]]</f>
        <v>0</v>
      </c>
    </row>
    <row r="2077" spans="1:16" hidden="1" x14ac:dyDescent="0.25">
      <c r="A2077" t="s">
        <v>298</v>
      </c>
      <c r="B2077" t="s">
        <v>19</v>
      </c>
      <c r="C2077" t="s">
        <v>16</v>
      </c>
      <c r="D2077">
        <v>9322</v>
      </c>
      <c r="E2077">
        <v>442</v>
      </c>
      <c r="F2077">
        <v>30</v>
      </c>
      <c r="G2077">
        <v>900</v>
      </c>
      <c r="H2077">
        <v>4446</v>
      </c>
      <c r="I2077">
        <v>360</v>
      </c>
      <c r="J2077">
        <v>0</v>
      </c>
      <c r="K2077">
        <v>0</v>
      </c>
      <c r="L2077">
        <v>5</v>
      </c>
      <c r="M2077">
        <v>0</v>
      </c>
      <c r="N2077" t="s">
        <v>17</v>
      </c>
      <c r="O2077" s="1">
        <f>result[[#This Row],[n_killed_mutants_cumulativa]]/result[[#This Row],[tot_mutants]]</f>
        <v>0</v>
      </c>
    </row>
    <row r="2078" spans="1:16" hidden="1" x14ac:dyDescent="0.25">
      <c r="A2078" t="s">
        <v>298</v>
      </c>
      <c r="B2078" t="s">
        <v>20</v>
      </c>
      <c r="C2078" t="s">
        <v>16</v>
      </c>
      <c r="D2078">
        <v>13781</v>
      </c>
      <c r="E2078">
        <v>833</v>
      </c>
      <c r="F2078">
        <v>40</v>
      </c>
      <c r="G2078">
        <v>1600</v>
      </c>
      <c r="H2078">
        <v>7949</v>
      </c>
      <c r="I2078">
        <v>477</v>
      </c>
      <c r="J2078">
        <v>0</v>
      </c>
      <c r="K2078">
        <v>0</v>
      </c>
      <c r="L2078">
        <v>5</v>
      </c>
      <c r="M2078">
        <v>0</v>
      </c>
      <c r="N2078" t="s">
        <v>17</v>
      </c>
      <c r="O2078" s="1">
        <f>result[[#This Row],[n_killed_mutants_cumulativa]]/result[[#This Row],[tot_mutants]]</f>
        <v>0</v>
      </c>
    </row>
    <row r="2079" spans="1:16" hidden="1" x14ac:dyDescent="0.25">
      <c r="A2079" t="s">
        <v>298</v>
      </c>
      <c r="B2079" t="s">
        <v>21</v>
      </c>
      <c r="C2079" t="s">
        <v>16</v>
      </c>
      <c r="D2079">
        <v>18347</v>
      </c>
      <c r="E2079">
        <v>1083</v>
      </c>
      <c r="F2079">
        <v>50</v>
      </c>
      <c r="G2079">
        <v>2500</v>
      </c>
      <c r="H2079">
        <v>12425</v>
      </c>
      <c r="I2079">
        <v>600</v>
      </c>
      <c r="J2079">
        <v>0</v>
      </c>
      <c r="K2079">
        <v>0</v>
      </c>
      <c r="L2079">
        <v>5</v>
      </c>
      <c r="M2079">
        <v>0</v>
      </c>
      <c r="N2079" t="s">
        <v>17</v>
      </c>
      <c r="O2079" s="1">
        <f>result[[#This Row],[n_killed_mutants_cumulativa]]/result[[#This Row],[tot_mutants]]</f>
        <v>0</v>
      </c>
    </row>
    <row r="2080" spans="1:16" hidden="1" x14ac:dyDescent="0.25">
      <c r="A2080" t="s">
        <v>298</v>
      </c>
      <c r="B2080" t="s">
        <v>24</v>
      </c>
      <c r="C2080" t="s">
        <v>16</v>
      </c>
      <c r="D2080">
        <v>25160</v>
      </c>
      <c r="E2080">
        <v>1650</v>
      </c>
      <c r="F2080">
        <v>60</v>
      </c>
      <c r="G2080">
        <v>3600</v>
      </c>
      <c r="H2080">
        <v>17820</v>
      </c>
      <c r="I2080">
        <v>718</v>
      </c>
      <c r="J2080">
        <v>0</v>
      </c>
      <c r="K2080">
        <v>0</v>
      </c>
      <c r="L2080">
        <v>5</v>
      </c>
      <c r="M2080">
        <v>0</v>
      </c>
      <c r="N2080" t="s">
        <v>17</v>
      </c>
      <c r="O2080" s="1">
        <f>result[[#This Row],[n_killed_mutants_cumulativa]]/result[[#This Row],[tot_mutants]]</f>
        <v>0</v>
      </c>
    </row>
    <row r="2081" spans="1:16" hidden="1" x14ac:dyDescent="0.25">
      <c r="A2081" t="s">
        <v>298</v>
      </c>
      <c r="B2081" t="s">
        <v>25</v>
      </c>
      <c r="C2081" t="s">
        <v>16</v>
      </c>
      <c r="D2081">
        <v>32594</v>
      </c>
      <c r="E2081">
        <v>2301</v>
      </c>
      <c r="F2081">
        <v>70</v>
      </c>
      <c r="G2081">
        <v>4900</v>
      </c>
      <c r="H2081">
        <v>24391</v>
      </c>
      <c r="I2081">
        <v>839</v>
      </c>
      <c r="J2081">
        <v>0</v>
      </c>
      <c r="K2081">
        <v>0</v>
      </c>
      <c r="L2081">
        <v>5</v>
      </c>
      <c r="M2081">
        <v>0</v>
      </c>
      <c r="N2081" t="s">
        <v>17</v>
      </c>
      <c r="O2081" s="1">
        <f>result[[#This Row],[n_killed_mutants_cumulativa]]/result[[#This Row],[tot_mutants]]</f>
        <v>0</v>
      </c>
    </row>
    <row r="2082" spans="1:16" hidden="1" x14ac:dyDescent="0.25">
      <c r="A2082" t="s">
        <v>298</v>
      </c>
      <c r="B2082" t="s">
        <v>26</v>
      </c>
      <c r="C2082" t="s">
        <v>16</v>
      </c>
      <c r="D2082">
        <v>41189</v>
      </c>
      <c r="E2082">
        <v>2722</v>
      </c>
      <c r="F2082">
        <v>80</v>
      </c>
      <c r="G2082">
        <v>6400</v>
      </c>
      <c r="H2082">
        <v>31685</v>
      </c>
      <c r="I2082">
        <v>957</v>
      </c>
      <c r="J2082">
        <v>0</v>
      </c>
      <c r="K2082">
        <v>0</v>
      </c>
      <c r="L2082">
        <v>5</v>
      </c>
      <c r="M2082">
        <v>0</v>
      </c>
      <c r="N2082" t="s">
        <v>17</v>
      </c>
      <c r="O2082" s="1">
        <f>result[[#This Row],[n_killed_mutants_cumulativa]]/result[[#This Row],[tot_mutants]]</f>
        <v>0</v>
      </c>
    </row>
    <row r="2083" spans="1:16" hidden="1" x14ac:dyDescent="0.25">
      <c r="A2083" t="s">
        <v>298</v>
      </c>
      <c r="B2083" t="s">
        <v>27</v>
      </c>
      <c r="C2083" t="s">
        <v>16</v>
      </c>
      <c r="D2083">
        <v>52318</v>
      </c>
      <c r="E2083">
        <v>3423</v>
      </c>
      <c r="F2083">
        <v>90</v>
      </c>
      <c r="G2083">
        <v>8100</v>
      </c>
      <c r="H2083">
        <v>40151</v>
      </c>
      <c r="I2083">
        <v>1077</v>
      </c>
      <c r="J2083">
        <v>0</v>
      </c>
      <c r="K2083">
        <v>0</v>
      </c>
      <c r="L2083">
        <v>5</v>
      </c>
      <c r="M2083">
        <v>0</v>
      </c>
      <c r="N2083" t="s">
        <v>17</v>
      </c>
      <c r="O2083" s="1">
        <f>result[[#This Row],[n_killed_mutants_cumulativa]]/result[[#This Row],[tot_mutants]]</f>
        <v>0</v>
      </c>
    </row>
    <row r="2084" spans="1:16" hidden="1" x14ac:dyDescent="0.25">
      <c r="A2084" t="s">
        <v>298</v>
      </c>
      <c r="B2084" t="s">
        <v>30</v>
      </c>
      <c r="C2084" t="s">
        <v>16</v>
      </c>
      <c r="D2084">
        <v>63802</v>
      </c>
      <c r="E2084">
        <v>4281</v>
      </c>
      <c r="F2084">
        <v>100</v>
      </c>
      <c r="G2084">
        <v>10000</v>
      </c>
      <c r="H2084">
        <v>49636</v>
      </c>
      <c r="I2084">
        <v>1194</v>
      </c>
      <c r="J2084">
        <v>0</v>
      </c>
      <c r="K2084">
        <v>0</v>
      </c>
      <c r="L2084">
        <v>5</v>
      </c>
      <c r="M2084">
        <v>0</v>
      </c>
      <c r="N2084" t="s">
        <v>17</v>
      </c>
      <c r="O2084" s="1">
        <f>result[[#This Row],[n_killed_mutants_cumulativa]]/result[[#This Row],[tot_mutants]]</f>
        <v>0</v>
      </c>
    </row>
    <row r="2085" spans="1:16" hidden="1" x14ac:dyDescent="0.25">
      <c r="A2085" t="s">
        <v>298</v>
      </c>
      <c r="B2085" t="s">
        <v>31</v>
      </c>
      <c r="C2085" t="s">
        <v>16</v>
      </c>
      <c r="D2085">
        <v>77761</v>
      </c>
      <c r="E2085">
        <v>5282</v>
      </c>
      <c r="F2085">
        <v>110</v>
      </c>
      <c r="G2085">
        <v>12100</v>
      </c>
      <c r="H2085">
        <v>59954</v>
      </c>
      <c r="I2085">
        <v>1317</v>
      </c>
      <c r="J2085">
        <v>0</v>
      </c>
      <c r="K2085">
        <v>0</v>
      </c>
      <c r="L2085">
        <v>5</v>
      </c>
      <c r="M2085">
        <v>0</v>
      </c>
      <c r="N2085" t="s">
        <v>17</v>
      </c>
      <c r="O2085" s="1">
        <f>result[[#This Row],[n_killed_mutants_cumulativa]]/result[[#This Row],[tot_mutants]]</f>
        <v>0</v>
      </c>
    </row>
    <row r="2086" spans="1:16" hidden="1" x14ac:dyDescent="0.25">
      <c r="A2086" t="s">
        <v>298</v>
      </c>
      <c r="B2086" t="s">
        <v>36</v>
      </c>
      <c r="C2086" t="s">
        <v>16</v>
      </c>
      <c r="D2086">
        <v>96777</v>
      </c>
      <c r="E2086">
        <v>6065</v>
      </c>
      <c r="F2086">
        <v>120</v>
      </c>
      <c r="G2086">
        <v>14400</v>
      </c>
      <c r="H2086">
        <v>71418</v>
      </c>
      <c r="I2086">
        <v>1436</v>
      </c>
      <c r="J2086">
        <v>0</v>
      </c>
      <c r="K2086">
        <v>0</v>
      </c>
      <c r="L2086">
        <v>5</v>
      </c>
      <c r="M2086">
        <v>0</v>
      </c>
      <c r="N2086" t="s">
        <v>17</v>
      </c>
      <c r="O2086" s="1">
        <f>result[[#This Row],[n_killed_mutants_cumulativa]]/result[[#This Row],[tot_mutants]]</f>
        <v>0</v>
      </c>
    </row>
    <row r="2087" spans="1:16" hidden="1" x14ac:dyDescent="0.25">
      <c r="A2087" t="s">
        <v>298</v>
      </c>
      <c r="B2087" t="s">
        <v>40</v>
      </c>
      <c r="C2087" t="s">
        <v>16</v>
      </c>
      <c r="D2087">
        <v>119073</v>
      </c>
      <c r="E2087">
        <v>8341</v>
      </c>
      <c r="F2087">
        <v>130</v>
      </c>
      <c r="G2087">
        <v>16900</v>
      </c>
      <c r="H2087">
        <v>83879</v>
      </c>
      <c r="I2087">
        <v>1558</v>
      </c>
      <c r="J2087">
        <v>0</v>
      </c>
      <c r="K2087">
        <v>0</v>
      </c>
      <c r="L2087">
        <v>5</v>
      </c>
      <c r="M2087">
        <v>0</v>
      </c>
      <c r="N2087" t="s">
        <v>17</v>
      </c>
      <c r="O2087" s="1">
        <f>result[[#This Row],[n_killed_mutants_cumulativa]]/result[[#This Row],[tot_mutants]]</f>
        <v>0</v>
      </c>
    </row>
    <row r="2088" spans="1:16" hidden="1" x14ac:dyDescent="0.25">
      <c r="A2088" t="s">
        <v>298</v>
      </c>
      <c r="B2088" t="s">
        <v>47</v>
      </c>
      <c r="C2088" t="s">
        <v>16</v>
      </c>
      <c r="D2088">
        <v>143226</v>
      </c>
      <c r="E2088">
        <v>9025</v>
      </c>
      <c r="F2088">
        <v>140</v>
      </c>
      <c r="G2088">
        <v>19600</v>
      </c>
      <c r="H2088">
        <v>97038</v>
      </c>
      <c r="I2088">
        <v>1675</v>
      </c>
      <c r="J2088">
        <v>0</v>
      </c>
      <c r="K2088">
        <v>0</v>
      </c>
      <c r="L2088">
        <v>5</v>
      </c>
      <c r="M2088">
        <v>0</v>
      </c>
      <c r="N2088" t="s">
        <v>17</v>
      </c>
      <c r="O2088" s="1">
        <f>result[[#This Row],[n_killed_mutants_cumulativa]]/result[[#This Row],[tot_mutants]]</f>
        <v>0</v>
      </c>
    </row>
    <row r="2089" spans="1:16" hidden="1" x14ac:dyDescent="0.25">
      <c r="A2089" t="s">
        <v>298</v>
      </c>
      <c r="B2089" t="s">
        <v>22</v>
      </c>
      <c r="C2089" t="s">
        <v>16</v>
      </c>
      <c r="D2089">
        <v>704101</v>
      </c>
      <c r="E2089">
        <v>46170</v>
      </c>
      <c r="F2089">
        <v>1050</v>
      </c>
      <c r="G2089">
        <v>101500</v>
      </c>
      <c r="H2089">
        <v>503277</v>
      </c>
      <c r="I2089">
        <v>12567</v>
      </c>
      <c r="J2089">
        <v>0</v>
      </c>
      <c r="K2089">
        <v>0</v>
      </c>
      <c r="L2089">
        <v>5</v>
      </c>
      <c r="M2089">
        <v>0</v>
      </c>
      <c r="N2089" t="s">
        <v>17</v>
      </c>
      <c r="O2089" s="1">
        <f>result[[#This Row],[n_killed_mutants_cumulativa]]/result[[#This Row],[tot_mutants]]</f>
        <v>0</v>
      </c>
      <c r="P2089" s="9" t="s">
        <v>346</v>
      </c>
    </row>
    <row r="2090" spans="1:16" hidden="1" x14ac:dyDescent="0.25">
      <c r="A2090" t="s">
        <v>299</v>
      </c>
      <c r="B2090" t="s">
        <v>15</v>
      </c>
      <c r="C2090" t="s">
        <v>16</v>
      </c>
      <c r="D2090">
        <v>2168</v>
      </c>
      <c r="E2090">
        <v>250</v>
      </c>
      <c r="F2090">
        <v>0</v>
      </c>
      <c r="G2090">
        <v>0</v>
      </c>
      <c r="H2090">
        <v>0</v>
      </c>
      <c r="I2090">
        <v>0</v>
      </c>
      <c r="J2090">
        <v>10</v>
      </c>
      <c r="K2090">
        <v>0</v>
      </c>
      <c r="L2090">
        <v>14</v>
      </c>
      <c r="M2090">
        <v>0</v>
      </c>
      <c r="N2090" t="s">
        <v>17</v>
      </c>
      <c r="O2090" s="1">
        <f>result[[#This Row],[n_killed_mutants_cumulativa]]/result[[#This Row],[tot_mutants]]</f>
        <v>0</v>
      </c>
    </row>
    <row r="2091" spans="1:16" hidden="1" x14ac:dyDescent="0.25">
      <c r="A2091" t="s">
        <v>299</v>
      </c>
      <c r="B2091" t="s">
        <v>18</v>
      </c>
      <c r="C2091" t="s">
        <v>16</v>
      </c>
      <c r="D2091">
        <v>1717</v>
      </c>
      <c r="E2091">
        <v>327</v>
      </c>
      <c r="F2091">
        <v>0</v>
      </c>
      <c r="G2091">
        <v>0</v>
      </c>
      <c r="H2091">
        <v>0</v>
      </c>
      <c r="I2091">
        <v>0</v>
      </c>
      <c r="J2091">
        <v>20</v>
      </c>
      <c r="K2091">
        <v>0</v>
      </c>
      <c r="L2091">
        <v>14</v>
      </c>
      <c r="M2091">
        <v>0</v>
      </c>
      <c r="N2091" t="s">
        <v>17</v>
      </c>
      <c r="O2091" s="1">
        <f>result[[#This Row],[n_killed_mutants_cumulativa]]/result[[#This Row],[tot_mutants]]</f>
        <v>0</v>
      </c>
    </row>
    <row r="2092" spans="1:16" hidden="1" x14ac:dyDescent="0.25">
      <c r="A2092" t="s">
        <v>299</v>
      </c>
      <c r="B2092" t="s">
        <v>19</v>
      </c>
      <c r="C2092" t="s">
        <v>16</v>
      </c>
      <c r="D2092">
        <v>1942</v>
      </c>
      <c r="E2092">
        <v>299</v>
      </c>
      <c r="F2092">
        <v>0</v>
      </c>
      <c r="G2092">
        <v>0</v>
      </c>
      <c r="H2092">
        <v>0</v>
      </c>
      <c r="I2092">
        <v>0</v>
      </c>
      <c r="J2092">
        <v>30</v>
      </c>
      <c r="K2092">
        <v>0</v>
      </c>
      <c r="L2092">
        <v>14</v>
      </c>
      <c r="M2092">
        <v>0</v>
      </c>
      <c r="N2092" t="s">
        <v>17</v>
      </c>
      <c r="O2092" s="1">
        <f>result[[#This Row],[n_killed_mutants_cumulativa]]/result[[#This Row],[tot_mutants]]</f>
        <v>0</v>
      </c>
    </row>
    <row r="2093" spans="1:16" hidden="1" x14ac:dyDescent="0.25">
      <c r="A2093" t="s">
        <v>299</v>
      </c>
      <c r="B2093" t="s">
        <v>20</v>
      </c>
      <c r="C2093" t="s">
        <v>16</v>
      </c>
      <c r="D2093">
        <v>2805</v>
      </c>
      <c r="E2093">
        <v>559</v>
      </c>
      <c r="F2093">
        <v>0</v>
      </c>
      <c r="G2093">
        <v>0</v>
      </c>
      <c r="H2093">
        <v>0</v>
      </c>
      <c r="I2093">
        <v>0</v>
      </c>
      <c r="J2093">
        <v>40</v>
      </c>
      <c r="K2093">
        <v>0</v>
      </c>
      <c r="L2093">
        <v>14</v>
      </c>
      <c r="M2093">
        <v>0</v>
      </c>
      <c r="N2093" t="s">
        <v>17</v>
      </c>
      <c r="O2093" s="1">
        <f>result[[#This Row],[n_killed_mutants_cumulativa]]/result[[#This Row],[tot_mutants]]</f>
        <v>0</v>
      </c>
    </row>
    <row r="2094" spans="1:16" hidden="1" x14ac:dyDescent="0.25">
      <c r="A2094" t="s">
        <v>299</v>
      </c>
      <c r="B2094" t="s">
        <v>21</v>
      </c>
      <c r="C2094" t="s">
        <v>16</v>
      </c>
      <c r="D2094">
        <v>3166</v>
      </c>
      <c r="E2094">
        <v>501</v>
      </c>
      <c r="F2094">
        <v>0</v>
      </c>
      <c r="G2094">
        <v>0</v>
      </c>
      <c r="H2094">
        <v>0</v>
      </c>
      <c r="I2094">
        <v>0</v>
      </c>
      <c r="J2094">
        <v>50</v>
      </c>
      <c r="K2094">
        <v>0</v>
      </c>
      <c r="L2094">
        <v>14</v>
      </c>
      <c r="M2094">
        <v>0</v>
      </c>
      <c r="N2094" t="s">
        <v>17</v>
      </c>
      <c r="O2094" s="1">
        <f>result[[#This Row],[n_killed_mutants_cumulativa]]/result[[#This Row],[tot_mutants]]</f>
        <v>0</v>
      </c>
    </row>
    <row r="2095" spans="1:16" hidden="1" x14ac:dyDescent="0.25">
      <c r="A2095" t="s">
        <v>299</v>
      </c>
      <c r="B2095" t="s">
        <v>22</v>
      </c>
      <c r="C2095" t="s">
        <v>16</v>
      </c>
      <c r="D2095">
        <v>11798</v>
      </c>
      <c r="E2095">
        <v>1936</v>
      </c>
      <c r="F2095">
        <v>0</v>
      </c>
      <c r="G2095">
        <v>0</v>
      </c>
      <c r="H2095">
        <v>0</v>
      </c>
      <c r="I2095">
        <v>0</v>
      </c>
      <c r="J2095">
        <v>150</v>
      </c>
      <c r="K2095">
        <v>0</v>
      </c>
      <c r="L2095">
        <v>14</v>
      </c>
      <c r="M2095">
        <v>0</v>
      </c>
      <c r="N2095" t="s">
        <v>17</v>
      </c>
      <c r="O2095" s="1">
        <f>result[[#This Row],[n_killed_mutants_cumulativa]]/result[[#This Row],[tot_mutants]]</f>
        <v>0</v>
      </c>
    </row>
    <row r="2096" spans="1:16" hidden="1" x14ac:dyDescent="0.25">
      <c r="A2096" t="s">
        <v>300</v>
      </c>
      <c r="B2096" t="s">
        <v>15</v>
      </c>
      <c r="C2096" t="s">
        <v>16</v>
      </c>
      <c r="D2096">
        <v>6612</v>
      </c>
      <c r="E2096">
        <v>113</v>
      </c>
      <c r="F2096">
        <v>10</v>
      </c>
      <c r="G2096">
        <v>100</v>
      </c>
      <c r="H2096">
        <v>103</v>
      </c>
      <c r="I2096">
        <v>245</v>
      </c>
      <c r="J2096">
        <v>0</v>
      </c>
      <c r="K2096">
        <v>0</v>
      </c>
      <c r="L2096">
        <v>13</v>
      </c>
      <c r="M2096">
        <v>0</v>
      </c>
      <c r="N2096" t="s">
        <v>17</v>
      </c>
      <c r="O2096" s="1">
        <f>result[[#This Row],[n_killed_mutants_cumulativa]]/result[[#This Row],[tot_mutants]]</f>
        <v>0</v>
      </c>
    </row>
    <row r="2097" spans="1:16" hidden="1" x14ac:dyDescent="0.25">
      <c r="A2097" t="s">
        <v>300</v>
      </c>
      <c r="B2097" t="s">
        <v>18</v>
      </c>
      <c r="C2097" t="s">
        <v>16</v>
      </c>
      <c r="D2097">
        <v>9208</v>
      </c>
      <c r="E2097">
        <v>36</v>
      </c>
      <c r="F2097">
        <v>20</v>
      </c>
      <c r="G2097">
        <v>400</v>
      </c>
      <c r="H2097">
        <v>419</v>
      </c>
      <c r="I2097">
        <v>1214</v>
      </c>
      <c r="J2097">
        <v>0</v>
      </c>
      <c r="K2097">
        <v>0</v>
      </c>
      <c r="L2097">
        <v>13</v>
      </c>
      <c r="M2097">
        <v>0</v>
      </c>
      <c r="N2097" t="s">
        <v>17</v>
      </c>
      <c r="O2097" s="1">
        <f>result[[#This Row],[n_killed_mutants_cumulativa]]/result[[#This Row],[tot_mutants]]</f>
        <v>0</v>
      </c>
    </row>
    <row r="2098" spans="1:16" hidden="1" x14ac:dyDescent="0.25">
      <c r="A2098" t="s">
        <v>300</v>
      </c>
      <c r="B2098" t="s">
        <v>19</v>
      </c>
      <c r="C2098" t="s">
        <v>16</v>
      </c>
      <c r="D2098">
        <v>14822</v>
      </c>
      <c r="E2098">
        <v>50</v>
      </c>
      <c r="F2098">
        <v>30</v>
      </c>
      <c r="G2098">
        <v>900</v>
      </c>
      <c r="H2098">
        <v>972</v>
      </c>
      <c r="I2098">
        <v>3051</v>
      </c>
      <c r="J2098">
        <v>0</v>
      </c>
      <c r="K2098">
        <v>0</v>
      </c>
      <c r="L2098">
        <v>13</v>
      </c>
      <c r="M2098">
        <v>1</v>
      </c>
      <c r="N2098" t="s">
        <v>301</v>
      </c>
      <c r="O2098" s="1">
        <f>result[[#This Row],[n_killed_mutants_cumulativa]]/result[[#This Row],[tot_mutants]]</f>
        <v>7.6923076923076927E-2</v>
      </c>
    </row>
    <row r="2099" spans="1:16" hidden="1" x14ac:dyDescent="0.25">
      <c r="A2099" t="s">
        <v>300</v>
      </c>
      <c r="B2099" t="s">
        <v>20</v>
      </c>
      <c r="C2099" t="s">
        <v>16</v>
      </c>
      <c r="D2099">
        <v>22103</v>
      </c>
      <c r="E2099">
        <v>85</v>
      </c>
      <c r="F2099">
        <v>40</v>
      </c>
      <c r="G2099">
        <v>1600</v>
      </c>
      <c r="H2099">
        <v>1724</v>
      </c>
      <c r="I2099">
        <v>5635</v>
      </c>
      <c r="J2099">
        <v>0</v>
      </c>
      <c r="K2099">
        <v>0</v>
      </c>
      <c r="L2099">
        <v>13</v>
      </c>
      <c r="M2099">
        <v>1</v>
      </c>
      <c r="N2099" t="s">
        <v>301</v>
      </c>
      <c r="O2099" s="1">
        <f>result[[#This Row],[n_killed_mutants_cumulativa]]/result[[#This Row],[tot_mutants]]</f>
        <v>7.6923076923076927E-2</v>
      </c>
    </row>
    <row r="2100" spans="1:16" hidden="1" x14ac:dyDescent="0.25">
      <c r="A2100" t="s">
        <v>300</v>
      </c>
      <c r="B2100" t="s">
        <v>21</v>
      </c>
      <c r="C2100" t="s">
        <v>16</v>
      </c>
      <c r="D2100">
        <v>32599</v>
      </c>
      <c r="E2100">
        <v>121</v>
      </c>
      <c r="F2100">
        <v>50</v>
      </c>
      <c r="G2100">
        <v>2500</v>
      </c>
      <c r="H2100">
        <v>2733</v>
      </c>
      <c r="I2100">
        <v>9069</v>
      </c>
      <c r="J2100">
        <v>0</v>
      </c>
      <c r="K2100">
        <v>0</v>
      </c>
      <c r="L2100">
        <v>13</v>
      </c>
      <c r="M2100">
        <v>1</v>
      </c>
      <c r="N2100" t="s">
        <v>301</v>
      </c>
      <c r="O2100" s="1">
        <f>result[[#This Row],[n_killed_mutants_cumulativa]]/result[[#This Row],[tot_mutants]]</f>
        <v>7.6923076923076927E-2</v>
      </c>
    </row>
    <row r="2101" spans="1:16" hidden="1" x14ac:dyDescent="0.25">
      <c r="A2101" t="s">
        <v>300</v>
      </c>
      <c r="B2101" t="s">
        <v>24</v>
      </c>
      <c r="C2101" t="s">
        <v>16</v>
      </c>
      <c r="D2101">
        <v>45424</v>
      </c>
      <c r="E2101">
        <v>172</v>
      </c>
      <c r="F2101">
        <v>60</v>
      </c>
      <c r="G2101">
        <v>3600</v>
      </c>
      <c r="H2101">
        <v>3905</v>
      </c>
      <c r="I2101">
        <v>13269</v>
      </c>
      <c r="J2101">
        <v>0</v>
      </c>
      <c r="K2101">
        <v>0</v>
      </c>
      <c r="L2101">
        <v>13</v>
      </c>
      <c r="M2101">
        <v>1</v>
      </c>
      <c r="N2101" t="s">
        <v>301</v>
      </c>
      <c r="O2101" s="1">
        <f>result[[#This Row],[n_killed_mutants_cumulativa]]/result[[#This Row],[tot_mutants]]</f>
        <v>7.6923076923076927E-2</v>
      </c>
    </row>
    <row r="2102" spans="1:16" hidden="1" x14ac:dyDescent="0.25">
      <c r="A2102" t="s">
        <v>300</v>
      </c>
      <c r="B2102" t="s">
        <v>25</v>
      </c>
      <c r="C2102" t="s">
        <v>16</v>
      </c>
      <c r="D2102">
        <v>59919</v>
      </c>
      <c r="E2102">
        <v>188</v>
      </c>
      <c r="F2102">
        <v>70</v>
      </c>
      <c r="G2102">
        <v>4900</v>
      </c>
      <c r="H2102">
        <v>5318</v>
      </c>
      <c r="I2102">
        <v>17857</v>
      </c>
      <c r="J2102">
        <v>0</v>
      </c>
      <c r="K2102">
        <v>0</v>
      </c>
      <c r="L2102">
        <v>13</v>
      </c>
      <c r="M2102">
        <v>1</v>
      </c>
      <c r="N2102" t="s">
        <v>301</v>
      </c>
      <c r="O2102" s="1">
        <f>result[[#This Row],[n_killed_mutants_cumulativa]]/result[[#This Row],[tot_mutants]]</f>
        <v>7.6923076923076927E-2</v>
      </c>
    </row>
    <row r="2103" spans="1:16" hidden="1" x14ac:dyDescent="0.25">
      <c r="A2103" t="s">
        <v>300</v>
      </c>
      <c r="B2103" t="s">
        <v>26</v>
      </c>
      <c r="C2103" t="s">
        <v>16</v>
      </c>
      <c r="D2103">
        <v>79197</v>
      </c>
      <c r="E2103">
        <v>242</v>
      </c>
      <c r="F2103">
        <v>80</v>
      </c>
      <c r="G2103">
        <v>6400</v>
      </c>
      <c r="H2103">
        <v>6933</v>
      </c>
      <c r="I2103">
        <v>24108</v>
      </c>
      <c r="J2103">
        <v>0</v>
      </c>
      <c r="K2103">
        <v>0</v>
      </c>
      <c r="L2103">
        <v>13</v>
      </c>
      <c r="M2103">
        <v>1</v>
      </c>
      <c r="N2103" t="s">
        <v>301</v>
      </c>
      <c r="O2103" s="1">
        <f>result[[#This Row],[n_killed_mutants_cumulativa]]/result[[#This Row],[tot_mutants]]</f>
        <v>7.6923076923076927E-2</v>
      </c>
    </row>
    <row r="2104" spans="1:16" hidden="1" x14ac:dyDescent="0.25">
      <c r="A2104" t="s">
        <v>300</v>
      </c>
      <c r="B2104" t="s">
        <v>27</v>
      </c>
      <c r="C2104" t="s">
        <v>16</v>
      </c>
      <c r="D2104">
        <v>101740</v>
      </c>
      <c r="E2104">
        <v>302</v>
      </c>
      <c r="F2104">
        <v>90</v>
      </c>
      <c r="G2104">
        <v>8100</v>
      </c>
      <c r="H2104">
        <v>8761</v>
      </c>
      <c r="I2104">
        <v>30541</v>
      </c>
      <c r="J2104">
        <v>0</v>
      </c>
      <c r="K2104">
        <v>0</v>
      </c>
      <c r="L2104">
        <v>13</v>
      </c>
      <c r="M2104">
        <v>1</v>
      </c>
      <c r="N2104" t="s">
        <v>301</v>
      </c>
      <c r="O2104" s="1">
        <f>result[[#This Row],[n_killed_mutants_cumulativa]]/result[[#This Row],[tot_mutants]]</f>
        <v>7.6923076923076927E-2</v>
      </c>
    </row>
    <row r="2105" spans="1:16" hidden="1" x14ac:dyDescent="0.25">
      <c r="A2105" t="s">
        <v>300</v>
      </c>
      <c r="B2105" t="s">
        <v>30</v>
      </c>
      <c r="C2105" t="s">
        <v>16</v>
      </c>
      <c r="D2105">
        <v>126636</v>
      </c>
      <c r="E2105">
        <v>382</v>
      </c>
      <c r="F2105">
        <v>100</v>
      </c>
      <c r="G2105">
        <v>10000</v>
      </c>
      <c r="H2105">
        <v>10914</v>
      </c>
      <c r="I2105">
        <v>37834</v>
      </c>
      <c r="J2105">
        <v>0</v>
      </c>
      <c r="K2105">
        <v>0</v>
      </c>
      <c r="L2105">
        <v>13</v>
      </c>
      <c r="M2105">
        <v>1</v>
      </c>
      <c r="N2105" t="s">
        <v>301</v>
      </c>
      <c r="O2105" s="1">
        <f>result[[#This Row],[n_killed_mutants_cumulativa]]/result[[#This Row],[tot_mutants]]</f>
        <v>7.6923076923076927E-2</v>
      </c>
    </row>
    <row r="2106" spans="1:16" hidden="1" x14ac:dyDescent="0.25">
      <c r="A2106" t="s">
        <v>300</v>
      </c>
      <c r="B2106" t="s">
        <v>31</v>
      </c>
      <c r="C2106" t="s">
        <v>16</v>
      </c>
      <c r="D2106">
        <v>155389</v>
      </c>
      <c r="E2106">
        <v>461</v>
      </c>
      <c r="F2106">
        <v>110</v>
      </c>
      <c r="G2106">
        <v>12100</v>
      </c>
      <c r="H2106">
        <v>13176</v>
      </c>
      <c r="I2106">
        <v>46020</v>
      </c>
      <c r="J2106">
        <v>0</v>
      </c>
      <c r="K2106">
        <v>0</v>
      </c>
      <c r="L2106">
        <v>13</v>
      </c>
      <c r="M2106">
        <v>1</v>
      </c>
      <c r="N2106" t="s">
        <v>301</v>
      </c>
      <c r="O2106" s="1">
        <f>result[[#This Row],[n_killed_mutants_cumulativa]]/result[[#This Row],[tot_mutants]]</f>
        <v>7.6923076923076927E-2</v>
      </c>
    </row>
    <row r="2107" spans="1:16" x14ac:dyDescent="0.25">
      <c r="A2107" t="s">
        <v>300</v>
      </c>
      <c r="B2107" t="s">
        <v>22</v>
      </c>
      <c r="C2107" t="s">
        <v>16</v>
      </c>
      <c r="D2107">
        <v>653649</v>
      </c>
      <c r="E2107">
        <v>2152</v>
      </c>
      <c r="F2107">
        <v>660</v>
      </c>
      <c r="G2107">
        <v>50600</v>
      </c>
      <c r="H2107">
        <v>54958</v>
      </c>
      <c r="I2107">
        <v>188843</v>
      </c>
      <c r="J2107">
        <v>0</v>
      </c>
      <c r="K2107">
        <v>0</v>
      </c>
      <c r="L2107">
        <v>13</v>
      </c>
      <c r="M2107">
        <v>1</v>
      </c>
      <c r="N2107" t="s">
        <v>301</v>
      </c>
      <c r="O2107" s="1">
        <f>result[[#This Row],[n_killed_mutants_cumulativa]]/result[[#This Row],[tot_mutants]]</f>
        <v>7.6923076923076927E-2</v>
      </c>
      <c r="P2107" s="9" t="s">
        <v>359</v>
      </c>
    </row>
    <row r="2108" spans="1:16" hidden="1" x14ac:dyDescent="0.25">
      <c r="A2108" t="s">
        <v>302</v>
      </c>
      <c r="B2108" t="s">
        <v>15</v>
      </c>
      <c r="C2108" t="s">
        <v>16</v>
      </c>
      <c r="D2108">
        <v>7370</v>
      </c>
      <c r="E2108">
        <v>217</v>
      </c>
      <c r="F2108">
        <v>10</v>
      </c>
      <c r="G2108">
        <v>100</v>
      </c>
      <c r="H2108">
        <v>42</v>
      </c>
      <c r="I2108">
        <v>358</v>
      </c>
      <c r="J2108">
        <v>0</v>
      </c>
      <c r="K2108">
        <v>0</v>
      </c>
      <c r="L2108">
        <v>13</v>
      </c>
      <c r="M2108">
        <v>1</v>
      </c>
      <c r="N2108" t="s">
        <v>175</v>
      </c>
      <c r="O2108" s="1">
        <f>result[[#This Row],[n_killed_mutants_cumulativa]]/result[[#This Row],[tot_mutants]]</f>
        <v>7.6923076923076927E-2</v>
      </c>
    </row>
    <row r="2109" spans="1:16" hidden="1" x14ac:dyDescent="0.25">
      <c r="A2109" t="s">
        <v>302</v>
      </c>
      <c r="B2109" t="s">
        <v>18</v>
      </c>
      <c r="C2109" t="s">
        <v>16</v>
      </c>
      <c r="D2109">
        <v>9798</v>
      </c>
      <c r="E2109">
        <v>184</v>
      </c>
      <c r="F2109">
        <v>20</v>
      </c>
      <c r="G2109">
        <v>400</v>
      </c>
      <c r="H2109">
        <v>168</v>
      </c>
      <c r="I2109">
        <v>1388</v>
      </c>
      <c r="J2109">
        <v>0</v>
      </c>
      <c r="K2109">
        <v>0</v>
      </c>
      <c r="L2109">
        <v>13</v>
      </c>
      <c r="M2109">
        <v>1</v>
      </c>
      <c r="N2109" t="s">
        <v>175</v>
      </c>
      <c r="O2109" s="1">
        <f>result[[#This Row],[n_killed_mutants_cumulativa]]/result[[#This Row],[tot_mutants]]</f>
        <v>7.6923076923076927E-2</v>
      </c>
    </row>
    <row r="2110" spans="1:16" hidden="1" x14ac:dyDescent="0.25">
      <c r="A2110" t="s">
        <v>302</v>
      </c>
      <c r="B2110" t="s">
        <v>19</v>
      </c>
      <c r="C2110" t="s">
        <v>16</v>
      </c>
      <c r="D2110">
        <v>16660</v>
      </c>
      <c r="E2110">
        <v>194</v>
      </c>
      <c r="F2110">
        <v>30</v>
      </c>
      <c r="G2110">
        <v>900</v>
      </c>
      <c r="H2110">
        <v>325</v>
      </c>
      <c r="I2110">
        <v>3046</v>
      </c>
      <c r="J2110">
        <v>0</v>
      </c>
      <c r="K2110">
        <v>0</v>
      </c>
      <c r="L2110">
        <v>13</v>
      </c>
      <c r="M2110">
        <v>1</v>
      </c>
      <c r="N2110" t="s">
        <v>175</v>
      </c>
      <c r="O2110" s="1">
        <f>result[[#This Row],[n_killed_mutants_cumulativa]]/result[[#This Row],[tot_mutants]]</f>
        <v>7.6923076923076927E-2</v>
      </c>
    </row>
    <row r="2111" spans="1:16" hidden="1" x14ac:dyDescent="0.25">
      <c r="A2111" t="s">
        <v>302</v>
      </c>
      <c r="B2111" t="s">
        <v>20</v>
      </c>
      <c r="C2111" t="s">
        <v>16</v>
      </c>
      <c r="D2111">
        <v>25145</v>
      </c>
      <c r="E2111">
        <v>369</v>
      </c>
      <c r="F2111">
        <v>40</v>
      </c>
      <c r="G2111">
        <v>1600</v>
      </c>
      <c r="H2111">
        <v>611</v>
      </c>
      <c r="I2111">
        <v>5090</v>
      </c>
      <c r="J2111">
        <v>0</v>
      </c>
      <c r="K2111">
        <v>0</v>
      </c>
      <c r="L2111">
        <v>13</v>
      </c>
      <c r="M2111">
        <v>1</v>
      </c>
      <c r="N2111" t="s">
        <v>175</v>
      </c>
      <c r="O2111" s="1">
        <f>result[[#This Row],[n_killed_mutants_cumulativa]]/result[[#This Row],[tot_mutants]]</f>
        <v>7.6923076923076927E-2</v>
      </c>
    </row>
    <row r="2112" spans="1:16" hidden="1" x14ac:dyDescent="0.25">
      <c r="A2112" t="s">
        <v>302</v>
      </c>
      <c r="B2112" t="s">
        <v>21</v>
      </c>
      <c r="C2112" t="s">
        <v>16</v>
      </c>
      <c r="D2112">
        <v>35845</v>
      </c>
      <c r="E2112">
        <v>470</v>
      </c>
      <c r="F2112">
        <v>50</v>
      </c>
      <c r="G2112">
        <v>2500</v>
      </c>
      <c r="H2112">
        <v>889</v>
      </c>
      <c r="I2112">
        <v>7918</v>
      </c>
      <c r="J2112">
        <v>0</v>
      </c>
      <c r="K2112">
        <v>0</v>
      </c>
      <c r="L2112">
        <v>13</v>
      </c>
      <c r="M2112">
        <v>1</v>
      </c>
      <c r="N2112" t="s">
        <v>175</v>
      </c>
      <c r="O2112" s="1">
        <f>result[[#This Row],[n_killed_mutants_cumulativa]]/result[[#This Row],[tot_mutants]]</f>
        <v>7.6923076923076927E-2</v>
      </c>
    </row>
    <row r="2113" spans="1:16" hidden="1" x14ac:dyDescent="0.25">
      <c r="A2113" t="s">
        <v>302</v>
      </c>
      <c r="B2113" t="s">
        <v>24</v>
      </c>
      <c r="C2113" t="s">
        <v>16</v>
      </c>
      <c r="D2113">
        <v>49818</v>
      </c>
      <c r="E2113">
        <v>677</v>
      </c>
      <c r="F2113">
        <v>60</v>
      </c>
      <c r="G2113">
        <v>3600</v>
      </c>
      <c r="H2113">
        <v>1294</v>
      </c>
      <c r="I2113">
        <v>11314</v>
      </c>
      <c r="J2113">
        <v>0</v>
      </c>
      <c r="K2113">
        <v>0</v>
      </c>
      <c r="L2113">
        <v>13</v>
      </c>
      <c r="M2113">
        <v>1</v>
      </c>
      <c r="N2113" t="s">
        <v>175</v>
      </c>
      <c r="O2113" s="1">
        <f>result[[#This Row],[n_killed_mutants_cumulativa]]/result[[#This Row],[tot_mutants]]</f>
        <v>7.6923076923076927E-2</v>
      </c>
    </row>
    <row r="2114" spans="1:16" hidden="1" x14ac:dyDescent="0.25">
      <c r="A2114" t="s">
        <v>302</v>
      </c>
      <c r="B2114" t="s">
        <v>25</v>
      </c>
      <c r="C2114" t="s">
        <v>16</v>
      </c>
      <c r="D2114">
        <v>66512</v>
      </c>
      <c r="E2114">
        <v>942</v>
      </c>
      <c r="F2114">
        <v>70</v>
      </c>
      <c r="G2114">
        <v>4900</v>
      </c>
      <c r="H2114">
        <v>1756</v>
      </c>
      <c r="I2114">
        <v>15418</v>
      </c>
      <c r="J2114">
        <v>0</v>
      </c>
      <c r="K2114">
        <v>0</v>
      </c>
      <c r="L2114">
        <v>13</v>
      </c>
      <c r="M2114">
        <v>1</v>
      </c>
      <c r="N2114" t="s">
        <v>175</v>
      </c>
      <c r="O2114" s="1">
        <f>result[[#This Row],[n_killed_mutants_cumulativa]]/result[[#This Row],[tot_mutants]]</f>
        <v>7.6923076923076927E-2</v>
      </c>
    </row>
    <row r="2115" spans="1:16" hidden="1" x14ac:dyDescent="0.25">
      <c r="A2115" t="s">
        <v>302</v>
      </c>
      <c r="B2115" t="s">
        <v>26</v>
      </c>
      <c r="C2115" t="s">
        <v>16</v>
      </c>
      <c r="D2115">
        <v>85771</v>
      </c>
      <c r="E2115">
        <v>1157</v>
      </c>
      <c r="F2115">
        <v>80</v>
      </c>
      <c r="G2115">
        <v>6400</v>
      </c>
      <c r="H2115">
        <v>2292</v>
      </c>
      <c r="I2115">
        <v>19866</v>
      </c>
      <c r="J2115">
        <v>0</v>
      </c>
      <c r="K2115">
        <v>0</v>
      </c>
      <c r="L2115">
        <v>13</v>
      </c>
      <c r="M2115">
        <v>1</v>
      </c>
      <c r="N2115" t="s">
        <v>175</v>
      </c>
      <c r="O2115" s="1">
        <f>result[[#This Row],[n_killed_mutants_cumulativa]]/result[[#This Row],[tot_mutants]]</f>
        <v>7.6923076923076927E-2</v>
      </c>
    </row>
    <row r="2116" spans="1:16" hidden="1" x14ac:dyDescent="0.25">
      <c r="A2116" t="s">
        <v>302</v>
      </c>
      <c r="B2116" t="s">
        <v>27</v>
      </c>
      <c r="C2116" t="s">
        <v>16</v>
      </c>
      <c r="D2116">
        <v>114147</v>
      </c>
      <c r="E2116">
        <v>1470</v>
      </c>
      <c r="F2116">
        <v>90</v>
      </c>
      <c r="G2116">
        <v>8100</v>
      </c>
      <c r="H2116">
        <v>2729</v>
      </c>
      <c r="I2116">
        <v>25222</v>
      </c>
      <c r="J2116">
        <v>0</v>
      </c>
      <c r="K2116">
        <v>0</v>
      </c>
      <c r="L2116">
        <v>13</v>
      </c>
      <c r="M2116">
        <v>1</v>
      </c>
      <c r="N2116" t="s">
        <v>175</v>
      </c>
      <c r="O2116" s="1">
        <f>result[[#This Row],[n_killed_mutants_cumulativa]]/result[[#This Row],[tot_mutants]]</f>
        <v>7.6923076923076927E-2</v>
      </c>
    </row>
    <row r="2117" spans="1:16" hidden="1" x14ac:dyDescent="0.25">
      <c r="A2117" t="s">
        <v>302</v>
      </c>
      <c r="B2117" t="s">
        <v>30</v>
      </c>
      <c r="C2117" t="s">
        <v>16</v>
      </c>
      <c r="D2117">
        <v>135564</v>
      </c>
      <c r="E2117">
        <v>1812</v>
      </c>
      <c r="F2117">
        <v>100</v>
      </c>
      <c r="G2117">
        <v>10000</v>
      </c>
      <c r="H2117">
        <v>3497</v>
      </c>
      <c r="I2117">
        <v>31072</v>
      </c>
      <c r="J2117">
        <v>0</v>
      </c>
      <c r="K2117">
        <v>0</v>
      </c>
      <c r="L2117">
        <v>13</v>
      </c>
      <c r="M2117">
        <v>1</v>
      </c>
      <c r="N2117" t="s">
        <v>175</v>
      </c>
      <c r="O2117" s="1">
        <f>result[[#This Row],[n_killed_mutants_cumulativa]]/result[[#This Row],[tot_mutants]]</f>
        <v>7.6923076923076927E-2</v>
      </c>
    </row>
    <row r="2118" spans="1:16" hidden="1" x14ac:dyDescent="0.25">
      <c r="A2118" t="s">
        <v>302</v>
      </c>
      <c r="B2118" t="s">
        <v>31</v>
      </c>
      <c r="C2118" t="s">
        <v>16</v>
      </c>
      <c r="D2118">
        <v>166608</v>
      </c>
      <c r="E2118">
        <v>2297</v>
      </c>
      <c r="F2118">
        <v>110</v>
      </c>
      <c r="G2118">
        <v>12100</v>
      </c>
      <c r="H2118">
        <v>4215</v>
      </c>
      <c r="I2118">
        <v>37112</v>
      </c>
      <c r="J2118">
        <v>0</v>
      </c>
      <c r="K2118">
        <v>0</v>
      </c>
      <c r="L2118">
        <v>13</v>
      </c>
      <c r="M2118">
        <v>1</v>
      </c>
      <c r="N2118" t="s">
        <v>175</v>
      </c>
      <c r="O2118" s="1">
        <f>result[[#This Row],[n_killed_mutants_cumulativa]]/result[[#This Row],[tot_mutants]]</f>
        <v>7.6923076923076927E-2</v>
      </c>
    </row>
    <row r="2119" spans="1:16" x14ac:dyDescent="0.25">
      <c r="A2119" t="s">
        <v>302</v>
      </c>
      <c r="B2119" t="s">
        <v>22</v>
      </c>
      <c r="C2119" t="s">
        <v>16</v>
      </c>
      <c r="D2119">
        <v>713238</v>
      </c>
      <c r="E2119">
        <v>9789</v>
      </c>
      <c r="F2119">
        <v>660</v>
      </c>
      <c r="G2119">
        <v>50600</v>
      </c>
      <c r="H2119">
        <v>17818</v>
      </c>
      <c r="I2119">
        <v>157804</v>
      </c>
      <c r="J2119">
        <v>0</v>
      </c>
      <c r="K2119">
        <v>0</v>
      </c>
      <c r="L2119">
        <v>13</v>
      </c>
      <c r="M2119">
        <v>1</v>
      </c>
      <c r="N2119" t="s">
        <v>175</v>
      </c>
      <c r="O2119" s="1">
        <f>result[[#This Row],[n_killed_mutants_cumulativa]]/result[[#This Row],[tot_mutants]]</f>
        <v>7.6923076923076927E-2</v>
      </c>
      <c r="P2119" s="9" t="s">
        <v>359</v>
      </c>
    </row>
    <row r="2120" spans="1:16" hidden="1" x14ac:dyDescent="0.25">
      <c r="A2120" t="s">
        <v>303</v>
      </c>
      <c r="B2120" t="s">
        <v>15</v>
      </c>
      <c r="C2120" t="s">
        <v>16</v>
      </c>
      <c r="D2120">
        <v>5359</v>
      </c>
      <c r="E2120">
        <v>89</v>
      </c>
      <c r="F2120">
        <v>10</v>
      </c>
      <c r="G2120">
        <v>100</v>
      </c>
      <c r="H2120">
        <v>60</v>
      </c>
      <c r="I2120">
        <v>592</v>
      </c>
      <c r="J2120">
        <v>0</v>
      </c>
      <c r="K2120">
        <v>0</v>
      </c>
      <c r="L2120">
        <v>6</v>
      </c>
      <c r="M2120">
        <v>0</v>
      </c>
      <c r="N2120" t="s">
        <v>17</v>
      </c>
      <c r="O2120" s="1">
        <f>result[[#This Row],[n_killed_mutants_cumulativa]]/result[[#This Row],[tot_mutants]]</f>
        <v>0</v>
      </c>
    </row>
    <row r="2121" spans="1:16" hidden="1" x14ac:dyDescent="0.25">
      <c r="A2121" t="s">
        <v>303</v>
      </c>
      <c r="B2121" t="s">
        <v>18</v>
      </c>
      <c r="C2121" t="s">
        <v>16</v>
      </c>
      <c r="D2121">
        <v>6206</v>
      </c>
      <c r="E2121">
        <v>26</v>
      </c>
      <c r="F2121">
        <v>20</v>
      </c>
      <c r="G2121">
        <v>400</v>
      </c>
      <c r="H2121">
        <v>116</v>
      </c>
      <c r="I2121">
        <v>2249</v>
      </c>
      <c r="J2121">
        <v>0</v>
      </c>
      <c r="K2121">
        <v>0</v>
      </c>
      <c r="L2121">
        <v>6</v>
      </c>
      <c r="M2121">
        <v>0</v>
      </c>
      <c r="N2121" t="s">
        <v>17</v>
      </c>
      <c r="O2121" s="1">
        <f>result[[#This Row],[n_killed_mutants_cumulativa]]/result[[#This Row],[tot_mutants]]</f>
        <v>0</v>
      </c>
    </row>
    <row r="2122" spans="1:16" hidden="1" x14ac:dyDescent="0.25">
      <c r="A2122" t="s">
        <v>303</v>
      </c>
      <c r="B2122" t="s">
        <v>19</v>
      </c>
      <c r="C2122" t="s">
        <v>16</v>
      </c>
      <c r="D2122">
        <v>10355</v>
      </c>
      <c r="E2122">
        <v>34</v>
      </c>
      <c r="F2122">
        <v>30</v>
      </c>
      <c r="G2122">
        <v>900</v>
      </c>
      <c r="H2122">
        <v>151</v>
      </c>
      <c r="I2122">
        <v>4947</v>
      </c>
      <c r="J2122">
        <v>0</v>
      </c>
      <c r="K2122">
        <v>0</v>
      </c>
      <c r="L2122">
        <v>6</v>
      </c>
      <c r="M2122">
        <v>0</v>
      </c>
      <c r="N2122" t="s">
        <v>17</v>
      </c>
      <c r="O2122" s="1">
        <f>result[[#This Row],[n_killed_mutants_cumulativa]]/result[[#This Row],[tot_mutants]]</f>
        <v>0</v>
      </c>
    </row>
    <row r="2123" spans="1:16" hidden="1" x14ac:dyDescent="0.25">
      <c r="A2123" t="s">
        <v>303</v>
      </c>
      <c r="B2123" t="s">
        <v>20</v>
      </c>
      <c r="C2123" t="s">
        <v>16</v>
      </c>
      <c r="D2123">
        <v>16348</v>
      </c>
      <c r="E2123">
        <v>39</v>
      </c>
      <c r="F2123">
        <v>40</v>
      </c>
      <c r="G2123">
        <v>1600</v>
      </c>
      <c r="H2123">
        <v>220</v>
      </c>
      <c r="I2123">
        <v>9100</v>
      </c>
      <c r="J2123">
        <v>0</v>
      </c>
      <c r="K2123">
        <v>0</v>
      </c>
      <c r="L2123">
        <v>6</v>
      </c>
      <c r="M2123">
        <v>0</v>
      </c>
      <c r="N2123" t="s">
        <v>17</v>
      </c>
      <c r="O2123" s="1">
        <f>result[[#This Row],[n_killed_mutants_cumulativa]]/result[[#This Row],[tot_mutants]]</f>
        <v>0</v>
      </c>
    </row>
    <row r="2124" spans="1:16" hidden="1" x14ac:dyDescent="0.25">
      <c r="A2124" t="s">
        <v>303</v>
      </c>
      <c r="B2124" t="s">
        <v>21</v>
      </c>
      <c r="C2124" t="s">
        <v>16</v>
      </c>
      <c r="D2124">
        <v>23372</v>
      </c>
      <c r="E2124">
        <v>86</v>
      </c>
      <c r="F2124">
        <v>50</v>
      </c>
      <c r="G2124">
        <v>2500</v>
      </c>
      <c r="H2124">
        <v>265</v>
      </c>
      <c r="I2124">
        <v>14049</v>
      </c>
      <c r="J2124">
        <v>0</v>
      </c>
      <c r="K2124">
        <v>0</v>
      </c>
      <c r="L2124">
        <v>6</v>
      </c>
      <c r="M2124">
        <v>0</v>
      </c>
      <c r="N2124" t="s">
        <v>17</v>
      </c>
      <c r="O2124" s="1">
        <f>result[[#This Row],[n_killed_mutants_cumulativa]]/result[[#This Row],[tot_mutants]]</f>
        <v>0</v>
      </c>
    </row>
    <row r="2125" spans="1:16" hidden="1" x14ac:dyDescent="0.25">
      <c r="A2125" t="s">
        <v>303</v>
      </c>
      <c r="B2125" t="s">
        <v>24</v>
      </c>
      <c r="C2125" t="s">
        <v>16</v>
      </c>
      <c r="D2125">
        <v>34387</v>
      </c>
      <c r="E2125">
        <v>74</v>
      </c>
      <c r="F2125">
        <v>60</v>
      </c>
      <c r="G2125">
        <v>3600</v>
      </c>
      <c r="H2125">
        <v>367</v>
      </c>
      <c r="I2125">
        <v>22269</v>
      </c>
      <c r="J2125">
        <v>0</v>
      </c>
      <c r="K2125">
        <v>0</v>
      </c>
      <c r="L2125">
        <v>6</v>
      </c>
      <c r="M2125">
        <v>0</v>
      </c>
      <c r="N2125" t="s">
        <v>17</v>
      </c>
      <c r="O2125" s="1">
        <f>result[[#This Row],[n_killed_mutants_cumulativa]]/result[[#This Row],[tot_mutants]]</f>
        <v>0</v>
      </c>
    </row>
    <row r="2126" spans="1:16" hidden="1" x14ac:dyDescent="0.25">
      <c r="A2126" t="s">
        <v>303</v>
      </c>
      <c r="B2126" t="s">
        <v>25</v>
      </c>
      <c r="C2126" t="s">
        <v>16</v>
      </c>
      <c r="D2126">
        <v>42954</v>
      </c>
      <c r="E2126">
        <v>90</v>
      </c>
      <c r="F2126">
        <v>70</v>
      </c>
      <c r="G2126">
        <v>4900</v>
      </c>
      <c r="H2126">
        <v>327</v>
      </c>
      <c r="I2126">
        <v>27315</v>
      </c>
      <c r="J2126">
        <v>0</v>
      </c>
      <c r="K2126">
        <v>0</v>
      </c>
      <c r="L2126">
        <v>6</v>
      </c>
      <c r="M2126">
        <v>0</v>
      </c>
      <c r="N2126" t="s">
        <v>17</v>
      </c>
      <c r="O2126" s="1">
        <f>result[[#This Row],[n_killed_mutants_cumulativa]]/result[[#This Row],[tot_mutants]]</f>
        <v>0</v>
      </c>
    </row>
    <row r="2127" spans="1:16" hidden="1" x14ac:dyDescent="0.25">
      <c r="A2127" t="s">
        <v>303</v>
      </c>
      <c r="B2127" t="s">
        <v>26</v>
      </c>
      <c r="C2127" t="s">
        <v>16</v>
      </c>
      <c r="D2127">
        <v>57054</v>
      </c>
      <c r="E2127">
        <v>121</v>
      </c>
      <c r="F2127">
        <v>80</v>
      </c>
      <c r="G2127">
        <v>6400</v>
      </c>
      <c r="H2127">
        <v>472</v>
      </c>
      <c r="I2127">
        <v>37972</v>
      </c>
      <c r="J2127">
        <v>0</v>
      </c>
      <c r="K2127">
        <v>0</v>
      </c>
      <c r="L2127">
        <v>6</v>
      </c>
      <c r="M2127">
        <v>0</v>
      </c>
      <c r="N2127" t="s">
        <v>17</v>
      </c>
      <c r="O2127" s="1">
        <f>result[[#This Row],[n_killed_mutants_cumulativa]]/result[[#This Row],[tot_mutants]]</f>
        <v>0</v>
      </c>
    </row>
    <row r="2128" spans="1:16" hidden="1" x14ac:dyDescent="0.25">
      <c r="A2128" t="s">
        <v>303</v>
      </c>
      <c r="B2128" t="s">
        <v>27</v>
      </c>
      <c r="C2128" t="s">
        <v>16</v>
      </c>
      <c r="D2128">
        <v>70858</v>
      </c>
      <c r="E2128">
        <v>142</v>
      </c>
      <c r="F2128">
        <v>90</v>
      </c>
      <c r="G2128">
        <v>8100</v>
      </c>
      <c r="H2128">
        <v>472</v>
      </c>
      <c r="I2128">
        <v>46081</v>
      </c>
      <c r="J2128">
        <v>0</v>
      </c>
      <c r="K2128">
        <v>0</v>
      </c>
      <c r="L2128">
        <v>6</v>
      </c>
      <c r="M2128">
        <v>0</v>
      </c>
      <c r="N2128" t="s">
        <v>17</v>
      </c>
      <c r="O2128" s="1">
        <f>result[[#This Row],[n_killed_mutants_cumulativa]]/result[[#This Row],[tot_mutants]]</f>
        <v>0</v>
      </c>
    </row>
    <row r="2129" spans="1:16" hidden="1" x14ac:dyDescent="0.25">
      <c r="A2129" t="s">
        <v>303</v>
      </c>
      <c r="B2129" t="s">
        <v>30</v>
      </c>
      <c r="C2129" t="s">
        <v>16</v>
      </c>
      <c r="D2129">
        <v>89733</v>
      </c>
      <c r="E2129">
        <v>175</v>
      </c>
      <c r="F2129">
        <v>100</v>
      </c>
      <c r="G2129">
        <v>10000</v>
      </c>
      <c r="H2129">
        <v>516</v>
      </c>
      <c r="I2129">
        <v>58209</v>
      </c>
      <c r="J2129">
        <v>0</v>
      </c>
      <c r="K2129">
        <v>0</v>
      </c>
      <c r="L2129">
        <v>6</v>
      </c>
      <c r="M2129">
        <v>0</v>
      </c>
      <c r="N2129" t="s">
        <v>17</v>
      </c>
      <c r="O2129" s="1">
        <f>result[[#This Row],[n_killed_mutants_cumulativa]]/result[[#This Row],[tot_mutants]]</f>
        <v>0</v>
      </c>
    </row>
    <row r="2130" spans="1:16" hidden="1" x14ac:dyDescent="0.25">
      <c r="A2130" t="s">
        <v>303</v>
      </c>
      <c r="B2130" t="s">
        <v>31</v>
      </c>
      <c r="C2130" t="s">
        <v>16</v>
      </c>
      <c r="D2130">
        <v>112135</v>
      </c>
      <c r="E2130">
        <v>307</v>
      </c>
      <c r="F2130">
        <v>110</v>
      </c>
      <c r="G2130">
        <v>12100</v>
      </c>
      <c r="H2130">
        <v>565</v>
      </c>
      <c r="I2130">
        <v>67692</v>
      </c>
      <c r="J2130">
        <v>0</v>
      </c>
      <c r="K2130">
        <v>0</v>
      </c>
      <c r="L2130">
        <v>6</v>
      </c>
      <c r="M2130">
        <v>0</v>
      </c>
      <c r="N2130" t="s">
        <v>17</v>
      </c>
      <c r="O2130" s="1">
        <f>result[[#This Row],[n_killed_mutants_cumulativa]]/result[[#This Row],[tot_mutants]]</f>
        <v>0</v>
      </c>
    </row>
    <row r="2131" spans="1:16" hidden="1" x14ac:dyDescent="0.25">
      <c r="A2131" t="s">
        <v>303</v>
      </c>
      <c r="B2131" t="s">
        <v>36</v>
      </c>
      <c r="C2131" t="s">
        <v>16</v>
      </c>
      <c r="D2131">
        <v>138658</v>
      </c>
      <c r="E2131">
        <v>242</v>
      </c>
      <c r="F2131">
        <v>120</v>
      </c>
      <c r="G2131">
        <v>14400</v>
      </c>
      <c r="H2131">
        <v>626</v>
      </c>
      <c r="I2131">
        <v>82409</v>
      </c>
      <c r="J2131">
        <v>0</v>
      </c>
      <c r="K2131">
        <v>0</v>
      </c>
      <c r="L2131">
        <v>6</v>
      </c>
      <c r="M2131">
        <v>0</v>
      </c>
      <c r="N2131" t="s">
        <v>17</v>
      </c>
      <c r="O2131" s="1">
        <f>result[[#This Row],[n_killed_mutants_cumulativa]]/result[[#This Row],[tot_mutants]]</f>
        <v>0</v>
      </c>
    </row>
    <row r="2132" spans="1:16" hidden="1" x14ac:dyDescent="0.25">
      <c r="A2132" t="s">
        <v>303</v>
      </c>
      <c r="B2132" t="s">
        <v>22</v>
      </c>
      <c r="C2132" t="s">
        <v>16</v>
      </c>
      <c r="D2132">
        <v>607419</v>
      </c>
      <c r="E2132">
        <v>1425</v>
      </c>
      <c r="F2132">
        <v>780</v>
      </c>
      <c r="G2132">
        <v>65000</v>
      </c>
      <c r="H2132">
        <v>4157</v>
      </c>
      <c r="I2132">
        <v>372884</v>
      </c>
      <c r="J2132">
        <v>0</v>
      </c>
      <c r="K2132">
        <v>0</v>
      </c>
      <c r="L2132">
        <v>6</v>
      </c>
      <c r="M2132">
        <v>0</v>
      </c>
      <c r="N2132" t="s">
        <v>17</v>
      </c>
      <c r="O2132" s="1">
        <f>result[[#This Row],[n_killed_mutants_cumulativa]]/result[[#This Row],[tot_mutants]]</f>
        <v>0</v>
      </c>
      <c r="P2132" s="9" t="s">
        <v>346</v>
      </c>
    </row>
    <row r="2133" spans="1:16" hidden="1" x14ac:dyDescent="0.25">
      <c r="A2133" t="s">
        <v>304</v>
      </c>
      <c r="B2133" t="s">
        <v>15</v>
      </c>
      <c r="C2133" t="s">
        <v>16</v>
      </c>
      <c r="D2133">
        <v>7340</v>
      </c>
      <c r="E2133">
        <v>138</v>
      </c>
      <c r="F2133">
        <v>10</v>
      </c>
      <c r="G2133">
        <v>100</v>
      </c>
      <c r="H2133">
        <v>48</v>
      </c>
      <c r="I2133">
        <v>298</v>
      </c>
      <c r="J2133">
        <v>0</v>
      </c>
      <c r="K2133">
        <v>0</v>
      </c>
      <c r="L2133">
        <v>13</v>
      </c>
      <c r="M2133">
        <v>2</v>
      </c>
      <c r="N2133" t="s">
        <v>73</v>
      </c>
      <c r="O2133" s="1">
        <f>result[[#This Row],[n_killed_mutants_cumulativa]]/result[[#This Row],[tot_mutants]]</f>
        <v>0.15384615384615385</v>
      </c>
    </row>
    <row r="2134" spans="1:16" hidden="1" x14ac:dyDescent="0.25">
      <c r="A2134" t="s">
        <v>304</v>
      </c>
      <c r="B2134" t="s">
        <v>18</v>
      </c>
      <c r="C2134" t="s">
        <v>16</v>
      </c>
      <c r="D2134">
        <v>9824</v>
      </c>
      <c r="E2134">
        <v>64</v>
      </c>
      <c r="F2134">
        <v>20</v>
      </c>
      <c r="G2134">
        <v>400</v>
      </c>
      <c r="H2134">
        <v>298</v>
      </c>
      <c r="I2134">
        <v>1447</v>
      </c>
      <c r="J2134">
        <v>0</v>
      </c>
      <c r="K2134">
        <v>0</v>
      </c>
      <c r="L2134">
        <v>13</v>
      </c>
      <c r="M2134">
        <v>3</v>
      </c>
      <c r="N2134" t="s">
        <v>74</v>
      </c>
      <c r="O2134" s="1">
        <f>result[[#This Row],[n_killed_mutants_cumulativa]]/result[[#This Row],[tot_mutants]]</f>
        <v>0.23076923076923078</v>
      </c>
    </row>
    <row r="2135" spans="1:16" hidden="1" x14ac:dyDescent="0.25">
      <c r="A2135" t="s">
        <v>304</v>
      </c>
      <c r="B2135" t="s">
        <v>19</v>
      </c>
      <c r="C2135" t="s">
        <v>16</v>
      </c>
      <c r="D2135">
        <v>16388</v>
      </c>
      <c r="E2135">
        <v>99</v>
      </c>
      <c r="F2135">
        <v>30</v>
      </c>
      <c r="G2135">
        <v>900</v>
      </c>
      <c r="H2135">
        <v>690</v>
      </c>
      <c r="I2135">
        <v>3751</v>
      </c>
      <c r="J2135">
        <v>0</v>
      </c>
      <c r="K2135">
        <v>0</v>
      </c>
      <c r="L2135">
        <v>13</v>
      </c>
      <c r="M2135">
        <v>4</v>
      </c>
      <c r="N2135" t="s">
        <v>75</v>
      </c>
      <c r="O2135" s="1">
        <f>result[[#This Row],[n_killed_mutants_cumulativa]]/result[[#This Row],[tot_mutants]]</f>
        <v>0.30769230769230771</v>
      </c>
    </row>
    <row r="2136" spans="1:16" hidden="1" x14ac:dyDescent="0.25">
      <c r="A2136" t="s">
        <v>304</v>
      </c>
      <c r="B2136" t="s">
        <v>20</v>
      </c>
      <c r="C2136" t="s">
        <v>16</v>
      </c>
      <c r="D2136">
        <v>25267</v>
      </c>
      <c r="E2136">
        <v>189</v>
      </c>
      <c r="F2136">
        <v>40</v>
      </c>
      <c r="G2136">
        <v>1600</v>
      </c>
      <c r="H2136">
        <v>889</v>
      </c>
      <c r="I2136">
        <v>7359</v>
      </c>
      <c r="J2136">
        <v>0</v>
      </c>
      <c r="K2136">
        <v>0</v>
      </c>
      <c r="L2136">
        <v>13</v>
      </c>
      <c r="M2136">
        <v>4</v>
      </c>
      <c r="N2136" t="s">
        <v>75</v>
      </c>
      <c r="O2136" s="1">
        <f>result[[#This Row],[n_killed_mutants_cumulativa]]/result[[#This Row],[tot_mutants]]</f>
        <v>0.30769230769230771</v>
      </c>
    </row>
    <row r="2137" spans="1:16" hidden="1" x14ac:dyDescent="0.25">
      <c r="A2137" t="s">
        <v>304</v>
      </c>
      <c r="B2137" t="s">
        <v>21</v>
      </c>
      <c r="C2137" t="s">
        <v>16</v>
      </c>
      <c r="D2137">
        <v>32599</v>
      </c>
      <c r="E2137">
        <v>296</v>
      </c>
      <c r="F2137">
        <v>50</v>
      </c>
      <c r="G2137">
        <v>2500</v>
      </c>
      <c r="H2137">
        <v>1265</v>
      </c>
      <c r="I2137">
        <v>12356</v>
      </c>
      <c r="J2137">
        <v>0</v>
      </c>
      <c r="K2137">
        <v>0</v>
      </c>
      <c r="L2137">
        <v>13</v>
      </c>
      <c r="M2137">
        <v>6</v>
      </c>
      <c r="N2137" t="s">
        <v>305</v>
      </c>
      <c r="O2137" s="1">
        <f>result[[#This Row],[n_killed_mutants_cumulativa]]/result[[#This Row],[tot_mutants]]</f>
        <v>0.46153846153846156</v>
      </c>
    </row>
    <row r="2138" spans="1:16" hidden="1" x14ac:dyDescent="0.25">
      <c r="A2138" t="s">
        <v>304</v>
      </c>
      <c r="B2138" t="s">
        <v>24</v>
      </c>
      <c r="C2138" t="s">
        <v>16</v>
      </c>
      <c r="D2138">
        <v>44525</v>
      </c>
      <c r="E2138">
        <v>498</v>
      </c>
      <c r="F2138">
        <v>60</v>
      </c>
      <c r="G2138">
        <v>3600</v>
      </c>
      <c r="H2138">
        <v>1900</v>
      </c>
      <c r="I2138">
        <v>19466</v>
      </c>
      <c r="J2138">
        <v>0</v>
      </c>
      <c r="K2138">
        <v>0</v>
      </c>
      <c r="L2138">
        <v>13</v>
      </c>
      <c r="M2138">
        <v>6</v>
      </c>
      <c r="N2138" t="s">
        <v>305</v>
      </c>
      <c r="O2138" s="1">
        <f>result[[#This Row],[n_killed_mutants_cumulativa]]/result[[#This Row],[tot_mutants]]</f>
        <v>0.46153846153846156</v>
      </c>
    </row>
    <row r="2139" spans="1:16" hidden="1" x14ac:dyDescent="0.25">
      <c r="A2139" t="s">
        <v>304</v>
      </c>
      <c r="B2139" t="s">
        <v>25</v>
      </c>
      <c r="C2139" t="s">
        <v>16</v>
      </c>
      <c r="D2139">
        <v>59854</v>
      </c>
      <c r="E2139">
        <v>540</v>
      </c>
      <c r="F2139">
        <v>70</v>
      </c>
      <c r="G2139">
        <v>4900</v>
      </c>
      <c r="H2139">
        <v>2363</v>
      </c>
      <c r="I2139">
        <v>27881</v>
      </c>
      <c r="J2139">
        <v>0</v>
      </c>
      <c r="K2139">
        <v>0</v>
      </c>
      <c r="L2139">
        <v>13</v>
      </c>
      <c r="M2139">
        <v>6</v>
      </c>
      <c r="N2139" t="s">
        <v>305</v>
      </c>
      <c r="O2139" s="1">
        <f>result[[#This Row],[n_killed_mutants_cumulativa]]/result[[#This Row],[tot_mutants]]</f>
        <v>0.46153846153846156</v>
      </c>
    </row>
    <row r="2140" spans="1:16" hidden="1" x14ac:dyDescent="0.25">
      <c r="A2140" t="s">
        <v>304</v>
      </c>
      <c r="B2140" t="s">
        <v>26</v>
      </c>
      <c r="C2140" t="s">
        <v>16</v>
      </c>
      <c r="D2140">
        <v>78022</v>
      </c>
      <c r="E2140">
        <v>635</v>
      </c>
      <c r="F2140">
        <v>80</v>
      </c>
      <c r="G2140">
        <v>6400</v>
      </c>
      <c r="H2140">
        <v>2701</v>
      </c>
      <c r="I2140">
        <v>38354</v>
      </c>
      <c r="J2140">
        <v>0</v>
      </c>
      <c r="K2140">
        <v>0</v>
      </c>
      <c r="L2140">
        <v>13</v>
      </c>
      <c r="M2140">
        <v>6</v>
      </c>
      <c r="N2140" t="s">
        <v>305</v>
      </c>
      <c r="O2140" s="1">
        <f>result[[#This Row],[n_killed_mutants_cumulativa]]/result[[#This Row],[tot_mutants]]</f>
        <v>0.46153846153846156</v>
      </c>
    </row>
    <row r="2141" spans="1:16" hidden="1" x14ac:dyDescent="0.25">
      <c r="A2141" t="s">
        <v>304</v>
      </c>
      <c r="B2141" t="s">
        <v>27</v>
      </c>
      <c r="C2141" t="s">
        <v>16</v>
      </c>
      <c r="D2141">
        <v>102744</v>
      </c>
      <c r="E2141">
        <v>722</v>
      </c>
      <c r="F2141">
        <v>90</v>
      </c>
      <c r="G2141">
        <v>8100</v>
      </c>
      <c r="H2141">
        <v>3003</v>
      </c>
      <c r="I2141">
        <v>50628</v>
      </c>
      <c r="J2141">
        <v>0</v>
      </c>
      <c r="K2141">
        <v>0</v>
      </c>
      <c r="L2141">
        <v>13</v>
      </c>
      <c r="M2141">
        <v>6</v>
      </c>
      <c r="N2141" t="s">
        <v>305</v>
      </c>
      <c r="O2141" s="1">
        <f>result[[#This Row],[n_killed_mutants_cumulativa]]/result[[#This Row],[tot_mutants]]</f>
        <v>0.46153846153846156</v>
      </c>
    </row>
    <row r="2142" spans="1:16" hidden="1" x14ac:dyDescent="0.25">
      <c r="A2142" t="s">
        <v>304</v>
      </c>
      <c r="B2142" t="s">
        <v>30</v>
      </c>
      <c r="C2142" t="s">
        <v>16</v>
      </c>
      <c r="D2142">
        <v>130700</v>
      </c>
      <c r="E2142">
        <v>867</v>
      </c>
      <c r="F2142">
        <v>100</v>
      </c>
      <c r="G2142">
        <v>10000</v>
      </c>
      <c r="H2142">
        <v>3427</v>
      </c>
      <c r="I2142">
        <v>64056</v>
      </c>
      <c r="J2142">
        <v>0</v>
      </c>
      <c r="K2142">
        <v>0</v>
      </c>
      <c r="L2142">
        <v>13</v>
      </c>
      <c r="M2142">
        <v>6</v>
      </c>
      <c r="N2142" t="s">
        <v>305</v>
      </c>
      <c r="O2142" s="1">
        <f>result[[#This Row],[n_killed_mutants_cumulativa]]/result[[#This Row],[tot_mutants]]</f>
        <v>0.46153846153846156</v>
      </c>
    </row>
    <row r="2143" spans="1:16" hidden="1" x14ac:dyDescent="0.25">
      <c r="A2143" t="s">
        <v>304</v>
      </c>
      <c r="B2143" t="s">
        <v>31</v>
      </c>
      <c r="C2143" t="s">
        <v>16</v>
      </c>
      <c r="D2143">
        <v>167092</v>
      </c>
      <c r="E2143">
        <v>885</v>
      </c>
      <c r="F2143">
        <v>110</v>
      </c>
      <c r="G2143">
        <v>12100</v>
      </c>
      <c r="H2143">
        <v>3439</v>
      </c>
      <c r="I2143">
        <v>79595</v>
      </c>
      <c r="J2143">
        <v>0</v>
      </c>
      <c r="K2143">
        <v>0</v>
      </c>
      <c r="L2143">
        <v>13</v>
      </c>
      <c r="M2143">
        <v>6</v>
      </c>
      <c r="N2143" t="s">
        <v>305</v>
      </c>
      <c r="O2143" s="1">
        <f>result[[#This Row],[n_killed_mutants_cumulativa]]/result[[#This Row],[tot_mutants]]</f>
        <v>0.46153846153846156</v>
      </c>
    </row>
    <row r="2144" spans="1:16" x14ac:dyDescent="0.25">
      <c r="A2144" t="s">
        <v>304</v>
      </c>
      <c r="B2144" t="s">
        <v>22</v>
      </c>
      <c r="C2144" t="s">
        <v>16</v>
      </c>
      <c r="D2144">
        <v>674355</v>
      </c>
      <c r="E2144">
        <v>4933</v>
      </c>
      <c r="F2144">
        <v>660</v>
      </c>
      <c r="G2144">
        <v>50600</v>
      </c>
      <c r="H2144">
        <v>20023</v>
      </c>
      <c r="I2144">
        <v>305191</v>
      </c>
      <c r="J2144">
        <v>0</v>
      </c>
      <c r="K2144">
        <v>0</v>
      </c>
      <c r="L2144">
        <v>13</v>
      </c>
      <c r="M2144">
        <v>6</v>
      </c>
      <c r="N2144" t="s">
        <v>305</v>
      </c>
      <c r="O2144" s="1">
        <f>result[[#This Row],[n_killed_mutants_cumulativa]]/result[[#This Row],[tot_mutants]]</f>
        <v>0.46153846153846156</v>
      </c>
      <c r="P2144" s="9" t="s">
        <v>359</v>
      </c>
    </row>
    <row r="2145" spans="1:16" hidden="1" x14ac:dyDescent="0.25">
      <c r="A2145" t="s">
        <v>306</v>
      </c>
      <c r="B2145" t="s">
        <v>15</v>
      </c>
      <c r="C2145" t="s">
        <v>16</v>
      </c>
      <c r="D2145">
        <v>4701</v>
      </c>
      <c r="E2145">
        <v>693</v>
      </c>
      <c r="F2145">
        <v>10</v>
      </c>
      <c r="G2145">
        <v>100</v>
      </c>
      <c r="H2145">
        <v>200</v>
      </c>
      <c r="I2145">
        <v>400</v>
      </c>
      <c r="J2145">
        <v>0</v>
      </c>
      <c r="K2145">
        <v>0</v>
      </c>
      <c r="L2145">
        <v>1</v>
      </c>
      <c r="M2145">
        <v>0</v>
      </c>
      <c r="N2145" t="s">
        <v>17</v>
      </c>
      <c r="O2145" s="1">
        <f>result[[#This Row],[n_killed_mutants_cumulativa]]/result[[#This Row],[tot_mutants]]</f>
        <v>0</v>
      </c>
    </row>
    <row r="2146" spans="1:16" hidden="1" x14ac:dyDescent="0.25">
      <c r="A2146" t="s">
        <v>306</v>
      </c>
      <c r="B2146" t="s">
        <v>18</v>
      </c>
      <c r="C2146" t="s">
        <v>16</v>
      </c>
      <c r="D2146">
        <v>6121</v>
      </c>
      <c r="E2146">
        <v>777</v>
      </c>
      <c r="F2146">
        <v>20</v>
      </c>
      <c r="G2146">
        <v>400</v>
      </c>
      <c r="H2146">
        <v>800</v>
      </c>
      <c r="I2146">
        <v>908</v>
      </c>
      <c r="J2146">
        <v>0</v>
      </c>
      <c r="K2146">
        <v>0</v>
      </c>
      <c r="L2146">
        <v>1</v>
      </c>
      <c r="M2146">
        <v>0</v>
      </c>
      <c r="N2146" t="s">
        <v>17</v>
      </c>
      <c r="O2146" s="1">
        <f>result[[#This Row],[n_killed_mutants_cumulativa]]/result[[#This Row],[tot_mutants]]</f>
        <v>0</v>
      </c>
    </row>
    <row r="2147" spans="1:16" hidden="1" x14ac:dyDescent="0.25">
      <c r="A2147" t="s">
        <v>306</v>
      </c>
      <c r="B2147" t="s">
        <v>19</v>
      </c>
      <c r="C2147" t="s">
        <v>16</v>
      </c>
      <c r="D2147">
        <v>11474</v>
      </c>
      <c r="E2147">
        <v>1801</v>
      </c>
      <c r="F2147">
        <v>30</v>
      </c>
      <c r="G2147">
        <v>900</v>
      </c>
      <c r="H2147">
        <v>1800</v>
      </c>
      <c r="I2147">
        <v>1534</v>
      </c>
      <c r="J2147">
        <v>0</v>
      </c>
      <c r="K2147">
        <v>0</v>
      </c>
      <c r="L2147">
        <v>1</v>
      </c>
      <c r="M2147">
        <v>0</v>
      </c>
      <c r="N2147" t="s">
        <v>17</v>
      </c>
      <c r="O2147" s="1">
        <f>result[[#This Row],[n_killed_mutants_cumulativa]]/result[[#This Row],[tot_mutants]]</f>
        <v>0</v>
      </c>
    </row>
    <row r="2148" spans="1:16" hidden="1" x14ac:dyDescent="0.25">
      <c r="A2148" t="s">
        <v>306</v>
      </c>
      <c r="B2148" t="s">
        <v>20</v>
      </c>
      <c r="C2148" t="s">
        <v>16</v>
      </c>
      <c r="D2148">
        <v>17604</v>
      </c>
      <c r="E2148">
        <v>2445</v>
      </c>
      <c r="F2148">
        <v>40</v>
      </c>
      <c r="G2148">
        <v>1600</v>
      </c>
      <c r="H2148">
        <v>3200</v>
      </c>
      <c r="I2148">
        <v>2200</v>
      </c>
      <c r="J2148">
        <v>0</v>
      </c>
      <c r="K2148">
        <v>0</v>
      </c>
      <c r="L2148">
        <v>1</v>
      </c>
      <c r="M2148">
        <v>0</v>
      </c>
      <c r="N2148" t="s">
        <v>17</v>
      </c>
      <c r="O2148" s="1">
        <f>result[[#This Row],[n_killed_mutants_cumulativa]]/result[[#This Row],[tot_mutants]]</f>
        <v>0</v>
      </c>
    </row>
    <row r="2149" spans="1:16" hidden="1" x14ac:dyDescent="0.25">
      <c r="A2149" t="s">
        <v>306</v>
      </c>
      <c r="B2149" t="s">
        <v>21</v>
      </c>
      <c r="C2149" t="s">
        <v>16</v>
      </c>
      <c r="D2149">
        <v>26226</v>
      </c>
      <c r="E2149">
        <v>3908</v>
      </c>
      <c r="F2149">
        <v>50</v>
      </c>
      <c r="G2149">
        <v>2500</v>
      </c>
      <c r="H2149">
        <v>5000</v>
      </c>
      <c r="I2149">
        <v>3000</v>
      </c>
      <c r="J2149">
        <v>0</v>
      </c>
      <c r="K2149">
        <v>0</v>
      </c>
      <c r="L2149">
        <v>1</v>
      </c>
      <c r="M2149">
        <v>0</v>
      </c>
      <c r="N2149" t="s">
        <v>17</v>
      </c>
      <c r="O2149" s="1">
        <f>result[[#This Row],[n_killed_mutants_cumulativa]]/result[[#This Row],[tot_mutants]]</f>
        <v>0</v>
      </c>
    </row>
    <row r="2150" spans="1:16" hidden="1" x14ac:dyDescent="0.25">
      <c r="A2150" t="s">
        <v>306</v>
      </c>
      <c r="B2150" t="s">
        <v>24</v>
      </c>
      <c r="C2150" t="s">
        <v>16</v>
      </c>
      <c r="D2150">
        <v>35234</v>
      </c>
      <c r="E2150">
        <v>5266</v>
      </c>
      <c r="F2150">
        <v>60</v>
      </c>
      <c r="G2150">
        <v>3600</v>
      </c>
      <c r="H2150">
        <v>7200</v>
      </c>
      <c r="I2150">
        <v>3954</v>
      </c>
      <c r="J2150">
        <v>0</v>
      </c>
      <c r="K2150">
        <v>0</v>
      </c>
      <c r="L2150">
        <v>1</v>
      </c>
      <c r="M2150">
        <v>0</v>
      </c>
      <c r="N2150" t="s">
        <v>17</v>
      </c>
      <c r="O2150" s="1">
        <f>result[[#This Row],[n_killed_mutants_cumulativa]]/result[[#This Row],[tot_mutants]]</f>
        <v>0</v>
      </c>
    </row>
    <row r="2151" spans="1:16" hidden="1" x14ac:dyDescent="0.25">
      <c r="A2151" t="s">
        <v>306</v>
      </c>
      <c r="B2151" t="s">
        <v>25</v>
      </c>
      <c r="C2151" t="s">
        <v>16</v>
      </c>
      <c r="D2151">
        <v>46640</v>
      </c>
      <c r="E2151">
        <v>7106</v>
      </c>
      <c r="F2151">
        <v>70</v>
      </c>
      <c r="G2151">
        <v>4900</v>
      </c>
      <c r="H2151">
        <v>9800</v>
      </c>
      <c r="I2151">
        <v>4942</v>
      </c>
      <c r="J2151">
        <v>0</v>
      </c>
      <c r="K2151">
        <v>0</v>
      </c>
      <c r="L2151">
        <v>1</v>
      </c>
      <c r="M2151">
        <v>0</v>
      </c>
      <c r="N2151" t="s">
        <v>17</v>
      </c>
      <c r="O2151" s="1">
        <f>result[[#This Row],[n_killed_mutants_cumulativa]]/result[[#This Row],[tot_mutants]]</f>
        <v>0</v>
      </c>
    </row>
    <row r="2152" spans="1:16" hidden="1" x14ac:dyDescent="0.25">
      <c r="A2152" t="s">
        <v>306</v>
      </c>
      <c r="B2152" t="s">
        <v>26</v>
      </c>
      <c r="C2152" t="s">
        <v>16</v>
      </c>
      <c r="D2152">
        <v>59780</v>
      </c>
      <c r="E2152">
        <v>9203</v>
      </c>
      <c r="F2152">
        <v>80</v>
      </c>
      <c r="G2152">
        <v>6400</v>
      </c>
      <c r="H2152">
        <v>12800</v>
      </c>
      <c r="I2152">
        <v>6104</v>
      </c>
      <c r="J2152">
        <v>0</v>
      </c>
      <c r="K2152">
        <v>0</v>
      </c>
      <c r="L2152">
        <v>1</v>
      </c>
      <c r="M2152">
        <v>0</v>
      </c>
      <c r="N2152" t="s">
        <v>17</v>
      </c>
      <c r="O2152" s="1">
        <f>result[[#This Row],[n_killed_mutants_cumulativa]]/result[[#This Row],[tot_mutants]]</f>
        <v>0</v>
      </c>
    </row>
    <row r="2153" spans="1:16" hidden="1" x14ac:dyDescent="0.25">
      <c r="A2153" t="s">
        <v>306</v>
      </c>
      <c r="B2153" t="s">
        <v>27</v>
      </c>
      <c r="C2153" t="s">
        <v>16</v>
      </c>
      <c r="D2153">
        <v>74364</v>
      </c>
      <c r="E2153">
        <v>11721</v>
      </c>
      <c r="F2153">
        <v>90</v>
      </c>
      <c r="G2153">
        <v>8100</v>
      </c>
      <c r="H2153">
        <v>16200</v>
      </c>
      <c r="I2153">
        <v>7434</v>
      </c>
      <c r="J2153">
        <v>0</v>
      </c>
      <c r="K2153">
        <v>0</v>
      </c>
      <c r="L2153">
        <v>1</v>
      </c>
      <c r="M2153">
        <v>0</v>
      </c>
      <c r="N2153" t="s">
        <v>17</v>
      </c>
      <c r="O2153" s="1">
        <f>result[[#This Row],[n_killed_mutants_cumulativa]]/result[[#This Row],[tot_mutants]]</f>
        <v>0</v>
      </c>
    </row>
    <row r="2154" spans="1:16" hidden="1" x14ac:dyDescent="0.25">
      <c r="A2154" t="s">
        <v>306</v>
      </c>
      <c r="B2154" t="s">
        <v>30</v>
      </c>
      <c r="C2154" t="s">
        <v>16</v>
      </c>
      <c r="D2154">
        <v>90190</v>
      </c>
      <c r="E2154">
        <v>14258</v>
      </c>
      <c r="F2154">
        <v>100</v>
      </c>
      <c r="G2154">
        <v>10000</v>
      </c>
      <c r="H2154">
        <v>20000</v>
      </c>
      <c r="I2154">
        <v>8612</v>
      </c>
      <c r="J2154">
        <v>0</v>
      </c>
      <c r="K2154">
        <v>0</v>
      </c>
      <c r="L2154">
        <v>1</v>
      </c>
      <c r="M2154">
        <v>0</v>
      </c>
      <c r="N2154" t="s">
        <v>17</v>
      </c>
      <c r="O2154" s="1">
        <f>result[[#This Row],[n_killed_mutants_cumulativa]]/result[[#This Row],[tot_mutants]]</f>
        <v>0</v>
      </c>
    </row>
    <row r="2155" spans="1:16" hidden="1" x14ac:dyDescent="0.25">
      <c r="A2155" t="s">
        <v>306</v>
      </c>
      <c r="B2155" t="s">
        <v>31</v>
      </c>
      <c r="C2155" t="s">
        <v>16</v>
      </c>
      <c r="D2155">
        <v>107833</v>
      </c>
      <c r="E2155">
        <v>17414</v>
      </c>
      <c r="F2155">
        <v>110</v>
      </c>
      <c r="G2155">
        <v>12100</v>
      </c>
      <c r="H2155">
        <v>24200</v>
      </c>
      <c r="I2155">
        <v>9984</v>
      </c>
      <c r="J2155">
        <v>0</v>
      </c>
      <c r="K2155">
        <v>0</v>
      </c>
      <c r="L2155">
        <v>1</v>
      </c>
      <c r="M2155">
        <v>0</v>
      </c>
      <c r="N2155" t="s">
        <v>17</v>
      </c>
      <c r="O2155" s="1">
        <f>result[[#This Row],[n_killed_mutants_cumulativa]]/result[[#This Row],[tot_mutants]]</f>
        <v>0</v>
      </c>
    </row>
    <row r="2156" spans="1:16" hidden="1" x14ac:dyDescent="0.25">
      <c r="A2156" t="s">
        <v>306</v>
      </c>
      <c r="B2156" t="s">
        <v>36</v>
      </c>
      <c r="C2156" t="s">
        <v>16</v>
      </c>
      <c r="D2156">
        <v>128839</v>
      </c>
      <c r="E2156">
        <v>20707</v>
      </c>
      <c r="F2156">
        <v>120</v>
      </c>
      <c r="G2156">
        <v>14400</v>
      </c>
      <c r="H2156">
        <v>28800</v>
      </c>
      <c r="I2156">
        <v>11610</v>
      </c>
      <c r="J2156">
        <v>0</v>
      </c>
      <c r="K2156">
        <v>0</v>
      </c>
      <c r="L2156">
        <v>1</v>
      </c>
      <c r="M2156">
        <v>0</v>
      </c>
      <c r="N2156" t="s">
        <v>17</v>
      </c>
      <c r="O2156" s="1">
        <f>result[[#This Row],[n_killed_mutants_cumulativa]]/result[[#This Row],[tot_mutants]]</f>
        <v>0</v>
      </c>
    </row>
    <row r="2157" spans="1:16" hidden="1" x14ac:dyDescent="0.25">
      <c r="A2157" t="s">
        <v>306</v>
      </c>
      <c r="B2157" t="s">
        <v>22</v>
      </c>
      <c r="C2157" t="s">
        <v>16</v>
      </c>
      <c r="D2157">
        <v>609006</v>
      </c>
      <c r="E2157">
        <v>95299</v>
      </c>
      <c r="F2157">
        <v>780</v>
      </c>
      <c r="G2157">
        <v>65000</v>
      </c>
      <c r="H2157">
        <v>130000</v>
      </c>
      <c r="I2157">
        <v>60682</v>
      </c>
      <c r="J2157">
        <v>0</v>
      </c>
      <c r="K2157">
        <v>0</v>
      </c>
      <c r="L2157">
        <v>1</v>
      </c>
      <c r="M2157">
        <v>0</v>
      </c>
      <c r="N2157" t="s">
        <v>17</v>
      </c>
      <c r="O2157" s="1">
        <f>result[[#This Row],[n_killed_mutants_cumulativa]]/result[[#This Row],[tot_mutants]]</f>
        <v>0</v>
      </c>
      <c r="P2157" s="9" t="s">
        <v>346</v>
      </c>
    </row>
    <row r="2158" spans="1:16" hidden="1" x14ac:dyDescent="0.25">
      <c r="A2158" t="s">
        <v>307</v>
      </c>
      <c r="B2158" t="s">
        <v>15</v>
      </c>
      <c r="C2158" t="s">
        <v>16</v>
      </c>
      <c r="D2158">
        <v>1833</v>
      </c>
      <c r="E2158">
        <v>237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10</v>
      </c>
      <c r="L2158">
        <v>2</v>
      </c>
      <c r="M2158">
        <v>0</v>
      </c>
      <c r="N2158" t="s">
        <v>17</v>
      </c>
      <c r="O2158" s="1">
        <f>result[[#This Row],[n_killed_mutants_cumulativa]]/result[[#This Row],[tot_mutants]]</f>
        <v>0</v>
      </c>
    </row>
    <row r="2159" spans="1:16" hidden="1" x14ac:dyDescent="0.25">
      <c r="A2159" t="s">
        <v>307</v>
      </c>
      <c r="B2159" t="s">
        <v>18</v>
      </c>
      <c r="C2159" t="s">
        <v>16</v>
      </c>
      <c r="D2159">
        <v>1364</v>
      </c>
      <c r="E2159">
        <v>358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20</v>
      </c>
      <c r="L2159">
        <v>2</v>
      </c>
      <c r="M2159">
        <v>0</v>
      </c>
      <c r="N2159" t="s">
        <v>17</v>
      </c>
      <c r="O2159" s="1">
        <f>result[[#This Row],[n_killed_mutants_cumulativa]]/result[[#This Row],[tot_mutants]]</f>
        <v>0</v>
      </c>
    </row>
    <row r="2160" spans="1:16" hidden="1" x14ac:dyDescent="0.25">
      <c r="A2160" t="s">
        <v>307</v>
      </c>
      <c r="B2160" t="s">
        <v>19</v>
      </c>
      <c r="C2160" t="s">
        <v>16</v>
      </c>
      <c r="D2160">
        <v>1594</v>
      </c>
      <c r="E2160">
        <v>481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30</v>
      </c>
      <c r="L2160">
        <v>2</v>
      </c>
      <c r="M2160">
        <v>0</v>
      </c>
      <c r="N2160" t="s">
        <v>17</v>
      </c>
      <c r="O2160" s="1">
        <f>result[[#This Row],[n_killed_mutants_cumulativa]]/result[[#This Row],[tot_mutants]]</f>
        <v>0</v>
      </c>
    </row>
    <row r="2161" spans="1:15" hidden="1" x14ac:dyDescent="0.25">
      <c r="A2161" t="s">
        <v>307</v>
      </c>
      <c r="B2161" t="s">
        <v>20</v>
      </c>
      <c r="C2161" t="s">
        <v>16</v>
      </c>
      <c r="D2161">
        <v>1819</v>
      </c>
      <c r="E2161">
        <v>670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40</v>
      </c>
      <c r="L2161">
        <v>2</v>
      </c>
      <c r="M2161">
        <v>0</v>
      </c>
      <c r="N2161" t="s">
        <v>17</v>
      </c>
      <c r="O2161" s="1">
        <f>result[[#This Row],[n_killed_mutants_cumulativa]]/result[[#This Row],[tot_mutants]]</f>
        <v>0</v>
      </c>
    </row>
    <row r="2162" spans="1:15" hidden="1" x14ac:dyDescent="0.25">
      <c r="A2162" t="s">
        <v>307</v>
      </c>
      <c r="B2162" t="s">
        <v>21</v>
      </c>
      <c r="C2162" t="s">
        <v>16</v>
      </c>
      <c r="D2162">
        <v>2179</v>
      </c>
      <c r="E2162">
        <v>806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50</v>
      </c>
      <c r="L2162">
        <v>2</v>
      </c>
      <c r="M2162">
        <v>0</v>
      </c>
      <c r="N2162" t="s">
        <v>17</v>
      </c>
      <c r="O2162" s="1">
        <f>result[[#This Row],[n_killed_mutants_cumulativa]]/result[[#This Row],[tot_mutants]]</f>
        <v>0</v>
      </c>
    </row>
    <row r="2163" spans="1:15" hidden="1" x14ac:dyDescent="0.25">
      <c r="A2163" t="s">
        <v>307</v>
      </c>
      <c r="B2163" t="s">
        <v>22</v>
      </c>
      <c r="C2163" t="s">
        <v>16</v>
      </c>
      <c r="D2163">
        <v>8789</v>
      </c>
      <c r="E2163">
        <v>2552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150</v>
      </c>
      <c r="L2163">
        <v>2</v>
      </c>
      <c r="M2163">
        <v>0</v>
      </c>
      <c r="N2163" t="s">
        <v>17</v>
      </c>
      <c r="O2163" s="1">
        <f>result[[#This Row],[n_killed_mutants_cumulativa]]/result[[#This Row],[tot_mutants]]</f>
        <v>0</v>
      </c>
    </row>
    <row r="2164" spans="1:15" hidden="1" x14ac:dyDescent="0.25">
      <c r="A2164" t="s">
        <v>308</v>
      </c>
      <c r="B2164" t="s">
        <v>15</v>
      </c>
      <c r="C2164" t="s">
        <v>16</v>
      </c>
      <c r="D2164">
        <v>2101</v>
      </c>
      <c r="E2164">
        <v>93</v>
      </c>
      <c r="F2164">
        <v>8</v>
      </c>
      <c r="G2164">
        <v>80</v>
      </c>
      <c r="H2164">
        <v>8</v>
      </c>
      <c r="I2164">
        <v>80</v>
      </c>
      <c r="J2164">
        <v>0</v>
      </c>
      <c r="K2164">
        <v>2</v>
      </c>
      <c r="L2164">
        <v>1</v>
      </c>
      <c r="M2164">
        <v>0</v>
      </c>
      <c r="N2164" t="s">
        <v>17</v>
      </c>
      <c r="O2164" s="1">
        <f>result[[#This Row],[n_killed_mutants_cumulativa]]/result[[#This Row],[tot_mutants]]</f>
        <v>0</v>
      </c>
    </row>
    <row r="2165" spans="1:15" hidden="1" x14ac:dyDescent="0.25">
      <c r="A2165" t="s">
        <v>308</v>
      </c>
      <c r="B2165" t="s">
        <v>18</v>
      </c>
      <c r="C2165" t="s">
        <v>16</v>
      </c>
      <c r="D2165">
        <v>1307</v>
      </c>
      <c r="E2165">
        <v>111</v>
      </c>
      <c r="F2165">
        <v>8</v>
      </c>
      <c r="G2165">
        <v>160</v>
      </c>
      <c r="H2165">
        <v>8</v>
      </c>
      <c r="I2165">
        <v>160</v>
      </c>
      <c r="J2165">
        <v>0</v>
      </c>
      <c r="K2165">
        <v>12</v>
      </c>
      <c r="L2165">
        <v>1</v>
      </c>
      <c r="M2165">
        <v>0</v>
      </c>
      <c r="N2165" t="s">
        <v>17</v>
      </c>
      <c r="O2165" s="1">
        <f>result[[#This Row],[n_killed_mutants_cumulativa]]/result[[#This Row],[tot_mutants]]</f>
        <v>0</v>
      </c>
    </row>
    <row r="2166" spans="1:15" hidden="1" x14ac:dyDescent="0.25">
      <c r="A2166" t="s">
        <v>308</v>
      </c>
      <c r="B2166" t="s">
        <v>19</v>
      </c>
      <c r="C2166" t="s">
        <v>16</v>
      </c>
      <c r="D2166">
        <v>1776</v>
      </c>
      <c r="E2166">
        <v>116</v>
      </c>
      <c r="F2166">
        <v>16</v>
      </c>
      <c r="G2166">
        <v>480</v>
      </c>
      <c r="H2166">
        <v>16</v>
      </c>
      <c r="I2166">
        <v>480</v>
      </c>
      <c r="J2166">
        <v>0</v>
      </c>
      <c r="K2166">
        <v>14</v>
      </c>
      <c r="L2166">
        <v>1</v>
      </c>
      <c r="M2166">
        <v>0</v>
      </c>
      <c r="N2166" t="s">
        <v>17</v>
      </c>
      <c r="O2166" s="1">
        <f>result[[#This Row],[n_killed_mutants_cumulativa]]/result[[#This Row],[tot_mutants]]</f>
        <v>0</v>
      </c>
    </row>
    <row r="2167" spans="1:15" hidden="1" x14ac:dyDescent="0.25">
      <c r="A2167" t="s">
        <v>308</v>
      </c>
      <c r="B2167" t="s">
        <v>20</v>
      </c>
      <c r="C2167" t="s">
        <v>16</v>
      </c>
      <c r="D2167">
        <v>1922</v>
      </c>
      <c r="E2167">
        <v>91</v>
      </c>
      <c r="F2167">
        <v>21</v>
      </c>
      <c r="G2167">
        <v>840</v>
      </c>
      <c r="H2167">
        <v>21</v>
      </c>
      <c r="I2167">
        <v>840</v>
      </c>
      <c r="J2167">
        <v>0</v>
      </c>
      <c r="K2167">
        <v>19</v>
      </c>
      <c r="L2167">
        <v>1</v>
      </c>
      <c r="M2167">
        <v>0</v>
      </c>
      <c r="N2167" t="s">
        <v>17</v>
      </c>
      <c r="O2167" s="1">
        <f>result[[#This Row],[n_killed_mutants_cumulativa]]/result[[#This Row],[tot_mutants]]</f>
        <v>0</v>
      </c>
    </row>
    <row r="2168" spans="1:15" hidden="1" x14ac:dyDescent="0.25">
      <c r="A2168" t="s">
        <v>308</v>
      </c>
      <c r="B2168" t="s">
        <v>21</v>
      </c>
      <c r="C2168" t="s">
        <v>16</v>
      </c>
      <c r="D2168">
        <v>2741</v>
      </c>
      <c r="E2168">
        <v>136</v>
      </c>
      <c r="F2168">
        <v>27</v>
      </c>
      <c r="G2168">
        <v>1350</v>
      </c>
      <c r="H2168">
        <v>27</v>
      </c>
      <c r="I2168">
        <v>1350</v>
      </c>
      <c r="J2168">
        <v>0</v>
      </c>
      <c r="K2168">
        <v>23</v>
      </c>
      <c r="L2168">
        <v>1</v>
      </c>
      <c r="M2168">
        <v>0</v>
      </c>
      <c r="N2168" t="s">
        <v>17</v>
      </c>
      <c r="O2168" s="1">
        <f>result[[#This Row],[n_killed_mutants_cumulativa]]/result[[#This Row],[tot_mutants]]</f>
        <v>0</v>
      </c>
    </row>
    <row r="2169" spans="1:15" hidden="1" x14ac:dyDescent="0.25">
      <c r="A2169" t="s">
        <v>308</v>
      </c>
      <c r="B2169" t="s">
        <v>24</v>
      </c>
      <c r="C2169" t="s">
        <v>16</v>
      </c>
      <c r="D2169">
        <v>2823</v>
      </c>
      <c r="E2169">
        <v>186</v>
      </c>
      <c r="F2169">
        <v>27</v>
      </c>
      <c r="G2169">
        <v>1620</v>
      </c>
      <c r="H2169">
        <v>27</v>
      </c>
      <c r="I2169">
        <v>1620</v>
      </c>
      <c r="J2169">
        <v>0</v>
      </c>
      <c r="K2169">
        <v>33</v>
      </c>
      <c r="L2169">
        <v>1</v>
      </c>
      <c r="M2169">
        <v>0</v>
      </c>
      <c r="N2169" t="s">
        <v>17</v>
      </c>
      <c r="O2169" s="1">
        <f>result[[#This Row],[n_killed_mutants_cumulativa]]/result[[#This Row],[tot_mutants]]</f>
        <v>0</v>
      </c>
    </row>
    <row r="2170" spans="1:15" hidden="1" x14ac:dyDescent="0.25">
      <c r="A2170" t="s">
        <v>308</v>
      </c>
      <c r="B2170" t="s">
        <v>25</v>
      </c>
      <c r="C2170" t="s">
        <v>16</v>
      </c>
      <c r="D2170">
        <v>3608</v>
      </c>
      <c r="E2170">
        <v>260</v>
      </c>
      <c r="F2170">
        <v>33</v>
      </c>
      <c r="G2170">
        <v>2310</v>
      </c>
      <c r="H2170">
        <v>33</v>
      </c>
      <c r="I2170">
        <v>2310</v>
      </c>
      <c r="J2170">
        <v>0</v>
      </c>
      <c r="K2170">
        <v>37</v>
      </c>
      <c r="L2170">
        <v>1</v>
      </c>
      <c r="M2170">
        <v>0</v>
      </c>
      <c r="N2170" t="s">
        <v>17</v>
      </c>
      <c r="O2170" s="1">
        <f>result[[#This Row],[n_killed_mutants_cumulativa]]/result[[#This Row],[tot_mutants]]</f>
        <v>0</v>
      </c>
    </row>
    <row r="2171" spans="1:15" hidden="1" x14ac:dyDescent="0.25">
      <c r="A2171" t="s">
        <v>308</v>
      </c>
      <c r="B2171" t="s">
        <v>26</v>
      </c>
      <c r="C2171" t="s">
        <v>16</v>
      </c>
      <c r="D2171">
        <v>4523</v>
      </c>
      <c r="E2171">
        <v>326</v>
      </c>
      <c r="F2171">
        <v>41</v>
      </c>
      <c r="G2171">
        <v>3280</v>
      </c>
      <c r="H2171">
        <v>41</v>
      </c>
      <c r="I2171">
        <v>3280</v>
      </c>
      <c r="J2171">
        <v>0</v>
      </c>
      <c r="K2171">
        <v>39</v>
      </c>
      <c r="L2171">
        <v>1</v>
      </c>
      <c r="M2171">
        <v>0</v>
      </c>
      <c r="N2171" t="s">
        <v>17</v>
      </c>
      <c r="O2171" s="1">
        <f>result[[#This Row],[n_killed_mutants_cumulativa]]/result[[#This Row],[tot_mutants]]</f>
        <v>0</v>
      </c>
    </row>
    <row r="2172" spans="1:15" hidden="1" x14ac:dyDescent="0.25">
      <c r="A2172" t="s">
        <v>308</v>
      </c>
      <c r="B2172" t="s">
        <v>27</v>
      </c>
      <c r="C2172" t="s">
        <v>16</v>
      </c>
      <c r="D2172">
        <v>6061</v>
      </c>
      <c r="E2172">
        <v>399</v>
      </c>
      <c r="F2172">
        <v>51</v>
      </c>
      <c r="G2172">
        <v>4590</v>
      </c>
      <c r="H2172">
        <v>51</v>
      </c>
      <c r="I2172">
        <v>4590</v>
      </c>
      <c r="J2172">
        <v>0</v>
      </c>
      <c r="K2172">
        <v>39</v>
      </c>
      <c r="L2172">
        <v>1</v>
      </c>
      <c r="M2172">
        <v>0</v>
      </c>
      <c r="N2172" t="s">
        <v>17</v>
      </c>
      <c r="O2172" s="1">
        <f>result[[#This Row],[n_killed_mutants_cumulativa]]/result[[#This Row],[tot_mutants]]</f>
        <v>0</v>
      </c>
    </row>
    <row r="2173" spans="1:15" hidden="1" x14ac:dyDescent="0.25">
      <c r="A2173" t="s">
        <v>308</v>
      </c>
      <c r="B2173" t="s">
        <v>30</v>
      </c>
      <c r="C2173" t="s">
        <v>16</v>
      </c>
      <c r="D2173">
        <v>6796</v>
      </c>
      <c r="E2173">
        <v>586</v>
      </c>
      <c r="F2173">
        <v>49</v>
      </c>
      <c r="G2173">
        <v>4900</v>
      </c>
      <c r="H2173">
        <v>49</v>
      </c>
      <c r="I2173">
        <v>4900</v>
      </c>
      <c r="J2173">
        <v>0</v>
      </c>
      <c r="K2173">
        <v>51</v>
      </c>
      <c r="L2173">
        <v>1</v>
      </c>
      <c r="M2173">
        <v>0</v>
      </c>
      <c r="N2173" t="s">
        <v>17</v>
      </c>
      <c r="O2173" s="1">
        <f>result[[#This Row],[n_killed_mutants_cumulativa]]/result[[#This Row],[tot_mutants]]</f>
        <v>0</v>
      </c>
    </row>
    <row r="2174" spans="1:15" hidden="1" x14ac:dyDescent="0.25">
      <c r="A2174" t="s">
        <v>308</v>
      </c>
      <c r="B2174" t="s">
        <v>31</v>
      </c>
      <c r="C2174" t="s">
        <v>16</v>
      </c>
      <c r="D2174">
        <v>7835</v>
      </c>
      <c r="E2174">
        <v>800</v>
      </c>
      <c r="F2174">
        <v>50</v>
      </c>
      <c r="G2174">
        <v>5500</v>
      </c>
      <c r="H2174">
        <v>50</v>
      </c>
      <c r="I2174">
        <v>5500</v>
      </c>
      <c r="J2174">
        <v>0</v>
      </c>
      <c r="K2174">
        <v>60</v>
      </c>
      <c r="L2174">
        <v>1</v>
      </c>
      <c r="M2174">
        <v>0</v>
      </c>
      <c r="N2174" t="s">
        <v>17</v>
      </c>
      <c r="O2174" s="1">
        <f>result[[#This Row],[n_killed_mutants_cumulativa]]/result[[#This Row],[tot_mutants]]</f>
        <v>0</v>
      </c>
    </row>
    <row r="2175" spans="1:15" hidden="1" x14ac:dyDescent="0.25">
      <c r="A2175" t="s">
        <v>308</v>
      </c>
      <c r="B2175" t="s">
        <v>36</v>
      </c>
      <c r="C2175" t="s">
        <v>16</v>
      </c>
      <c r="D2175">
        <v>10059</v>
      </c>
      <c r="E2175">
        <v>903</v>
      </c>
      <c r="F2175">
        <v>64</v>
      </c>
      <c r="G2175">
        <v>7680</v>
      </c>
      <c r="H2175">
        <v>64</v>
      </c>
      <c r="I2175">
        <v>7680</v>
      </c>
      <c r="J2175">
        <v>0</v>
      </c>
      <c r="K2175">
        <v>56</v>
      </c>
      <c r="L2175">
        <v>1</v>
      </c>
      <c r="M2175">
        <v>0</v>
      </c>
      <c r="N2175" t="s">
        <v>17</v>
      </c>
      <c r="O2175" s="1">
        <f>result[[#This Row],[n_killed_mutants_cumulativa]]/result[[#This Row],[tot_mutants]]</f>
        <v>0</v>
      </c>
    </row>
    <row r="2176" spans="1:15" hidden="1" x14ac:dyDescent="0.25">
      <c r="A2176" t="s">
        <v>308</v>
      </c>
      <c r="B2176" t="s">
        <v>40</v>
      </c>
      <c r="C2176" t="s">
        <v>16</v>
      </c>
      <c r="D2176">
        <v>11697</v>
      </c>
      <c r="E2176">
        <v>1144</v>
      </c>
      <c r="F2176">
        <v>66</v>
      </c>
      <c r="G2176">
        <v>8580</v>
      </c>
      <c r="H2176">
        <v>66</v>
      </c>
      <c r="I2176">
        <v>8580</v>
      </c>
      <c r="J2176">
        <v>0</v>
      </c>
      <c r="K2176">
        <v>64</v>
      </c>
      <c r="L2176">
        <v>1</v>
      </c>
      <c r="M2176">
        <v>0</v>
      </c>
      <c r="N2176" t="s">
        <v>17</v>
      </c>
      <c r="O2176" s="1">
        <f>result[[#This Row],[n_killed_mutants_cumulativa]]/result[[#This Row],[tot_mutants]]</f>
        <v>0</v>
      </c>
    </row>
    <row r="2177" spans="1:16" hidden="1" x14ac:dyDescent="0.25">
      <c r="A2177" t="s">
        <v>308</v>
      </c>
      <c r="B2177" t="s">
        <v>47</v>
      </c>
      <c r="C2177" t="s">
        <v>16</v>
      </c>
      <c r="D2177">
        <v>12735</v>
      </c>
      <c r="E2177">
        <v>1543</v>
      </c>
      <c r="F2177">
        <v>63</v>
      </c>
      <c r="G2177">
        <v>8820</v>
      </c>
      <c r="H2177">
        <v>63</v>
      </c>
      <c r="I2177">
        <v>8820</v>
      </c>
      <c r="J2177">
        <v>0</v>
      </c>
      <c r="K2177">
        <v>77</v>
      </c>
      <c r="L2177">
        <v>1</v>
      </c>
      <c r="M2177">
        <v>0</v>
      </c>
      <c r="N2177" t="s">
        <v>17</v>
      </c>
      <c r="O2177" s="1">
        <f>result[[#This Row],[n_killed_mutants_cumulativa]]/result[[#This Row],[tot_mutants]]</f>
        <v>0</v>
      </c>
    </row>
    <row r="2178" spans="1:16" hidden="1" x14ac:dyDescent="0.25">
      <c r="A2178" t="s">
        <v>308</v>
      </c>
      <c r="B2178" t="s">
        <v>48</v>
      </c>
      <c r="C2178" t="s">
        <v>16</v>
      </c>
      <c r="D2178">
        <v>15972</v>
      </c>
      <c r="E2178">
        <v>1658</v>
      </c>
      <c r="F2178">
        <v>78</v>
      </c>
      <c r="G2178">
        <v>11700</v>
      </c>
      <c r="H2178">
        <v>78</v>
      </c>
      <c r="I2178">
        <v>11700</v>
      </c>
      <c r="J2178">
        <v>0</v>
      </c>
      <c r="K2178">
        <v>72</v>
      </c>
      <c r="L2178">
        <v>1</v>
      </c>
      <c r="M2178">
        <v>0</v>
      </c>
      <c r="N2178" t="s">
        <v>17</v>
      </c>
      <c r="O2178" s="1">
        <f>result[[#This Row],[n_killed_mutants_cumulativa]]/result[[#This Row],[tot_mutants]]</f>
        <v>0</v>
      </c>
    </row>
    <row r="2179" spans="1:16" hidden="1" x14ac:dyDescent="0.25">
      <c r="A2179" t="s">
        <v>308</v>
      </c>
      <c r="B2179" t="s">
        <v>49</v>
      </c>
      <c r="C2179" t="s">
        <v>16</v>
      </c>
      <c r="D2179">
        <v>17748</v>
      </c>
      <c r="E2179">
        <v>2095</v>
      </c>
      <c r="F2179">
        <v>78</v>
      </c>
      <c r="G2179">
        <v>12480</v>
      </c>
      <c r="H2179">
        <v>78</v>
      </c>
      <c r="I2179">
        <v>12480</v>
      </c>
      <c r="J2179">
        <v>0</v>
      </c>
      <c r="K2179">
        <v>82</v>
      </c>
      <c r="L2179">
        <v>1</v>
      </c>
      <c r="M2179">
        <v>0</v>
      </c>
      <c r="N2179" t="s">
        <v>17</v>
      </c>
      <c r="O2179" s="1">
        <f>result[[#This Row],[n_killed_mutants_cumulativa]]/result[[#This Row],[tot_mutants]]</f>
        <v>0</v>
      </c>
    </row>
    <row r="2180" spans="1:16" hidden="1" x14ac:dyDescent="0.25">
      <c r="A2180" t="s">
        <v>308</v>
      </c>
      <c r="B2180" t="s">
        <v>50</v>
      </c>
      <c r="C2180" t="s">
        <v>16</v>
      </c>
      <c r="D2180">
        <v>19126</v>
      </c>
      <c r="E2180">
        <v>2801</v>
      </c>
      <c r="F2180">
        <v>74</v>
      </c>
      <c r="G2180">
        <v>12580</v>
      </c>
      <c r="H2180">
        <v>74</v>
      </c>
      <c r="I2180">
        <v>12580</v>
      </c>
      <c r="J2180">
        <v>0</v>
      </c>
      <c r="K2180">
        <v>96</v>
      </c>
      <c r="L2180">
        <v>1</v>
      </c>
      <c r="M2180">
        <v>0</v>
      </c>
      <c r="N2180" t="s">
        <v>17</v>
      </c>
      <c r="O2180" s="1">
        <f>result[[#This Row],[n_killed_mutants_cumulativa]]/result[[#This Row],[tot_mutants]]</f>
        <v>0</v>
      </c>
    </row>
    <row r="2181" spans="1:16" hidden="1" x14ac:dyDescent="0.25">
      <c r="A2181" t="s">
        <v>308</v>
      </c>
      <c r="B2181" t="s">
        <v>51</v>
      </c>
      <c r="C2181" t="s">
        <v>16</v>
      </c>
      <c r="D2181">
        <v>22868</v>
      </c>
      <c r="E2181">
        <v>2939</v>
      </c>
      <c r="F2181">
        <v>87</v>
      </c>
      <c r="G2181">
        <v>15660</v>
      </c>
      <c r="H2181">
        <v>87</v>
      </c>
      <c r="I2181">
        <v>15660</v>
      </c>
      <c r="J2181">
        <v>0</v>
      </c>
      <c r="K2181">
        <v>93</v>
      </c>
      <c r="L2181">
        <v>1</v>
      </c>
      <c r="M2181">
        <v>0</v>
      </c>
      <c r="N2181" t="s">
        <v>17</v>
      </c>
      <c r="O2181" s="1">
        <f>result[[#This Row],[n_killed_mutants_cumulativa]]/result[[#This Row],[tot_mutants]]</f>
        <v>0</v>
      </c>
    </row>
    <row r="2182" spans="1:16" hidden="1" x14ac:dyDescent="0.25">
      <c r="A2182" t="s">
        <v>308</v>
      </c>
      <c r="B2182" t="s">
        <v>52</v>
      </c>
      <c r="C2182" t="s">
        <v>16</v>
      </c>
      <c r="D2182">
        <v>25954</v>
      </c>
      <c r="E2182">
        <v>3515</v>
      </c>
      <c r="F2182">
        <v>89</v>
      </c>
      <c r="G2182">
        <v>16910</v>
      </c>
      <c r="H2182">
        <v>89</v>
      </c>
      <c r="I2182">
        <v>16910</v>
      </c>
      <c r="J2182">
        <v>0</v>
      </c>
      <c r="K2182">
        <v>101</v>
      </c>
      <c r="L2182">
        <v>1</v>
      </c>
      <c r="M2182">
        <v>0</v>
      </c>
      <c r="N2182" t="s">
        <v>17</v>
      </c>
      <c r="O2182" s="1">
        <f>result[[#This Row],[n_killed_mutants_cumulativa]]/result[[#This Row],[tot_mutants]]</f>
        <v>0</v>
      </c>
    </row>
    <row r="2183" spans="1:16" hidden="1" x14ac:dyDescent="0.25">
      <c r="A2183" t="s">
        <v>308</v>
      </c>
      <c r="B2183" t="s">
        <v>53</v>
      </c>
      <c r="C2183" t="s">
        <v>16</v>
      </c>
      <c r="D2183">
        <v>31451</v>
      </c>
      <c r="E2183">
        <v>3856</v>
      </c>
      <c r="F2183">
        <v>103</v>
      </c>
      <c r="G2183">
        <v>20600</v>
      </c>
      <c r="H2183">
        <v>103</v>
      </c>
      <c r="I2183">
        <v>20600</v>
      </c>
      <c r="J2183">
        <v>0</v>
      </c>
      <c r="K2183">
        <v>97</v>
      </c>
      <c r="L2183">
        <v>1</v>
      </c>
      <c r="M2183">
        <v>0</v>
      </c>
      <c r="N2183" t="s">
        <v>17</v>
      </c>
      <c r="O2183" s="1">
        <f>result[[#This Row],[n_killed_mutants_cumulativa]]/result[[#This Row],[tot_mutants]]</f>
        <v>0</v>
      </c>
    </row>
    <row r="2184" spans="1:16" hidden="1" x14ac:dyDescent="0.25">
      <c r="A2184" t="s">
        <v>308</v>
      </c>
      <c r="B2184" t="s">
        <v>22</v>
      </c>
      <c r="C2184" t="s">
        <v>16</v>
      </c>
      <c r="D2184">
        <v>209103</v>
      </c>
      <c r="E2184">
        <v>23558</v>
      </c>
      <c r="F2184">
        <v>1033</v>
      </c>
      <c r="G2184">
        <v>140120</v>
      </c>
      <c r="H2184">
        <v>1033</v>
      </c>
      <c r="I2184">
        <v>140120</v>
      </c>
      <c r="J2184">
        <v>0</v>
      </c>
      <c r="K2184">
        <v>1067</v>
      </c>
      <c r="L2184">
        <v>1</v>
      </c>
      <c r="M2184">
        <v>0</v>
      </c>
      <c r="N2184" t="s">
        <v>17</v>
      </c>
      <c r="O2184" s="1">
        <f>result[[#This Row],[n_killed_mutants_cumulativa]]/result[[#This Row],[tot_mutants]]</f>
        <v>0</v>
      </c>
      <c r="P2184" s="9" t="s">
        <v>346</v>
      </c>
    </row>
    <row r="2185" spans="1:16" hidden="1" x14ac:dyDescent="0.25">
      <c r="A2185" t="s">
        <v>309</v>
      </c>
      <c r="B2185" t="s">
        <v>15</v>
      </c>
      <c r="C2185" t="s">
        <v>16</v>
      </c>
      <c r="D2185">
        <v>6445</v>
      </c>
      <c r="E2185">
        <v>1550</v>
      </c>
      <c r="F2185">
        <v>10</v>
      </c>
      <c r="G2185">
        <v>100</v>
      </c>
      <c r="H2185">
        <v>0</v>
      </c>
      <c r="I2185">
        <v>200</v>
      </c>
      <c r="J2185">
        <v>0</v>
      </c>
      <c r="K2185">
        <v>0</v>
      </c>
      <c r="L2185">
        <v>1</v>
      </c>
      <c r="M2185">
        <v>0</v>
      </c>
      <c r="N2185" t="s">
        <v>17</v>
      </c>
      <c r="O2185" s="1">
        <f>result[[#This Row],[n_killed_mutants_cumulativa]]/result[[#This Row],[tot_mutants]]</f>
        <v>0</v>
      </c>
    </row>
    <row r="2186" spans="1:16" hidden="1" x14ac:dyDescent="0.25">
      <c r="A2186" t="s">
        <v>309</v>
      </c>
      <c r="B2186" t="s">
        <v>18</v>
      </c>
      <c r="C2186" t="s">
        <v>16</v>
      </c>
      <c r="D2186">
        <v>10373</v>
      </c>
      <c r="E2186">
        <v>3034</v>
      </c>
      <c r="F2186">
        <v>20</v>
      </c>
      <c r="G2186">
        <v>400</v>
      </c>
      <c r="H2186">
        <v>0</v>
      </c>
      <c r="I2186">
        <v>400</v>
      </c>
      <c r="J2186">
        <v>0</v>
      </c>
      <c r="K2186">
        <v>0</v>
      </c>
      <c r="L2186">
        <v>1</v>
      </c>
      <c r="M2186">
        <v>0</v>
      </c>
      <c r="N2186" t="s">
        <v>17</v>
      </c>
      <c r="O2186" s="1">
        <f>result[[#This Row],[n_killed_mutants_cumulativa]]/result[[#This Row],[tot_mutants]]</f>
        <v>0</v>
      </c>
    </row>
    <row r="2187" spans="1:16" hidden="1" x14ac:dyDescent="0.25">
      <c r="A2187" t="s">
        <v>309</v>
      </c>
      <c r="B2187" t="s">
        <v>19</v>
      </c>
      <c r="C2187" t="s">
        <v>16</v>
      </c>
      <c r="D2187">
        <v>21447</v>
      </c>
      <c r="E2187">
        <v>6326</v>
      </c>
      <c r="F2187">
        <v>30</v>
      </c>
      <c r="G2187">
        <v>900</v>
      </c>
      <c r="H2187">
        <v>0</v>
      </c>
      <c r="I2187">
        <v>600</v>
      </c>
      <c r="J2187">
        <v>0</v>
      </c>
      <c r="K2187">
        <v>0</v>
      </c>
      <c r="L2187">
        <v>1</v>
      </c>
      <c r="M2187">
        <v>0</v>
      </c>
      <c r="N2187" t="s">
        <v>17</v>
      </c>
      <c r="O2187" s="1">
        <f>result[[#This Row],[n_killed_mutants_cumulativa]]/result[[#This Row],[tot_mutants]]</f>
        <v>0</v>
      </c>
    </row>
    <row r="2188" spans="1:16" hidden="1" x14ac:dyDescent="0.25">
      <c r="A2188" t="s">
        <v>309</v>
      </c>
      <c r="B2188" t="s">
        <v>20</v>
      </c>
      <c r="C2188" t="s">
        <v>16</v>
      </c>
      <c r="D2188">
        <v>37101</v>
      </c>
      <c r="E2188">
        <v>11301</v>
      </c>
      <c r="F2188">
        <v>40</v>
      </c>
      <c r="G2188">
        <v>1600</v>
      </c>
      <c r="H2188">
        <v>0</v>
      </c>
      <c r="I2188">
        <v>800</v>
      </c>
      <c r="J2188">
        <v>0</v>
      </c>
      <c r="K2188">
        <v>0</v>
      </c>
      <c r="L2188">
        <v>1</v>
      </c>
      <c r="M2188">
        <v>0</v>
      </c>
      <c r="N2188" t="s">
        <v>17</v>
      </c>
      <c r="O2188" s="1">
        <f>result[[#This Row],[n_killed_mutants_cumulativa]]/result[[#This Row],[tot_mutants]]</f>
        <v>0</v>
      </c>
    </row>
    <row r="2189" spans="1:16" hidden="1" x14ac:dyDescent="0.25">
      <c r="A2189" t="s">
        <v>309</v>
      </c>
      <c r="B2189" t="s">
        <v>21</v>
      </c>
      <c r="C2189" t="s">
        <v>16</v>
      </c>
      <c r="D2189">
        <v>56268</v>
      </c>
      <c r="E2189">
        <v>17514</v>
      </c>
      <c r="F2189">
        <v>50</v>
      </c>
      <c r="G2189">
        <v>2500</v>
      </c>
      <c r="H2189">
        <v>0</v>
      </c>
      <c r="I2189">
        <v>1000</v>
      </c>
      <c r="J2189">
        <v>0</v>
      </c>
      <c r="K2189">
        <v>0</v>
      </c>
      <c r="L2189">
        <v>1</v>
      </c>
      <c r="M2189">
        <v>0</v>
      </c>
      <c r="N2189" t="s">
        <v>17</v>
      </c>
      <c r="O2189" s="1">
        <f>result[[#This Row],[n_killed_mutants_cumulativa]]/result[[#This Row],[tot_mutants]]</f>
        <v>0</v>
      </c>
    </row>
    <row r="2190" spans="1:16" hidden="1" x14ac:dyDescent="0.25">
      <c r="A2190" t="s">
        <v>309</v>
      </c>
      <c r="B2190" t="s">
        <v>24</v>
      </c>
      <c r="C2190" t="s">
        <v>16</v>
      </c>
      <c r="D2190">
        <v>80422</v>
      </c>
      <c r="E2190">
        <v>25040</v>
      </c>
      <c r="F2190">
        <v>60</v>
      </c>
      <c r="G2190">
        <v>3600</v>
      </c>
      <c r="H2190">
        <v>0</v>
      </c>
      <c r="I2190">
        <v>1200</v>
      </c>
      <c r="J2190">
        <v>0</v>
      </c>
      <c r="K2190">
        <v>0</v>
      </c>
      <c r="L2190">
        <v>1</v>
      </c>
      <c r="M2190">
        <v>0</v>
      </c>
      <c r="N2190" t="s">
        <v>17</v>
      </c>
      <c r="O2190" s="1">
        <f>result[[#This Row],[n_killed_mutants_cumulativa]]/result[[#This Row],[tot_mutants]]</f>
        <v>0</v>
      </c>
    </row>
    <row r="2191" spans="1:16" hidden="1" x14ac:dyDescent="0.25">
      <c r="A2191" t="s">
        <v>309</v>
      </c>
      <c r="B2191" t="s">
        <v>25</v>
      </c>
      <c r="C2191" t="s">
        <v>16</v>
      </c>
      <c r="D2191">
        <v>108813</v>
      </c>
      <c r="E2191">
        <v>34198</v>
      </c>
      <c r="F2191">
        <v>70</v>
      </c>
      <c r="G2191">
        <v>4900</v>
      </c>
      <c r="H2191">
        <v>0</v>
      </c>
      <c r="I2191">
        <v>1400</v>
      </c>
      <c r="J2191">
        <v>0</v>
      </c>
      <c r="K2191">
        <v>0</v>
      </c>
      <c r="L2191">
        <v>1</v>
      </c>
      <c r="M2191">
        <v>0</v>
      </c>
      <c r="N2191" t="s">
        <v>17</v>
      </c>
      <c r="O2191" s="1">
        <f>result[[#This Row],[n_killed_mutants_cumulativa]]/result[[#This Row],[tot_mutants]]</f>
        <v>0</v>
      </c>
    </row>
    <row r="2192" spans="1:16" hidden="1" x14ac:dyDescent="0.25">
      <c r="A2192" t="s">
        <v>309</v>
      </c>
      <c r="B2192" t="s">
        <v>26</v>
      </c>
      <c r="C2192" t="s">
        <v>16</v>
      </c>
      <c r="D2192">
        <v>141319</v>
      </c>
      <c r="E2192">
        <v>44591</v>
      </c>
      <c r="F2192">
        <v>80</v>
      </c>
      <c r="G2192">
        <v>6400</v>
      </c>
      <c r="H2192">
        <v>0</v>
      </c>
      <c r="I2192">
        <v>1600</v>
      </c>
      <c r="J2192">
        <v>0</v>
      </c>
      <c r="K2192">
        <v>0</v>
      </c>
      <c r="L2192">
        <v>1</v>
      </c>
      <c r="M2192">
        <v>0</v>
      </c>
      <c r="N2192" t="s">
        <v>17</v>
      </c>
      <c r="O2192" s="1">
        <f>result[[#This Row],[n_killed_mutants_cumulativa]]/result[[#This Row],[tot_mutants]]</f>
        <v>0</v>
      </c>
    </row>
    <row r="2193" spans="1:16" hidden="1" x14ac:dyDescent="0.25">
      <c r="A2193" t="s">
        <v>309</v>
      </c>
      <c r="B2193" t="s">
        <v>27</v>
      </c>
      <c r="C2193" t="s">
        <v>16</v>
      </c>
      <c r="D2193">
        <v>178273</v>
      </c>
      <c r="E2193">
        <v>56265</v>
      </c>
      <c r="F2193">
        <v>90</v>
      </c>
      <c r="G2193">
        <v>8100</v>
      </c>
      <c r="H2193">
        <v>0</v>
      </c>
      <c r="I2193">
        <v>1800</v>
      </c>
      <c r="J2193">
        <v>0</v>
      </c>
      <c r="K2193">
        <v>0</v>
      </c>
      <c r="L2193">
        <v>1</v>
      </c>
      <c r="M2193">
        <v>0</v>
      </c>
      <c r="N2193" t="s">
        <v>17</v>
      </c>
      <c r="O2193" s="1">
        <f>result[[#This Row],[n_killed_mutants_cumulativa]]/result[[#This Row],[tot_mutants]]</f>
        <v>0</v>
      </c>
    </row>
    <row r="2194" spans="1:16" hidden="1" x14ac:dyDescent="0.25">
      <c r="A2194" t="s">
        <v>309</v>
      </c>
      <c r="B2194" t="s">
        <v>22</v>
      </c>
      <c r="C2194" t="s">
        <v>16</v>
      </c>
      <c r="D2194">
        <v>640461</v>
      </c>
      <c r="E2194">
        <v>199819</v>
      </c>
      <c r="F2194">
        <v>450</v>
      </c>
      <c r="G2194">
        <v>28500</v>
      </c>
      <c r="H2194">
        <v>0</v>
      </c>
      <c r="I2194">
        <v>9000</v>
      </c>
      <c r="J2194">
        <v>0</v>
      </c>
      <c r="K2194">
        <v>0</v>
      </c>
      <c r="L2194">
        <v>1</v>
      </c>
      <c r="M2194">
        <v>0</v>
      </c>
      <c r="N2194" t="s">
        <v>17</v>
      </c>
      <c r="O2194" s="1">
        <f>result[[#This Row],[n_killed_mutants_cumulativa]]/result[[#This Row],[tot_mutants]]</f>
        <v>0</v>
      </c>
      <c r="P2194" s="9" t="s">
        <v>346</v>
      </c>
    </row>
    <row r="2195" spans="1:16" hidden="1" x14ac:dyDescent="0.25">
      <c r="A2195" t="s">
        <v>310</v>
      </c>
      <c r="B2195" t="s">
        <v>15</v>
      </c>
      <c r="C2195" t="s">
        <v>16</v>
      </c>
      <c r="D2195">
        <v>2974</v>
      </c>
      <c r="E2195">
        <v>97</v>
      </c>
      <c r="F2195">
        <v>10</v>
      </c>
      <c r="G2195">
        <v>100</v>
      </c>
      <c r="H2195">
        <v>128</v>
      </c>
      <c r="I2195">
        <v>100</v>
      </c>
      <c r="J2195">
        <v>0</v>
      </c>
      <c r="K2195">
        <v>0</v>
      </c>
      <c r="L2195">
        <v>2</v>
      </c>
      <c r="M2195">
        <v>0</v>
      </c>
      <c r="N2195" t="s">
        <v>17</v>
      </c>
      <c r="O2195" s="1">
        <f>result[[#This Row],[n_killed_mutants_cumulativa]]/result[[#This Row],[tot_mutants]]</f>
        <v>0</v>
      </c>
    </row>
    <row r="2196" spans="1:16" hidden="1" x14ac:dyDescent="0.25">
      <c r="A2196" t="s">
        <v>310</v>
      </c>
      <c r="B2196" t="s">
        <v>18</v>
      </c>
      <c r="C2196" t="s">
        <v>16</v>
      </c>
      <c r="D2196">
        <v>2350</v>
      </c>
      <c r="E2196">
        <v>76</v>
      </c>
      <c r="F2196">
        <v>20</v>
      </c>
      <c r="G2196">
        <v>400</v>
      </c>
      <c r="H2196">
        <v>520</v>
      </c>
      <c r="I2196">
        <v>400</v>
      </c>
      <c r="J2196">
        <v>0</v>
      </c>
      <c r="K2196">
        <v>0</v>
      </c>
      <c r="L2196">
        <v>2</v>
      </c>
      <c r="M2196">
        <v>0</v>
      </c>
      <c r="N2196" t="s">
        <v>17</v>
      </c>
      <c r="O2196" s="1">
        <f>result[[#This Row],[n_killed_mutants_cumulativa]]/result[[#This Row],[tot_mutants]]</f>
        <v>0</v>
      </c>
    </row>
    <row r="2197" spans="1:16" hidden="1" x14ac:dyDescent="0.25">
      <c r="A2197" t="s">
        <v>310</v>
      </c>
      <c r="B2197" t="s">
        <v>19</v>
      </c>
      <c r="C2197" t="s">
        <v>16</v>
      </c>
      <c r="D2197">
        <v>3161</v>
      </c>
      <c r="E2197">
        <v>49</v>
      </c>
      <c r="F2197">
        <v>30</v>
      </c>
      <c r="G2197">
        <v>900</v>
      </c>
      <c r="H2197">
        <v>1205</v>
      </c>
      <c r="I2197">
        <v>900</v>
      </c>
      <c r="J2197">
        <v>0</v>
      </c>
      <c r="K2197">
        <v>0</v>
      </c>
      <c r="L2197">
        <v>2</v>
      </c>
      <c r="M2197">
        <v>0</v>
      </c>
      <c r="N2197" t="s">
        <v>17</v>
      </c>
      <c r="O2197" s="1">
        <f>result[[#This Row],[n_killed_mutants_cumulativa]]/result[[#This Row],[tot_mutants]]</f>
        <v>0</v>
      </c>
    </row>
    <row r="2198" spans="1:16" hidden="1" x14ac:dyDescent="0.25">
      <c r="A2198" t="s">
        <v>310</v>
      </c>
      <c r="B2198" t="s">
        <v>20</v>
      </c>
      <c r="C2198" t="s">
        <v>16</v>
      </c>
      <c r="D2198">
        <v>4539</v>
      </c>
      <c r="E2198">
        <v>73</v>
      </c>
      <c r="F2198">
        <v>40</v>
      </c>
      <c r="G2198">
        <v>1600</v>
      </c>
      <c r="H2198">
        <v>2161</v>
      </c>
      <c r="I2198">
        <v>1600</v>
      </c>
      <c r="J2198">
        <v>0</v>
      </c>
      <c r="K2198">
        <v>0</v>
      </c>
      <c r="L2198">
        <v>2</v>
      </c>
      <c r="M2198">
        <v>0</v>
      </c>
      <c r="N2198" t="s">
        <v>17</v>
      </c>
      <c r="O2198" s="1">
        <f>result[[#This Row],[n_killed_mutants_cumulativa]]/result[[#This Row],[tot_mutants]]</f>
        <v>0</v>
      </c>
    </row>
    <row r="2199" spans="1:16" hidden="1" x14ac:dyDescent="0.25">
      <c r="A2199" t="s">
        <v>310</v>
      </c>
      <c r="B2199" t="s">
        <v>21</v>
      </c>
      <c r="C2199" t="s">
        <v>16</v>
      </c>
      <c r="D2199">
        <v>5697</v>
      </c>
      <c r="E2199">
        <v>145</v>
      </c>
      <c r="F2199">
        <v>50</v>
      </c>
      <c r="G2199">
        <v>2500</v>
      </c>
      <c r="H2199">
        <v>3357</v>
      </c>
      <c r="I2199">
        <v>2500</v>
      </c>
      <c r="J2199">
        <v>0</v>
      </c>
      <c r="K2199">
        <v>0</v>
      </c>
      <c r="L2199">
        <v>2</v>
      </c>
      <c r="M2199">
        <v>0</v>
      </c>
      <c r="N2199" t="s">
        <v>17</v>
      </c>
      <c r="O2199" s="1">
        <f>result[[#This Row],[n_killed_mutants_cumulativa]]/result[[#This Row],[tot_mutants]]</f>
        <v>0</v>
      </c>
    </row>
    <row r="2200" spans="1:16" hidden="1" x14ac:dyDescent="0.25">
      <c r="A2200" t="s">
        <v>310</v>
      </c>
      <c r="B2200" t="s">
        <v>24</v>
      </c>
      <c r="C2200" t="s">
        <v>16</v>
      </c>
      <c r="D2200">
        <v>7659</v>
      </c>
      <c r="E2200">
        <v>142</v>
      </c>
      <c r="F2200">
        <v>60</v>
      </c>
      <c r="G2200">
        <v>3600</v>
      </c>
      <c r="H2200">
        <v>4779</v>
      </c>
      <c r="I2200">
        <v>3600</v>
      </c>
      <c r="J2200">
        <v>0</v>
      </c>
      <c r="K2200">
        <v>0</v>
      </c>
      <c r="L2200">
        <v>2</v>
      </c>
      <c r="M2200">
        <v>0</v>
      </c>
      <c r="N2200" t="s">
        <v>17</v>
      </c>
      <c r="O2200" s="1">
        <f>result[[#This Row],[n_killed_mutants_cumulativa]]/result[[#This Row],[tot_mutants]]</f>
        <v>0</v>
      </c>
    </row>
    <row r="2201" spans="1:16" hidden="1" x14ac:dyDescent="0.25">
      <c r="A2201" t="s">
        <v>310</v>
      </c>
      <c r="B2201" t="s">
        <v>25</v>
      </c>
      <c r="C2201" t="s">
        <v>16</v>
      </c>
      <c r="D2201">
        <v>9813</v>
      </c>
      <c r="E2201">
        <v>162</v>
      </c>
      <c r="F2201">
        <v>70</v>
      </c>
      <c r="G2201">
        <v>4900</v>
      </c>
      <c r="H2201">
        <v>6543</v>
      </c>
      <c r="I2201">
        <v>4900</v>
      </c>
      <c r="J2201">
        <v>0</v>
      </c>
      <c r="K2201">
        <v>0</v>
      </c>
      <c r="L2201">
        <v>2</v>
      </c>
      <c r="M2201">
        <v>0</v>
      </c>
      <c r="N2201" t="s">
        <v>17</v>
      </c>
      <c r="O2201" s="1">
        <f>result[[#This Row],[n_killed_mutants_cumulativa]]/result[[#This Row],[tot_mutants]]</f>
        <v>0</v>
      </c>
    </row>
    <row r="2202" spans="1:16" hidden="1" x14ac:dyDescent="0.25">
      <c r="A2202" t="s">
        <v>310</v>
      </c>
      <c r="B2202" t="s">
        <v>26</v>
      </c>
      <c r="C2202" t="s">
        <v>16</v>
      </c>
      <c r="D2202">
        <v>12248</v>
      </c>
      <c r="E2202">
        <v>210</v>
      </c>
      <c r="F2202">
        <v>80</v>
      </c>
      <c r="G2202">
        <v>6400</v>
      </c>
      <c r="H2202">
        <v>8608</v>
      </c>
      <c r="I2202">
        <v>6400</v>
      </c>
      <c r="J2202">
        <v>0</v>
      </c>
      <c r="K2202">
        <v>0</v>
      </c>
      <c r="L2202">
        <v>2</v>
      </c>
      <c r="M2202">
        <v>0</v>
      </c>
      <c r="N2202" t="s">
        <v>17</v>
      </c>
      <c r="O2202" s="1">
        <f>result[[#This Row],[n_killed_mutants_cumulativa]]/result[[#This Row],[tot_mutants]]</f>
        <v>0</v>
      </c>
    </row>
    <row r="2203" spans="1:16" hidden="1" x14ac:dyDescent="0.25">
      <c r="A2203" t="s">
        <v>310</v>
      </c>
      <c r="B2203" t="s">
        <v>27</v>
      </c>
      <c r="C2203" t="s">
        <v>16</v>
      </c>
      <c r="D2203">
        <v>15342</v>
      </c>
      <c r="E2203">
        <v>265</v>
      </c>
      <c r="F2203">
        <v>90</v>
      </c>
      <c r="G2203">
        <v>8100</v>
      </c>
      <c r="H2203">
        <v>10871</v>
      </c>
      <c r="I2203">
        <v>8100</v>
      </c>
      <c r="J2203">
        <v>0</v>
      </c>
      <c r="K2203">
        <v>0</v>
      </c>
      <c r="L2203">
        <v>2</v>
      </c>
      <c r="M2203">
        <v>0</v>
      </c>
      <c r="N2203" t="s">
        <v>17</v>
      </c>
      <c r="O2203" s="1">
        <f>result[[#This Row],[n_killed_mutants_cumulativa]]/result[[#This Row],[tot_mutants]]</f>
        <v>0</v>
      </c>
    </row>
    <row r="2204" spans="1:16" hidden="1" x14ac:dyDescent="0.25">
      <c r="A2204" t="s">
        <v>310</v>
      </c>
      <c r="B2204" t="s">
        <v>30</v>
      </c>
      <c r="C2204" t="s">
        <v>16</v>
      </c>
      <c r="D2204">
        <v>18825</v>
      </c>
      <c r="E2204">
        <v>330</v>
      </c>
      <c r="F2204">
        <v>100</v>
      </c>
      <c r="G2204">
        <v>10000</v>
      </c>
      <c r="H2204">
        <v>13367</v>
      </c>
      <c r="I2204">
        <v>10000</v>
      </c>
      <c r="J2204">
        <v>0</v>
      </c>
      <c r="K2204">
        <v>0</v>
      </c>
      <c r="L2204">
        <v>2</v>
      </c>
      <c r="M2204">
        <v>0</v>
      </c>
      <c r="N2204" t="s">
        <v>17</v>
      </c>
      <c r="O2204" s="1">
        <f>result[[#This Row],[n_killed_mutants_cumulativa]]/result[[#This Row],[tot_mutants]]</f>
        <v>0</v>
      </c>
    </row>
    <row r="2205" spans="1:16" hidden="1" x14ac:dyDescent="0.25">
      <c r="A2205" t="s">
        <v>310</v>
      </c>
      <c r="B2205" t="s">
        <v>31</v>
      </c>
      <c r="C2205" t="s">
        <v>16</v>
      </c>
      <c r="D2205">
        <v>22986</v>
      </c>
      <c r="E2205">
        <v>397</v>
      </c>
      <c r="F2205">
        <v>110</v>
      </c>
      <c r="G2205">
        <v>12100</v>
      </c>
      <c r="H2205">
        <v>16229</v>
      </c>
      <c r="I2205">
        <v>12100</v>
      </c>
      <c r="J2205">
        <v>0</v>
      </c>
      <c r="K2205">
        <v>0</v>
      </c>
      <c r="L2205">
        <v>2</v>
      </c>
      <c r="M2205">
        <v>0</v>
      </c>
      <c r="N2205" t="s">
        <v>17</v>
      </c>
      <c r="O2205" s="1">
        <f>result[[#This Row],[n_killed_mutants_cumulativa]]/result[[#This Row],[tot_mutants]]</f>
        <v>0</v>
      </c>
    </row>
    <row r="2206" spans="1:16" hidden="1" x14ac:dyDescent="0.25">
      <c r="A2206" t="s">
        <v>310</v>
      </c>
      <c r="B2206" t="s">
        <v>36</v>
      </c>
      <c r="C2206" t="s">
        <v>16</v>
      </c>
      <c r="D2206">
        <v>27519</v>
      </c>
      <c r="E2206">
        <v>473</v>
      </c>
      <c r="F2206">
        <v>120</v>
      </c>
      <c r="G2206">
        <v>14400</v>
      </c>
      <c r="H2206">
        <v>19187</v>
      </c>
      <c r="I2206">
        <v>14400</v>
      </c>
      <c r="J2206">
        <v>0</v>
      </c>
      <c r="K2206">
        <v>0</v>
      </c>
      <c r="L2206">
        <v>2</v>
      </c>
      <c r="M2206">
        <v>0</v>
      </c>
      <c r="N2206" t="s">
        <v>17</v>
      </c>
      <c r="O2206" s="1">
        <f>result[[#This Row],[n_killed_mutants_cumulativa]]/result[[#This Row],[tot_mutants]]</f>
        <v>0</v>
      </c>
    </row>
    <row r="2207" spans="1:16" hidden="1" x14ac:dyDescent="0.25">
      <c r="A2207" t="s">
        <v>310</v>
      </c>
      <c r="B2207" t="s">
        <v>40</v>
      </c>
      <c r="C2207" t="s">
        <v>16</v>
      </c>
      <c r="D2207">
        <v>32843</v>
      </c>
      <c r="E2207">
        <v>562</v>
      </c>
      <c r="F2207">
        <v>130</v>
      </c>
      <c r="G2207">
        <v>16900</v>
      </c>
      <c r="H2207">
        <v>22641</v>
      </c>
      <c r="I2207">
        <v>16900</v>
      </c>
      <c r="J2207">
        <v>0</v>
      </c>
      <c r="K2207">
        <v>0</v>
      </c>
      <c r="L2207">
        <v>2</v>
      </c>
      <c r="M2207">
        <v>0</v>
      </c>
      <c r="N2207" t="s">
        <v>17</v>
      </c>
      <c r="O2207" s="1">
        <f>result[[#This Row],[n_killed_mutants_cumulativa]]/result[[#This Row],[tot_mutants]]</f>
        <v>0</v>
      </c>
    </row>
    <row r="2208" spans="1:16" hidden="1" x14ac:dyDescent="0.25">
      <c r="A2208" t="s">
        <v>310</v>
      </c>
      <c r="B2208" t="s">
        <v>47</v>
      </c>
      <c r="C2208" t="s">
        <v>16</v>
      </c>
      <c r="D2208">
        <v>38500</v>
      </c>
      <c r="E2208">
        <v>618</v>
      </c>
      <c r="F2208">
        <v>140</v>
      </c>
      <c r="G2208">
        <v>19600</v>
      </c>
      <c r="H2208">
        <v>26106</v>
      </c>
      <c r="I2208">
        <v>19600</v>
      </c>
      <c r="J2208">
        <v>0</v>
      </c>
      <c r="K2208">
        <v>0</v>
      </c>
      <c r="L2208">
        <v>2</v>
      </c>
      <c r="M2208">
        <v>0</v>
      </c>
      <c r="N2208" t="s">
        <v>17</v>
      </c>
      <c r="O2208" s="1">
        <f>result[[#This Row],[n_killed_mutants_cumulativa]]/result[[#This Row],[tot_mutants]]</f>
        <v>0</v>
      </c>
    </row>
    <row r="2209" spans="1:16" hidden="1" x14ac:dyDescent="0.25">
      <c r="A2209" t="s">
        <v>310</v>
      </c>
      <c r="B2209" t="s">
        <v>48</v>
      </c>
      <c r="C2209" t="s">
        <v>16</v>
      </c>
      <c r="D2209">
        <v>44933</v>
      </c>
      <c r="E2209">
        <v>709</v>
      </c>
      <c r="F2209">
        <v>150</v>
      </c>
      <c r="G2209">
        <v>22500</v>
      </c>
      <c r="H2209">
        <v>29987</v>
      </c>
      <c r="I2209">
        <v>22500</v>
      </c>
      <c r="J2209">
        <v>0</v>
      </c>
      <c r="K2209">
        <v>0</v>
      </c>
      <c r="L2209">
        <v>2</v>
      </c>
      <c r="M2209">
        <v>0</v>
      </c>
      <c r="N2209" t="s">
        <v>17</v>
      </c>
      <c r="O2209" s="1">
        <f>result[[#This Row],[n_killed_mutants_cumulativa]]/result[[#This Row],[tot_mutants]]</f>
        <v>0</v>
      </c>
    </row>
    <row r="2210" spans="1:16" hidden="1" x14ac:dyDescent="0.25">
      <c r="A2210" t="s">
        <v>310</v>
      </c>
      <c r="B2210" t="s">
        <v>49</v>
      </c>
      <c r="C2210" t="s">
        <v>16</v>
      </c>
      <c r="D2210">
        <v>52007</v>
      </c>
      <c r="E2210">
        <v>815</v>
      </c>
      <c r="F2210">
        <v>160</v>
      </c>
      <c r="G2210">
        <v>25600</v>
      </c>
      <c r="H2210">
        <v>34158</v>
      </c>
      <c r="I2210">
        <v>25600</v>
      </c>
      <c r="J2210">
        <v>0</v>
      </c>
      <c r="K2210">
        <v>0</v>
      </c>
      <c r="L2210">
        <v>2</v>
      </c>
      <c r="M2210">
        <v>0</v>
      </c>
      <c r="N2210" t="s">
        <v>17</v>
      </c>
      <c r="O2210" s="1">
        <f>result[[#This Row],[n_killed_mutants_cumulativa]]/result[[#This Row],[tot_mutants]]</f>
        <v>0</v>
      </c>
    </row>
    <row r="2211" spans="1:16" hidden="1" x14ac:dyDescent="0.25">
      <c r="A2211" t="s">
        <v>310</v>
      </c>
      <c r="B2211" t="s">
        <v>50</v>
      </c>
      <c r="C2211" t="s">
        <v>16</v>
      </c>
      <c r="D2211">
        <v>59680</v>
      </c>
      <c r="E2211">
        <v>918</v>
      </c>
      <c r="F2211">
        <v>170</v>
      </c>
      <c r="G2211">
        <v>28900</v>
      </c>
      <c r="H2211">
        <v>38445</v>
      </c>
      <c r="I2211">
        <v>28900</v>
      </c>
      <c r="J2211">
        <v>0</v>
      </c>
      <c r="K2211">
        <v>0</v>
      </c>
      <c r="L2211">
        <v>2</v>
      </c>
      <c r="M2211">
        <v>0</v>
      </c>
      <c r="N2211" t="s">
        <v>17</v>
      </c>
      <c r="O2211" s="1">
        <f>result[[#This Row],[n_killed_mutants_cumulativa]]/result[[#This Row],[tot_mutants]]</f>
        <v>0</v>
      </c>
    </row>
    <row r="2212" spans="1:16" hidden="1" x14ac:dyDescent="0.25">
      <c r="A2212" t="s">
        <v>310</v>
      </c>
      <c r="B2212" t="s">
        <v>51</v>
      </c>
      <c r="C2212" t="s">
        <v>16</v>
      </c>
      <c r="D2212">
        <v>68095</v>
      </c>
      <c r="E2212">
        <v>1024</v>
      </c>
      <c r="F2212">
        <v>180</v>
      </c>
      <c r="G2212">
        <v>32400</v>
      </c>
      <c r="H2212">
        <v>43297</v>
      </c>
      <c r="I2212">
        <v>32400</v>
      </c>
      <c r="J2212">
        <v>0</v>
      </c>
      <c r="K2212">
        <v>0</v>
      </c>
      <c r="L2212">
        <v>2</v>
      </c>
      <c r="M2212">
        <v>0</v>
      </c>
      <c r="N2212" t="s">
        <v>17</v>
      </c>
      <c r="O2212" s="1">
        <f>result[[#This Row],[n_killed_mutants_cumulativa]]/result[[#This Row],[tot_mutants]]</f>
        <v>0</v>
      </c>
    </row>
    <row r="2213" spans="1:16" hidden="1" x14ac:dyDescent="0.25">
      <c r="A2213" t="s">
        <v>310</v>
      </c>
      <c r="B2213" t="s">
        <v>52</v>
      </c>
      <c r="C2213" t="s">
        <v>16</v>
      </c>
      <c r="D2213">
        <v>77642</v>
      </c>
      <c r="E2213">
        <v>1142</v>
      </c>
      <c r="F2213">
        <v>190</v>
      </c>
      <c r="G2213">
        <v>36100</v>
      </c>
      <c r="H2213">
        <v>48279</v>
      </c>
      <c r="I2213">
        <v>36100</v>
      </c>
      <c r="J2213">
        <v>0</v>
      </c>
      <c r="K2213">
        <v>0</v>
      </c>
      <c r="L2213">
        <v>2</v>
      </c>
      <c r="M2213">
        <v>0</v>
      </c>
      <c r="N2213" t="s">
        <v>17</v>
      </c>
      <c r="O2213" s="1">
        <f>result[[#This Row],[n_killed_mutants_cumulativa]]/result[[#This Row],[tot_mutants]]</f>
        <v>0</v>
      </c>
    </row>
    <row r="2214" spans="1:16" hidden="1" x14ac:dyDescent="0.25">
      <c r="A2214" t="s">
        <v>310</v>
      </c>
      <c r="B2214" t="s">
        <v>53</v>
      </c>
      <c r="C2214" t="s">
        <v>16</v>
      </c>
      <c r="D2214">
        <v>89590</v>
      </c>
      <c r="E2214">
        <v>1270</v>
      </c>
      <c r="F2214">
        <v>200</v>
      </c>
      <c r="G2214">
        <v>40000</v>
      </c>
      <c r="H2214">
        <v>53392</v>
      </c>
      <c r="I2214">
        <v>40000</v>
      </c>
      <c r="J2214">
        <v>0</v>
      </c>
      <c r="K2214">
        <v>0</v>
      </c>
      <c r="L2214">
        <v>2</v>
      </c>
      <c r="M2214">
        <v>0</v>
      </c>
      <c r="N2214" t="s">
        <v>17</v>
      </c>
      <c r="O2214" s="1">
        <f>result[[#This Row],[n_killed_mutants_cumulativa]]/result[[#This Row],[tot_mutants]]</f>
        <v>0</v>
      </c>
    </row>
    <row r="2215" spans="1:16" hidden="1" x14ac:dyDescent="0.25">
      <c r="A2215" t="s">
        <v>310</v>
      </c>
      <c r="B2215" t="s">
        <v>22</v>
      </c>
      <c r="C2215" t="s">
        <v>16</v>
      </c>
      <c r="D2215">
        <v>596403</v>
      </c>
      <c r="E2215">
        <v>9477</v>
      </c>
      <c r="F2215">
        <v>2100</v>
      </c>
      <c r="G2215">
        <v>287000</v>
      </c>
      <c r="H2215">
        <v>383260</v>
      </c>
      <c r="I2215">
        <v>287000</v>
      </c>
      <c r="J2215">
        <v>0</v>
      </c>
      <c r="K2215">
        <v>0</v>
      </c>
      <c r="L2215">
        <v>2</v>
      </c>
      <c r="M2215">
        <v>0</v>
      </c>
      <c r="N2215" t="s">
        <v>17</v>
      </c>
      <c r="O2215" s="1">
        <f>result[[#This Row],[n_killed_mutants_cumulativa]]/result[[#This Row],[tot_mutants]]</f>
        <v>0</v>
      </c>
      <c r="P2215" s="9" t="s">
        <v>346</v>
      </c>
    </row>
    <row r="2216" spans="1:16" hidden="1" x14ac:dyDescent="0.25">
      <c r="A2216" t="s">
        <v>311</v>
      </c>
      <c r="B2216" t="s">
        <v>15</v>
      </c>
      <c r="C2216" t="s">
        <v>16</v>
      </c>
      <c r="D2216">
        <v>2789</v>
      </c>
      <c r="E2216">
        <v>932</v>
      </c>
      <c r="F2216">
        <v>0</v>
      </c>
      <c r="G2216">
        <v>0</v>
      </c>
      <c r="H2216">
        <v>0</v>
      </c>
      <c r="I2216">
        <v>0</v>
      </c>
      <c r="J2216">
        <v>5</v>
      </c>
      <c r="K2216">
        <v>0</v>
      </c>
      <c r="L2216">
        <v>43</v>
      </c>
      <c r="M2216">
        <v>0</v>
      </c>
      <c r="N2216" t="s">
        <v>17</v>
      </c>
      <c r="O2216" s="1">
        <f>result[[#This Row],[n_killed_mutants_cumulativa]]/result[[#This Row],[tot_mutants]]</f>
        <v>0</v>
      </c>
    </row>
    <row r="2217" spans="1:16" hidden="1" x14ac:dyDescent="0.25">
      <c r="A2217" t="s">
        <v>311</v>
      </c>
      <c r="B2217" t="s">
        <v>18</v>
      </c>
      <c r="C2217" t="s">
        <v>16</v>
      </c>
      <c r="D2217">
        <v>1705</v>
      </c>
      <c r="E2217">
        <v>1157</v>
      </c>
      <c r="F2217">
        <v>0</v>
      </c>
      <c r="G2217">
        <v>0</v>
      </c>
      <c r="H2217">
        <v>0</v>
      </c>
      <c r="I2217">
        <v>0</v>
      </c>
      <c r="J2217">
        <v>4</v>
      </c>
      <c r="K2217">
        <v>0</v>
      </c>
      <c r="L2217">
        <v>43</v>
      </c>
      <c r="M2217">
        <v>0</v>
      </c>
      <c r="N2217" t="s">
        <v>17</v>
      </c>
      <c r="O2217" s="1">
        <f>result[[#This Row],[n_killed_mutants_cumulativa]]/result[[#This Row],[tot_mutants]]</f>
        <v>0</v>
      </c>
    </row>
    <row r="2218" spans="1:16" hidden="1" x14ac:dyDescent="0.25">
      <c r="A2218" t="s">
        <v>311</v>
      </c>
      <c r="B2218" t="s">
        <v>19</v>
      </c>
      <c r="C2218" t="s">
        <v>16</v>
      </c>
      <c r="D2218">
        <v>1778</v>
      </c>
      <c r="E2218">
        <v>1135</v>
      </c>
      <c r="F2218">
        <v>0</v>
      </c>
      <c r="G2218">
        <v>0</v>
      </c>
      <c r="H2218">
        <v>0</v>
      </c>
      <c r="I2218">
        <v>0</v>
      </c>
      <c r="J2218">
        <v>6</v>
      </c>
      <c r="K2218">
        <v>0</v>
      </c>
      <c r="L2218">
        <v>43</v>
      </c>
      <c r="M2218">
        <v>0</v>
      </c>
      <c r="N2218" t="s">
        <v>17</v>
      </c>
      <c r="O2218" s="1">
        <f>result[[#This Row],[n_killed_mutants_cumulativa]]/result[[#This Row],[tot_mutants]]</f>
        <v>0</v>
      </c>
    </row>
    <row r="2219" spans="1:16" hidden="1" x14ac:dyDescent="0.25">
      <c r="A2219" t="s">
        <v>311</v>
      </c>
      <c r="B2219" t="s">
        <v>20</v>
      </c>
      <c r="C2219" t="s">
        <v>16</v>
      </c>
      <c r="D2219">
        <v>2964</v>
      </c>
      <c r="E2219">
        <v>2039</v>
      </c>
      <c r="F2219">
        <v>0</v>
      </c>
      <c r="G2219">
        <v>0</v>
      </c>
      <c r="H2219">
        <v>0</v>
      </c>
      <c r="I2219">
        <v>0</v>
      </c>
      <c r="J2219">
        <v>10</v>
      </c>
      <c r="K2219">
        <v>0</v>
      </c>
      <c r="L2219">
        <v>43</v>
      </c>
      <c r="M2219">
        <v>0</v>
      </c>
      <c r="N2219" t="s">
        <v>17</v>
      </c>
      <c r="O2219" s="1">
        <f>result[[#This Row],[n_killed_mutants_cumulativa]]/result[[#This Row],[tot_mutants]]</f>
        <v>0</v>
      </c>
    </row>
    <row r="2220" spans="1:16" hidden="1" x14ac:dyDescent="0.25">
      <c r="A2220" t="s">
        <v>311</v>
      </c>
      <c r="B2220" t="s">
        <v>21</v>
      </c>
      <c r="C2220" t="s">
        <v>16</v>
      </c>
      <c r="D2220">
        <v>3602</v>
      </c>
      <c r="E2220">
        <v>2731</v>
      </c>
      <c r="F2220">
        <v>0</v>
      </c>
      <c r="G2220">
        <v>0</v>
      </c>
      <c r="H2220">
        <v>0</v>
      </c>
      <c r="I2220">
        <v>0</v>
      </c>
      <c r="J2220">
        <v>11</v>
      </c>
      <c r="K2220">
        <v>0</v>
      </c>
      <c r="L2220">
        <v>43</v>
      </c>
      <c r="M2220">
        <v>0</v>
      </c>
      <c r="N2220" t="s">
        <v>17</v>
      </c>
      <c r="O2220" s="1">
        <f>result[[#This Row],[n_killed_mutants_cumulativa]]/result[[#This Row],[tot_mutants]]</f>
        <v>0</v>
      </c>
    </row>
    <row r="2221" spans="1:16" hidden="1" x14ac:dyDescent="0.25">
      <c r="A2221" t="s">
        <v>311</v>
      </c>
      <c r="B2221" t="s">
        <v>22</v>
      </c>
      <c r="C2221" t="s">
        <v>16</v>
      </c>
      <c r="D2221">
        <v>12838</v>
      </c>
      <c r="E2221">
        <v>7994</v>
      </c>
      <c r="F2221">
        <v>0</v>
      </c>
      <c r="G2221">
        <v>0</v>
      </c>
      <c r="H2221">
        <v>0</v>
      </c>
      <c r="I2221">
        <v>0</v>
      </c>
      <c r="J2221">
        <v>36</v>
      </c>
      <c r="K2221">
        <v>0</v>
      </c>
      <c r="L2221">
        <v>43</v>
      </c>
      <c r="M2221">
        <v>0</v>
      </c>
      <c r="N2221" t="s">
        <v>17</v>
      </c>
      <c r="O2221" s="1">
        <f>result[[#This Row],[n_killed_mutants_cumulativa]]/result[[#This Row],[tot_mutants]]</f>
        <v>0</v>
      </c>
    </row>
    <row r="2222" spans="1:16" hidden="1" x14ac:dyDescent="0.25">
      <c r="A2222" t="s">
        <v>312</v>
      </c>
      <c r="B2222" t="s">
        <v>15</v>
      </c>
      <c r="C2222" t="s">
        <v>16</v>
      </c>
      <c r="D2222">
        <v>5655</v>
      </c>
      <c r="E2222">
        <v>1035</v>
      </c>
      <c r="F2222">
        <v>10</v>
      </c>
      <c r="G2222">
        <v>100</v>
      </c>
      <c r="H2222">
        <v>0</v>
      </c>
      <c r="I2222">
        <v>460</v>
      </c>
      <c r="J2222">
        <v>0</v>
      </c>
      <c r="K2222">
        <v>0</v>
      </c>
      <c r="L2222">
        <v>1</v>
      </c>
      <c r="M2222">
        <v>0</v>
      </c>
      <c r="N2222" t="s">
        <v>17</v>
      </c>
      <c r="O2222" s="1">
        <f>result[[#This Row],[n_killed_mutants_cumulativa]]/result[[#This Row],[tot_mutants]]</f>
        <v>0</v>
      </c>
    </row>
    <row r="2223" spans="1:16" hidden="1" x14ac:dyDescent="0.25">
      <c r="A2223" t="s">
        <v>312</v>
      </c>
      <c r="B2223" t="s">
        <v>18</v>
      </c>
      <c r="C2223" t="s">
        <v>16</v>
      </c>
      <c r="D2223">
        <v>11177</v>
      </c>
      <c r="E2223">
        <v>2725</v>
      </c>
      <c r="F2223">
        <v>20</v>
      </c>
      <c r="G2223">
        <v>400</v>
      </c>
      <c r="H2223">
        <v>0</v>
      </c>
      <c r="I2223">
        <v>1000</v>
      </c>
      <c r="J2223">
        <v>0</v>
      </c>
      <c r="K2223">
        <v>0</v>
      </c>
      <c r="L2223">
        <v>1</v>
      </c>
      <c r="M2223">
        <v>0</v>
      </c>
      <c r="N2223" t="s">
        <v>17</v>
      </c>
      <c r="O2223" s="1">
        <f>result[[#This Row],[n_killed_mutants_cumulativa]]/result[[#This Row],[tot_mutants]]</f>
        <v>0</v>
      </c>
    </row>
    <row r="2224" spans="1:16" hidden="1" x14ac:dyDescent="0.25">
      <c r="A2224" t="s">
        <v>312</v>
      </c>
      <c r="B2224" t="s">
        <v>19</v>
      </c>
      <c r="C2224" t="s">
        <v>16</v>
      </c>
      <c r="D2224">
        <v>25132</v>
      </c>
      <c r="E2224">
        <v>6532</v>
      </c>
      <c r="F2224">
        <v>30</v>
      </c>
      <c r="G2224">
        <v>900</v>
      </c>
      <c r="H2224">
        <v>0</v>
      </c>
      <c r="I2224">
        <v>1500</v>
      </c>
      <c r="J2224">
        <v>0</v>
      </c>
      <c r="K2224">
        <v>0</v>
      </c>
      <c r="L2224">
        <v>1</v>
      </c>
      <c r="M2224">
        <v>0</v>
      </c>
      <c r="N2224" t="s">
        <v>17</v>
      </c>
      <c r="O2224" s="1">
        <f>result[[#This Row],[n_killed_mutants_cumulativa]]/result[[#This Row],[tot_mutants]]</f>
        <v>0</v>
      </c>
    </row>
    <row r="2225" spans="1:16" hidden="1" x14ac:dyDescent="0.25">
      <c r="A2225" t="s">
        <v>312</v>
      </c>
      <c r="B2225" t="s">
        <v>20</v>
      </c>
      <c r="C2225" t="s">
        <v>16</v>
      </c>
      <c r="D2225">
        <v>45633</v>
      </c>
      <c r="E2225">
        <v>12488</v>
      </c>
      <c r="F2225">
        <v>40</v>
      </c>
      <c r="G2225">
        <v>1600</v>
      </c>
      <c r="H2225">
        <v>0</v>
      </c>
      <c r="I2225">
        <v>2000</v>
      </c>
      <c r="J2225">
        <v>0</v>
      </c>
      <c r="K2225">
        <v>0</v>
      </c>
      <c r="L2225">
        <v>1</v>
      </c>
      <c r="M2225">
        <v>0</v>
      </c>
      <c r="N2225" t="s">
        <v>17</v>
      </c>
      <c r="O2225" s="1">
        <f>result[[#This Row],[n_killed_mutants_cumulativa]]/result[[#This Row],[tot_mutants]]</f>
        <v>0</v>
      </c>
    </row>
    <row r="2226" spans="1:16" hidden="1" x14ac:dyDescent="0.25">
      <c r="A2226" t="s">
        <v>312</v>
      </c>
      <c r="B2226" t="s">
        <v>21</v>
      </c>
      <c r="C2226" t="s">
        <v>16</v>
      </c>
      <c r="D2226">
        <v>71377</v>
      </c>
      <c r="E2226">
        <v>20066</v>
      </c>
      <c r="F2226">
        <v>50</v>
      </c>
      <c r="G2226">
        <v>2500</v>
      </c>
      <c r="H2226">
        <v>0</v>
      </c>
      <c r="I2226">
        <v>2500</v>
      </c>
      <c r="J2226">
        <v>0</v>
      </c>
      <c r="K2226">
        <v>0</v>
      </c>
      <c r="L2226">
        <v>1</v>
      </c>
      <c r="M2226">
        <v>0</v>
      </c>
      <c r="N2226" t="s">
        <v>17</v>
      </c>
      <c r="O2226" s="1">
        <f>result[[#This Row],[n_killed_mutants_cumulativa]]/result[[#This Row],[tot_mutants]]</f>
        <v>0</v>
      </c>
    </row>
    <row r="2227" spans="1:16" hidden="1" x14ac:dyDescent="0.25">
      <c r="A2227" t="s">
        <v>312</v>
      </c>
      <c r="B2227" t="s">
        <v>24</v>
      </c>
      <c r="C2227" t="s">
        <v>16</v>
      </c>
      <c r="D2227">
        <v>104166</v>
      </c>
      <c r="E2227">
        <v>29546</v>
      </c>
      <c r="F2227">
        <v>60</v>
      </c>
      <c r="G2227">
        <v>3600</v>
      </c>
      <c r="H2227">
        <v>0</v>
      </c>
      <c r="I2227">
        <v>3000</v>
      </c>
      <c r="J2227">
        <v>0</v>
      </c>
      <c r="K2227">
        <v>0</v>
      </c>
      <c r="L2227">
        <v>1</v>
      </c>
      <c r="M2227">
        <v>0</v>
      </c>
      <c r="N2227" t="s">
        <v>17</v>
      </c>
      <c r="O2227" s="1">
        <f>result[[#This Row],[n_killed_mutants_cumulativa]]/result[[#This Row],[tot_mutants]]</f>
        <v>0</v>
      </c>
    </row>
    <row r="2228" spans="1:16" hidden="1" x14ac:dyDescent="0.25">
      <c r="A2228" t="s">
        <v>312</v>
      </c>
      <c r="B2228" t="s">
        <v>25</v>
      </c>
      <c r="C2228" t="s">
        <v>16</v>
      </c>
      <c r="D2228">
        <v>142054</v>
      </c>
      <c r="E2228">
        <v>40301</v>
      </c>
      <c r="F2228">
        <v>70</v>
      </c>
      <c r="G2228">
        <v>4900</v>
      </c>
      <c r="H2228">
        <v>0</v>
      </c>
      <c r="I2228">
        <v>3500</v>
      </c>
      <c r="J2228">
        <v>0</v>
      </c>
      <c r="K2228">
        <v>0</v>
      </c>
      <c r="L2228">
        <v>1</v>
      </c>
      <c r="M2228">
        <v>0</v>
      </c>
      <c r="N2228" t="s">
        <v>17</v>
      </c>
      <c r="O2228" s="1">
        <f>result[[#This Row],[n_killed_mutants_cumulativa]]/result[[#This Row],[tot_mutants]]</f>
        <v>0</v>
      </c>
    </row>
    <row r="2229" spans="1:16" hidden="1" x14ac:dyDescent="0.25">
      <c r="A2229" t="s">
        <v>312</v>
      </c>
      <c r="B2229" t="s">
        <v>26</v>
      </c>
      <c r="C2229" t="s">
        <v>16</v>
      </c>
      <c r="D2229">
        <v>187149</v>
      </c>
      <c r="E2229">
        <v>53709</v>
      </c>
      <c r="F2229">
        <v>80</v>
      </c>
      <c r="G2229">
        <v>6400</v>
      </c>
      <c r="H2229">
        <v>0</v>
      </c>
      <c r="I2229">
        <v>4000</v>
      </c>
      <c r="J2229">
        <v>0</v>
      </c>
      <c r="K2229">
        <v>0</v>
      </c>
      <c r="L2229">
        <v>1</v>
      </c>
      <c r="M2229">
        <v>0</v>
      </c>
      <c r="N2229" t="s">
        <v>17</v>
      </c>
      <c r="O2229" s="1">
        <f>result[[#This Row],[n_killed_mutants_cumulativa]]/result[[#This Row],[tot_mutants]]</f>
        <v>0</v>
      </c>
    </row>
    <row r="2230" spans="1:16" hidden="1" x14ac:dyDescent="0.25">
      <c r="A2230" t="s">
        <v>312</v>
      </c>
      <c r="B2230" t="s">
        <v>27</v>
      </c>
      <c r="C2230" t="s">
        <v>16</v>
      </c>
      <c r="D2230">
        <v>238002</v>
      </c>
      <c r="E2230">
        <v>68532</v>
      </c>
      <c r="F2230">
        <v>90</v>
      </c>
      <c r="G2230">
        <v>8100</v>
      </c>
      <c r="H2230">
        <v>0</v>
      </c>
      <c r="I2230">
        <v>4500</v>
      </c>
      <c r="J2230">
        <v>0</v>
      </c>
      <c r="K2230">
        <v>0</v>
      </c>
      <c r="L2230">
        <v>1</v>
      </c>
      <c r="M2230">
        <v>0</v>
      </c>
      <c r="N2230" t="s">
        <v>17</v>
      </c>
      <c r="O2230" s="1">
        <f>result[[#This Row],[n_killed_mutants_cumulativa]]/result[[#This Row],[tot_mutants]]</f>
        <v>0</v>
      </c>
    </row>
    <row r="2231" spans="1:16" hidden="1" x14ac:dyDescent="0.25">
      <c r="A2231" t="s">
        <v>312</v>
      </c>
      <c r="B2231" t="s">
        <v>22</v>
      </c>
      <c r="C2231" t="s">
        <v>16</v>
      </c>
      <c r="D2231">
        <v>830345</v>
      </c>
      <c r="E2231">
        <v>234934</v>
      </c>
      <c r="F2231">
        <v>450</v>
      </c>
      <c r="G2231">
        <v>28500</v>
      </c>
      <c r="H2231">
        <v>0</v>
      </c>
      <c r="I2231">
        <v>22460</v>
      </c>
      <c r="J2231">
        <v>0</v>
      </c>
      <c r="K2231">
        <v>0</v>
      </c>
      <c r="L2231">
        <v>1</v>
      </c>
      <c r="M2231">
        <v>0</v>
      </c>
      <c r="N2231" t="s">
        <v>17</v>
      </c>
      <c r="O2231" s="1">
        <f>result[[#This Row],[n_killed_mutants_cumulativa]]/result[[#This Row],[tot_mutants]]</f>
        <v>0</v>
      </c>
      <c r="P2231" s="9" t="s">
        <v>346</v>
      </c>
    </row>
    <row r="2232" spans="1:16" hidden="1" x14ac:dyDescent="0.25">
      <c r="A2232" t="s">
        <v>313</v>
      </c>
      <c r="B2232" t="s">
        <v>15</v>
      </c>
      <c r="C2232" t="s">
        <v>16</v>
      </c>
      <c r="D2232">
        <v>11778</v>
      </c>
      <c r="E2232">
        <v>373</v>
      </c>
      <c r="F2232">
        <v>10</v>
      </c>
      <c r="G2232">
        <v>100</v>
      </c>
      <c r="H2232">
        <v>358</v>
      </c>
      <c r="I2232">
        <v>859</v>
      </c>
      <c r="J2232">
        <v>0</v>
      </c>
      <c r="K2232">
        <v>0</v>
      </c>
      <c r="L2232">
        <v>17</v>
      </c>
      <c r="M2232">
        <v>1</v>
      </c>
      <c r="N2232" t="s">
        <v>314</v>
      </c>
      <c r="O2232" s="1">
        <f>result[[#This Row],[n_killed_mutants_cumulativa]]/result[[#This Row],[tot_mutants]]</f>
        <v>5.8823529411764705E-2</v>
      </c>
    </row>
    <row r="2233" spans="1:16" hidden="1" x14ac:dyDescent="0.25">
      <c r="A2233" t="s">
        <v>313</v>
      </c>
      <c r="B2233" t="s">
        <v>18</v>
      </c>
      <c r="C2233" t="s">
        <v>16</v>
      </c>
      <c r="D2233">
        <v>20058</v>
      </c>
      <c r="E2233">
        <v>307</v>
      </c>
      <c r="F2233">
        <v>20</v>
      </c>
      <c r="G2233">
        <v>400</v>
      </c>
      <c r="H2233">
        <v>689</v>
      </c>
      <c r="I2233">
        <v>3313</v>
      </c>
      <c r="J2233">
        <v>0</v>
      </c>
      <c r="K2233">
        <v>0</v>
      </c>
      <c r="L2233">
        <v>17</v>
      </c>
      <c r="M2233">
        <v>1</v>
      </c>
      <c r="N2233" t="s">
        <v>314</v>
      </c>
      <c r="O2233" s="1">
        <f>result[[#This Row],[n_killed_mutants_cumulativa]]/result[[#This Row],[tot_mutants]]</f>
        <v>5.8823529411764705E-2</v>
      </c>
    </row>
    <row r="2234" spans="1:16" hidden="1" x14ac:dyDescent="0.25">
      <c r="A2234" t="s">
        <v>313</v>
      </c>
      <c r="B2234" t="s">
        <v>19</v>
      </c>
      <c r="C2234" t="s">
        <v>16</v>
      </c>
      <c r="D2234">
        <v>34015</v>
      </c>
      <c r="E2234">
        <v>758</v>
      </c>
      <c r="F2234">
        <v>30</v>
      </c>
      <c r="G2234">
        <v>900</v>
      </c>
      <c r="H2234">
        <v>1156</v>
      </c>
      <c r="I2234">
        <v>7378</v>
      </c>
      <c r="J2234">
        <v>0</v>
      </c>
      <c r="K2234">
        <v>0</v>
      </c>
      <c r="L2234">
        <v>17</v>
      </c>
      <c r="M2234">
        <v>1</v>
      </c>
      <c r="N2234" t="s">
        <v>314</v>
      </c>
      <c r="O2234" s="1">
        <f>result[[#This Row],[n_killed_mutants_cumulativa]]/result[[#This Row],[tot_mutants]]</f>
        <v>5.8823529411764705E-2</v>
      </c>
    </row>
    <row r="2235" spans="1:16" hidden="1" x14ac:dyDescent="0.25">
      <c r="A2235" t="s">
        <v>313</v>
      </c>
      <c r="B2235" t="s">
        <v>20</v>
      </c>
      <c r="C2235" t="s">
        <v>16</v>
      </c>
      <c r="D2235">
        <v>53212</v>
      </c>
      <c r="E2235">
        <v>1673</v>
      </c>
      <c r="F2235">
        <v>40</v>
      </c>
      <c r="G2235">
        <v>1600</v>
      </c>
      <c r="H2235">
        <v>1275</v>
      </c>
      <c r="I2235">
        <v>13043</v>
      </c>
      <c r="J2235">
        <v>0</v>
      </c>
      <c r="K2235">
        <v>0</v>
      </c>
      <c r="L2235">
        <v>17</v>
      </c>
      <c r="M2235">
        <v>1</v>
      </c>
      <c r="N2235" t="s">
        <v>314</v>
      </c>
      <c r="O2235" s="1">
        <f>result[[#This Row],[n_killed_mutants_cumulativa]]/result[[#This Row],[tot_mutants]]</f>
        <v>5.8823529411764705E-2</v>
      </c>
    </row>
    <row r="2236" spans="1:16" hidden="1" x14ac:dyDescent="0.25">
      <c r="A2236" t="s">
        <v>313</v>
      </c>
      <c r="B2236" t="s">
        <v>21</v>
      </c>
      <c r="C2236" t="s">
        <v>16</v>
      </c>
      <c r="D2236">
        <v>78824</v>
      </c>
      <c r="E2236">
        <v>3126</v>
      </c>
      <c r="F2236">
        <v>50</v>
      </c>
      <c r="G2236">
        <v>2500</v>
      </c>
      <c r="H2236">
        <v>1555</v>
      </c>
      <c r="I2236">
        <v>20306</v>
      </c>
      <c r="J2236">
        <v>0</v>
      </c>
      <c r="K2236">
        <v>0</v>
      </c>
      <c r="L2236">
        <v>17</v>
      </c>
      <c r="M2236">
        <v>1</v>
      </c>
      <c r="N2236" t="s">
        <v>314</v>
      </c>
      <c r="O2236" s="1">
        <f>result[[#This Row],[n_killed_mutants_cumulativa]]/result[[#This Row],[tot_mutants]]</f>
        <v>5.8823529411764705E-2</v>
      </c>
    </row>
    <row r="2237" spans="1:16" hidden="1" x14ac:dyDescent="0.25">
      <c r="A2237" t="s">
        <v>313</v>
      </c>
      <c r="B2237" t="s">
        <v>24</v>
      </c>
      <c r="C2237" t="s">
        <v>16</v>
      </c>
      <c r="D2237">
        <v>111182</v>
      </c>
      <c r="E2237">
        <v>5321</v>
      </c>
      <c r="F2237">
        <v>60</v>
      </c>
      <c r="G2237">
        <v>3600</v>
      </c>
      <c r="H2237">
        <v>1968</v>
      </c>
      <c r="I2237">
        <v>29161</v>
      </c>
      <c r="J2237">
        <v>0</v>
      </c>
      <c r="K2237">
        <v>0</v>
      </c>
      <c r="L2237">
        <v>17</v>
      </c>
      <c r="M2237">
        <v>1</v>
      </c>
      <c r="N2237" t="s">
        <v>314</v>
      </c>
      <c r="O2237" s="1">
        <f>result[[#This Row],[n_killed_mutants_cumulativa]]/result[[#This Row],[tot_mutants]]</f>
        <v>5.8823529411764705E-2</v>
      </c>
    </row>
    <row r="2238" spans="1:16" hidden="1" x14ac:dyDescent="0.25">
      <c r="A2238" t="s">
        <v>313</v>
      </c>
      <c r="B2238" t="s">
        <v>25</v>
      </c>
      <c r="C2238" t="s">
        <v>16</v>
      </c>
      <c r="D2238">
        <v>149447</v>
      </c>
      <c r="E2238">
        <v>8385</v>
      </c>
      <c r="F2238">
        <v>70</v>
      </c>
      <c r="G2238">
        <v>4900</v>
      </c>
      <c r="H2238">
        <v>2136</v>
      </c>
      <c r="I2238">
        <v>39637</v>
      </c>
      <c r="J2238">
        <v>0</v>
      </c>
      <c r="K2238">
        <v>0</v>
      </c>
      <c r="L2238">
        <v>17</v>
      </c>
      <c r="M2238">
        <v>1</v>
      </c>
      <c r="N2238" t="s">
        <v>314</v>
      </c>
      <c r="O2238" s="1">
        <f>result[[#This Row],[n_killed_mutants_cumulativa]]/result[[#This Row],[tot_mutants]]</f>
        <v>5.8823529411764705E-2</v>
      </c>
    </row>
    <row r="2239" spans="1:16" hidden="1" x14ac:dyDescent="0.25">
      <c r="A2239" t="s">
        <v>313</v>
      </c>
      <c r="B2239" t="s">
        <v>26</v>
      </c>
      <c r="C2239" t="s">
        <v>16</v>
      </c>
      <c r="D2239">
        <v>195325</v>
      </c>
      <c r="E2239">
        <v>12438</v>
      </c>
      <c r="F2239">
        <v>80</v>
      </c>
      <c r="G2239">
        <v>6400</v>
      </c>
      <c r="H2239">
        <v>2539</v>
      </c>
      <c r="I2239">
        <v>51688</v>
      </c>
      <c r="J2239">
        <v>0</v>
      </c>
      <c r="K2239">
        <v>0</v>
      </c>
      <c r="L2239">
        <v>17</v>
      </c>
      <c r="M2239">
        <v>1</v>
      </c>
      <c r="N2239" t="s">
        <v>314</v>
      </c>
      <c r="O2239" s="1">
        <f>result[[#This Row],[n_killed_mutants_cumulativa]]/result[[#This Row],[tot_mutants]]</f>
        <v>5.8823529411764705E-2</v>
      </c>
    </row>
    <row r="2240" spans="1:16" x14ac:dyDescent="0.25">
      <c r="A2240" t="s">
        <v>313</v>
      </c>
      <c r="B2240" t="s">
        <v>22</v>
      </c>
      <c r="C2240" t="s">
        <v>16</v>
      </c>
      <c r="D2240">
        <v>653841</v>
      </c>
      <c r="E2240">
        <v>32381</v>
      </c>
      <c r="F2240">
        <v>360</v>
      </c>
      <c r="G2240">
        <v>20400</v>
      </c>
      <c r="H2240">
        <v>11676</v>
      </c>
      <c r="I2240">
        <v>165385</v>
      </c>
      <c r="J2240">
        <v>0</v>
      </c>
      <c r="K2240">
        <v>0</v>
      </c>
      <c r="L2240">
        <v>17</v>
      </c>
      <c r="M2240">
        <v>1</v>
      </c>
      <c r="N2240" t="s">
        <v>314</v>
      </c>
      <c r="O2240" s="1">
        <f>result[[#This Row],[n_killed_mutants_cumulativa]]/result[[#This Row],[tot_mutants]]</f>
        <v>5.8823529411764705E-2</v>
      </c>
      <c r="P2240" s="9" t="s">
        <v>360</v>
      </c>
    </row>
    <row r="2241" spans="1:16" hidden="1" x14ac:dyDescent="0.25">
      <c r="A2241" t="s">
        <v>315</v>
      </c>
      <c r="B2241" t="s">
        <v>15</v>
      </c>
      <c r="C2241" t="s">
        <v>16</v>
      </c>
      <c r="D2241">
        <v>27242</v>
      </c>
      <c r="E2241">
        <v>203</v>
      </c>
      <c r="F2241">
        <v>10</v>
      </c>
      <c r="G2241">
        <v>100</v>
      </c>
      <c r="H2241">
        <v>109</v>
      </c>
      <c r="I2241">
        <v>292</v>
      </c>
      <c r="J2241">
        <v>0</v>
      </c>
      <c r="K2241">
        <v>0</v>
      </c>
      <c r="L2241">
        <v>50</v>
      </c>
      <c r="M2241">
        <v>1</v>
      </c>
      <c r="N2241" t="s">
        <v>210</v>
      </c>
      <c r="O2241" s="1">
        <f>result[[#This Row],[n_killed_mutants_cumulativa]]/result[[#This Row],[tot_mutants]]</f>
        <v>0.02</v>
      </c>
    </row>
    <row r="2242" spans="1:16" hidden="1" x14ac:dyDescent="0.25">
      <c r="A2242" t="s">
        <v>315</v>
      </c>
      <c r="B2242" t="s">
        <v>18</v>
      </c>
      <c r="C2242" t="s">
        <v>16</v>
      </c>
      <c r="D2242">
        <v>50939</v>
      </c>
      <c r="E2242">
        <v>72</v>
      </c>
      <c r="F2242">
        <v>20</v>
      </c>
      <c r="G2242">
        <v>400</v>
      </c>
      <c r="H2242">
        <v>419</v>
      </c>
      <c r="I2242">
        <v>1167</v>
      </c>
      <c r="J2242">
        <v>0</v>
      </c>
      <c r="K2242">
        <v>0</v>
      </c>
      <c r="L2242">
        <v>50</v>
      </c>
      <c r="M2242">
        <v>1</v>
      </c>
      <c r="N2242" t="s">
        <v>210</v>
      </c>
      <c r="O2242" s="1">
        <f>result[[#This Row],[n_killed_mutants_cumulativa]]/result[[#This Row],[tot_mutants]]</f>
        <v>0.02</v>
      </c>
    </row>
    <row r="2243" spans="1:16" hidden="1" x14ac:dyDescent="0.25">
      <c r="A2243" t="s">
        <v>315</v>
      </c>
      <c r="B2243" t="s">
        <v>19</v>
      </c>
      <c r="C2243" t="s">
        <v>16</v>
      </c>
      <c r="D2243">
        <v>86767</v>
      </c>
      <c r="E2243">
        <v>101</v>
      </c>
      <c r="F2243">
        <v>30</v>
      </c>
      <c r="G2243">
        <v>900</v>
      </c>
      <c r="H2243">
        <v>929</v>
      </c>
      <c r="I2243">
        <v>2678</v>
      </c>
      <c r="J2243">
        <v>0</v>
      </c>
      <c r="K2243">
        <v>0</v>
      </c>
      <c r="L2243">
        <v>50</v>
      </c>
      <c r="M2243">
        <v>1</v>
      </c>
      <c r="N2243" t="s">
        <v>210</v>
      </c>
      <c r="O2243" s="1">
        <f>result[[#This Row],[n_killed_mutants_cumulativa]]/result[[#This Row],[tot_mutants]]</f>
        <v>0.02</v>
      </c>
    </row>
    <row r="2244" spans="1:16" hidden="1" x14ac:dyDescent="0.25">
      <c r="A2244" t="s">
        <v>315</v>
      </c>
      <c r="B2244" t="s">
        <v>20</v>
      </c>
      <c r="C2244" t="s">
        <v>16</v>
      </c>
      <c r="D2244">
        <v>132524</v>
      </c>
      <c r="E2244">
        <v>178</v>
      </c>
      <c r="F2244">
        <v>40</v>
      </c>
      <c r="G2244">
        <v>1600</v>
      </c>
      <c r="H2244">
        <v>1639</v>
      </c>
      <c r="I2244">
        <v>4762</v>
      </c>
      <c r="J2244">
        <v>0</v>
      </c>
      <c r="K2244">
        <v>0</v>
      </c>
      <c r="L2244">
        <v>50</v>
      </c>
      <c r="M2244">
        <v>1</v>
      </c>
      <c r="N2244" t="s">
        <v>210</v>
      </c>
      <c r="O2244" s="1">
        <f>result[[#This Row],[n_killed_mutants_cumulativa]]/result[[#This Row],[tot_mutants]]</f>
        <v>0.02</v>
      </c>
    </row>
    <row r="2245" spans="1:16" hidden="1" x14ac:dyDescent="0.25">
      <c r="A2245" t="s">
        <v>315</v>
      </c>
      <c r="B2245" t="s">
        <v>21</v>
      </c>
      <c r="C2245" t="s">
        <v>16</v>
      </c>
      <c r="D2245">
        <v>188477</v>
      </c>
      <c r="E2245">
        <v>294</v>
      </c>
      <c r="F2245">
        <v>50</v>
      </c>
      <c r="G2245">
        <v>2500</v>
      </c>
      <c r="H2245">
        <v>2549</v>
      </c>
      <c r="I2245">
        <v>7452</v>
      </c>
      <c r="J2245">
        <v>0</v>
      </c>
      <c r="K2245">
        <v>0</v>
      </c>
      <c r="L2245">
        <v>50</v>
      </c>
      <c r="M2245">
        <v>1</v>
      </c>
      <c r="N2245" t="s">
        <v>210</v>
      </c>
      <c r="O2245" s="1">
        <f>result[[#This Row],[n_killed_mutants_cumulativa]]/result[[#This Row],[tot_mutants]]</f>
        <v>0.02</v>
      </c>
    </row>
    <row r="2246" spans="1:16" hidden="1" x14ac:dyDescent="0.25">
      <c r="A2246" t="s">
        <v>315</v>
      </c>
      <c r="B2246" t="s">
        <v>24</v>
      </c>
      <c r="C2246" t="s">
        <v>16</v>
      </c>
      <c r="D2246">
        <v>244270</v>
      </c>
      <c r="E2246">
        <v>370</v>
      </c>
      <c r="F2246">
        <v>60</v>
      </c>
      <c r="G2246">
        <v>3600</v>
      </c>
      <c r="H2246">
        <v>3659</v>
      </c>
      <c r="I2246">
        <v>10737</v>
      </c>
      <c r="J2246">
        <v>0</v>
      </c>
      <c r="K2246">
        <v>0</v>
      </c>
      <c r="L2246">
        <v>50</v>
      </c>
      <c r="M2246">
        <v>1</v>
      </c>
      <c r="N2246" t="s">
        <v>210</v>
      </c>
      <c r="O2246" s="1">
        <f>result[[#This Row],[n_killed_mutants_cumulativa]]/result[[#This Row],[tot_mutants]]</f>
        <v>0.02</v>
      </c>
    </row>
    <row r="2247" spans="1:16" x14ac:dyDescent="0.25">
      <c r="A2247" t="s">
        <v>315</v>
      </c>
      <c r="B2247" t="s">
        <v>22</v>
      </c>
      <c r="C2247" t="s">
        <v>16</v>
      </c>
      <c r="D2247">
        <v>730219</v>
      </c>
      <c r="E2247">
        <v>1218</v>
      </c>
      <c r="F2247">
        <v>210</v>
      </c>
      <c r="G2247">
        <v>9100</v>
      </c>
      <c r="H2247">
        <v>9304</v>
      </c>
      <c r="I2247">
        <v>27088</v>
      </c>
      <c r="J2247">
        <v>0</v>
      </c>
      <c r="K2247">
        <v>0</v>
      </c>
      <c r="L2247">
        <v>50</v>
      </c>
      <c r="M2247">
        <v>1</v>
      </c>
      <c r="N2247" t="s">
        <v>210</v>
      </c>
      <c r="O2247" s="1">
        <f>result[[#This Row],[n_killed_mutants_cumulativa]]/result[[#This Row],[tot_mutants]]</f>
        <v>0.02</v>
      </c>
      <c r="P2247" s="9" t="s">
        <v>361</v>
      </c>
    </row>
    <row r="2248" spans="1:16" hidden="1" x14ac:dyDescent="0.25">
      <c r="A2248" t="s">
        <v>316</v>
      </c>
      <c r="B2248" t="s">
        <v>15</v>
      </c>
      <c r="C2248" t="s">
        <v>16</v>
      </c>
      <c r="D2248">
        <v>202</v>
      </c>
      <c r="E2248">
        <v>75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7</v>
      </c>
      <c r="M2248">
        <v>0</v>
      </c>
      <c r="N2248" t="s">
        <v>17</v>
      </c>
      <c r="O2248" s="1">
        <f>result[[#This Row],[n_killed_mutants_cumulativa]]/result[[#This Row],[tot_mutants]]</f>
        <v>0</v>
      </c>
    </row>
    <row r="2249" spans="1:16" hidden="1" x14ac:dyDescent="0.25">
      <c r="A2249" t="s">
        <v>316</v>
      </c>
      <c r="B2249" t="s">
        <v>18</v>
      </c>
      <c r="C2249" t="s">
        <v>16</v>
      </c>
      <c r="D2249">
        <v>91</v>
      </c>
      <c r="E2249">
        <v>50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7</v>
      </c>
      <c r="M2249">
        <v>0</v>
      </c>
      <c r="N2249" t="s">
        <v>17</v>
      </c>
      <c r="O2249" s="1">
        <f>result[[#This Row],[n_killed_mutants_cumulativa]]/result[[#This Row],[tot_mutants]]</f>
        <v>0</v>
      </c>
    </row>
    <row r="2250" spans="1:16" hidden="1" x14ac:dyDescent="0.25">
      <c r="A2250" t="s">
        <v>316</v>
      </c>
      <c r="B2250" t="s">
        <v>19</v>
      </c>
      <c r="C2250" t="s">
        <v>16</v>
      </c>
      <c r="D2250">
        <v>98</v>
      </c>
      <c r="E2250">
        <v>64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7</v>
      </c>
      <c r="M2250">
        <v>0</v>
      </c>
      <c r="N2250" t="s">
        <v>17</v>
      </c>
      <c r="O2250" s="1">
        <f>result[[#This Row],[n_killed_mutants_cumulativa]]/result[[#This Row],[tot_mutants]]</f>
        <v>0</v>
      </c>
    </row>
    <row r="2251" spans="1:16" hidden="1" x14ac:dyDescent="0.25">
      <c r="A2251" t="s">
        <v>316</v>
      </c>
      <c r="B2251" t="s">
        <v>20</v>
      </c>
      <c r="C2251" t="s">
        <v>16</v>
      </c>
      <c r="D2251">
        <v>115</v>
      </c>
      <c r="E2251">
        <v>81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7</v>
      </c>
      <c r="M2251">
        <v>0</v>
      </c>
      <c r="N2251" t="s">
        <v>17</v>
      </c>
      <c r="O2251" s="1">
        <f>result[[#This Row],[n_killed_mutants_cumulativa]]/result[[#This Row],[tot_mutants]]</f>
        <v>0</v>
      </c>
    </row>
    <row r="2252" spans="1:16" hidden="1" x14ac:dyDescent="0.25">
      <c r="A2252" t="s">
        <v>316</v>
      </c>
      <c r="B2252" t="s">
        <v>21</v>
      </c>
      <c r="C2252" t="s">
        <v>16</v>
      </c>
      <c r="D2252">
        <v>108</v>
      </c>
      <c r="E2252">
        <v>74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7</v>
      </c>
      <c r="M2252">
        <v>0</v>
      </c>
      <c r="N2252" t="s">
        <v>17</v>
      </c>
      <c r="O2252" s="1">
        <f>result[[#This Row],[n_killed_mutants_cumulativa]]/result[[#This Row],[tot_mutants]]</f>
        <v>0</v>
      </c>
    </row>
    <row r="2253" spans="1:16" hidden="1" x14ac:dyDescent="0.25">
      <c r="A2253" t="s">
        <v>316</v>
      </c>
      <c r="B2253" t="s">
        <v>22</v>
      </c>
      <c r="C2253" t="s">
        <v>16</v>
      </c>
      <c r="D2253">
        <v>614</v>
      </c>
      <c r="E2253">
        <v>344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7</v>
      </c>
      <c r="M2253">
        <v>0</v>
      </c>
      <c r="N2253" t="s">
        <v>17</v>
      </c>
      <c r="O2253" s="1">
        <f>result[[#This Row],[n_killed_mutants_cumulativa]]/result[[#This Row],[tot_mutants]]</f>
        <v>0</v>
      </c>
    </row>
    <row r="2254" spans="1:16" hidden="1" x14ac:dyDescent="0.25">
      <c r="A2254" t="s">
        <v>317</v>
      </c>
      <c r="B2254" t="s">
        <v>15</v>
      </c>
      <c r="C2254" t="s">
        <v>16</v>
      </c>
      <c r="D2254">
        <v>5267</v>
      </c>
      <c r="E2254">
        <v>100</v>
      </c>
      <c r="F2254">
        <v>10</v>
      </c>
      <c r="G2254">
        <v>100</v>
      </c>
      <c r="H2254">
        <v>41</v>
      </c>
      <c r="I2254">
        <v>693</v>
      </c>
      <c r="J2254">
        <v>0</v>
      </c>
      <c r="K2254">
        <v>0</v>
      </c>
      <c r="L2254">
        <v>7</v>
      </c>
      <c r="M2254">
        <v>1</v>
      </c>
      <c r="N2254" t="s">
        <v>266</v>
      </c>
      <c r="O2254" s="1">
        <f>result[[#This Row],[n_killed_mutants_cumulativa]]/result[[#This Row],[tot_mutants]]</f>
        <v>0.14285714285714285</v>
      </c>
    </row>
    <row r="2255" spans="1:16" hidden="1" x14ac:dyDescent="0.25">
      <c r="A2255" t="s">
        <v>317</v>
      </c>
      <c r="B2255" t="s">
        <v>18</v>
      </c>
      <c r="C2255" t="s">
        <v>16</v>
      </c>
      <c r="D2255">
        <v>6890</v>
      </c>
      <c r="E2255">
        <v>47</v>
      </c>
      <c r="F2255">
        <v>20</v>
      </c>
      <c r="G2255">
        <v>400</v>
      </c>
      <c r="H2255">
        <v>74</v>
      </c>
      <c r="I2255">
        <v>2797</v>
      </c>
      <c r="J2255">
        <v>0</v>
      </c>
      <c r="K2255">
        <v>0</v>
      </c>
      <c r="L2255">
        <v>7</v>
      </c>
      <c r="M2255">
        <v>1</v>
      </c>
      <c r="N2255" t="s">
        <v>266</v>
      </c>
      <c r="O2255" s="1">
        <f>result[[#This Row],[n_killed_mutants_cumulativa]]/result[[#This Row],[tot_mutants]]</f>
        <v>0.14285714285714285</v>
      </c>
    </row>
    <row r="2256" spans="1:16" hidden="1" x14ac:dyDescent="0.25">
      <c r="A2256" t="s">
        <v>317</v>
      </c>
      <c r="B2256" t="s">
        <v>19</v>
      </c>
      <c r="C2256" t="s">
        <v>16</v>
      </c>
      <c r="D2256">
        <v>11525</v>
      </c>
      <c r="E2256">
        <v>40</v>
      </c>
      <c r="F2256">
        <v>30</v>
      </c>
      <c r="G2256">
        <v>900</v>
      </c>
      <c r="H2256">
        <v>115</v>
      </c>
      <c r="I2256">
        <v>5913</v>
      </c>
      <c r="J2256">
        <v>0</v>
      </c>
      <c r="K2256">
        <v>0</v>
      </c>
      <c r="L2256">
        <v>7</v>
      </c>
      <c r="M2256">
        <v>1</v>
      </c>
      <c r="N2256" t="s">
        <v>266</v>
      </c>
      <c r="O2256" s="1">
        <f>result[[#This Row],[n_killed_mutants_cumulativa]]/result[[#This Row],[tot_mutants]]</f>
        <v>0.14285714285714285</v>
      </c>
    </row>
    <row r="2257" spans="1:16" hidden="1" x14ac:dyDescent="0.25">
      <c r="A2257" t="s">
        <v>317</v>
      </c>
      <c r="B2257" t="s">
        <v>20</v>
      </c>
      <c r="C2257" t="s">
        <v>16</v>
      </c>
      <c r="D2257">
        <v>18161</v>
      </c>
      <c r="E2257">
        <v>41</v>
      </c>
      <c r="F2257">
        <v>40</v>
      </c>
      <c r="G2257">
        <v>1600</v>
      </c>
      <c r="H2257">
        <v>109</v>
      </c>
      <c r="I2257">
        <v>10490</v>
      </c>
      <c r="J2257">
        <v>0</v>
      </c>
      <c r="K2257">
        <v>0</v>
      </c>
      <c r="L2257">
        <v>7</v>
      </c>
      <c r="M2257">
        <v>1</v>
      </c>
      <c r="N2257" t="s">
        <v>266</v>
      </c>
      <c r="O2257" s="1">
        <f>result[[#This Row],[n_killed_mutants_cumulativa]]/result[[#This Row],[tot_mutants]]</f>
        <v>0.14285714285714285</v>
      </c>
    </row>
    <row r="2258" spans="1:16" hidden="1" x14ac:dyDescent="0.25">
      <c r="A2258" t="s">
        <v>317</v>
      </c>
      <c r="B2258" t="s">
        <v>21</v>
      </c>
      <c r="C2258" t="s">
        <v>16</v>
      </c>
      <c r="D2258">
        <v>26176</v>
      </c>
      <c r="E2258">
        <v>50</v>
      </c>
      <c r="F2258">
        <v>50</v>
      </c>
      <c r="G2258">
        <v>2500</v>
      </c>
      <c r="H2258">
        <v>161</v>
      </c>
      <c r="I2258">
        <v>17002</v>
      </c>
      <c r="J2258">
        <v>0</v>
      </c>
      <c r="K2258">
        <v>0</v>
      </c>
      <c r="L2258">
        <v>7</v>
      </c>
      <c r="M2258">
        <v>1</v>
      </c>
      <c r="N2258" t="s">
        <v>266</v>
      </c>
      <c r="O2258" s="1">
        <f>result[[#This Row],[n_killed_mutants_cumulativa]]/result[[#This Row],[tot_mutants]]</f>
        <v>0.14285714285714285</v>
      </c>
    </row>
    <row r="2259" spans="1:16" hidden="1" x14ac:dyDescent="0.25">
      <c r="A2259" t="s">
        <v>317</v>
      </c>
      <c r="B2259" t="s">
        <v>24</v>
      </c>
      <c r="C2259" t="s">
        <v>16</v>
      </c>
      <c r="D2259">
        <v>35673</v>
      </c>
      <c r="E2259">
        <v>68</v>
      </c>
      <c r="F2259">
        <v>60</v>
      </c>
      <c r="G2259">
        <v>3600</v>
      </c>
      <c r="H2259">
        <v>190</v>
      </c>
      <c r="I2259">
        <v>23538</v>
      </c>
      <c r="J2259">
        <v>0</v>
      </c>
      <c r="K2259">
        <v>0</v>
      </c>
      <c r="L2259">
        <v>7</v>
      </c>
      <c r="M2259">
        <v>1</v>
      </c>
      <c r="N2259" t="s">
        <v>266</v>
      </c>
      <c r="O2259" s="1">
        <f>result[[#This Row],[n_killed_mutants_cumulativa]]/result[[#This Row],[tot_mutants]]</f>
        <v>0.14285714285714285</v>
      </c>
    </row>
    <row r="2260" spans="1:16" hidden="1" x14ac:dyDescent="0.25">
      <c r="A2260" t="s">
        <v>317</v>
      </c>
      <c r="B2260" t="s">
        <v>25</v>
      </c>
      <c r="C2260" t="s">
        <v>16</v>
      </c>
      <c r="D2260">
        <v>47584</v>
      </c>
      <c r="E2260">
        <v>82</v>
      </c>
      <c r="F2260">
        <v>70</v>
      </c>
      <c r="G2260">
        <v>4900</v>
      </c>
      <c r="H2260">
        <v>214</v>
      </c>
      <c r="I2260">
        <v>32057</v>
      </c>
      <c r="J2260">
        <v>0</v>
      </c>
      <c r="K2260">
        <v>0</v>
      </c>
      <c r="L2260">
        <v>7</v>
      </c>
      <c r="M2260">
        <v>1</v>
      </c>
      <c r="N2260" t="s">
        <v>266</v>
      </c>
      <c r="O2260" s="1">
        <f>result[[#This Row],[n_killed_mutants_cumulativa]]/result[[#This Row],[tot_mutants]]</f>
        <v>0.14285714285714285</v>
      </c>
    </row>
    <row r="2261" spans="1:16" hidden="1" x14ac:dyDescent="0.25">
      <c r="A2261" t="s">
        <v>317</v>
      </c>
      <c r="B2261" t="s">
        <v>26</v>
      </c>
      <c r="C2261" t="s">
        <v>16</v>
      </c>
      <c r="D2261">
        <v>66218</v>
      </c>
      <c r="E2261">
        <v>107</v>
      </c>
      <c r="F2261">
        <v>80</v>
      </c>
      <c r="G2261">
        <v>6400</v>
      </c>
      <c r="H2261">
        <v>251</v>
      </c>
      <c r="I2261">
        <v>45202</v>
      </c>
      <c r="J2261">
        <v>0</v>
      </c>
      <c r="K2261">
        <v>0</v>
      </c>
      <c r="L2261">
        <v>7</v>
      </c>
      <c r="M2261">
        <v>1</v>
      </c>
      <c r="N2261" t="s">
        <v>266</v>
      </c>
      <c r="O2261" s="1">
        <f>result[[#This Row],[n_killed_mutants_cumulativa]]/result[[#This Row],[tot_mutants]]</f>
        <v>0.14285714285714285</v>
      </c>
    </row>
    <row r="2262" spans="1:16" hidden="1" x14ac:dyDescent="0.25">
      <c r="A2262" t="s">
        <v>317</v>
      </c>
      <c r="B2262" t="s">
        <v>27</v>
      </c>
      <c r="C2262" t="s">
        <v>16</v>
      </c>
      <c r="D2262">
        <v>83182</v>
      </c>
      <c r="E2262">
        <v>130</v>
      </c>
      <c r="F2262">
        <v>90</v>
      </c>
      <c r="G2262">
        <v>8100</v>
      </c>
      <c r="H2262">
        <v>300</v>
      </c>
      <c r="I2262">
        <v>57016</v>
      </c>
      <c r="J2262">
        <v>0</v>
      </c>
      <c r="K2262">
        <v>0</v>
      </c>
      <c r="L2262">
        <v>7</v>
      </c>
      <c r="M2262">
        <v>1</v>
      </c>
      <c r="N2262" t="s">
        <v>266</v>
      </c>
      <c r="O2262" s="1">
        <f>result[[#This Row],[n_killed_mutants_cumulativa]]/result[[#This Row],[tot_mutants]]</f>
        <v>0.14285714285714285</v>
      </c>
    </row>
    <row r="2263" spans="1:16" hidden="1" x14ac:dyDescent="0.25">
      <c r="A2263" t="s">
        <v>317</v>
      </c>
      <c r="B2263" t="s">
        <v>30</v>
      </c>
      <c r="C2263" t="s">
        <v>16</v>
      </c>
      <c r="D2263">
        <v>111794</v>
      </c>
      <c r="E2263">
        <v>156</v>
      </c>
      <c r="F2263">
        <v>100</v>
      </c>
      <c r="G2263">
        <v>10000</v>
      </c>
      <c r="H2263">
        <v>337</v>
      </c>
      <c r="I2263">
        <v>69280</v>
      </c>
      <c r="J2263">
        <v>0</v>
      </c>
      <c r="K2263">
        <v>0</v>
      </c>
      <c r="L2263">
        <v>7</v>
      </c>
      <c r="M2263">
        <v>1</v>
      </c>
      <c r="N2263" t="s">
        <v>266</v>
      </c>
      <c r="O2263" s="1">
        <f>result[[#This Row],[n_killed_mutants_cumulativa]]/result[[#This Row],[tot_mutants]]</f>
        <v>0.14285714285714285</v>
      </c>
    </row>
    <row r="2264" spans="1:16" hidden="1" x14ac:dyDescent="0.25">
      <c r="A2264" t="s">
        <v>317</v>
      </c>
      <c r="B2264" t="s">
        <v>31</v>
      </c>
      <c r="C2264" t="s">
        <v>16</v>
      </c>
      <c r="D2264">
        <v>129486</v>
      </c>
      <c r="E2264">
        <v>224</v>
      </c>
      <c r="F2264">
        <v>110</v>
      </c>
      <c r="G2264">
        <v>12100</v>
      </c>
      <c r="H2264">
        <v>325</v>
      </c>
      <c r="I2264">
        <v>79910</v>
      </c>
      <c r="J2264">
        <v>0</v>
      </c>
      <c r="K2264">
        <v>0</v>
      </c>
      <c r="L2264">
        <v>7</v>
      </c>
      <c r="M2264">
        <v>1</v>
      </c>
      <c r="N2264" t="s">
        <v>266</v>
      </c>
      <c r="O2264" s="1">
        <f>result[[#This Row],[n_killed_mutants_cumulativa]]/result[[#This Row],[tot_mutants]]</f>
        <v>0.14285714285714285</v>
      </c>
    </row>
    <row r="2265" spans="1:16" hidden="1" x14ac:dyDescent="0.25">
      <c r="A2265" t="s">
        <v>317</v>
      </c>
      <c r="B2265" t="s">
        <v>36</v>
      </c>
      <c r="C2265" t="s">
        <v>16</v>
      </c>
      <c r="D2265">
        <v>157183</v>
      </c>
      <c r="E2265">
        <v>276</v>
      </c>
      <c r="F2265">
        <v>120</v>
      </c>
      <c r="G2265">
        <v>14400</v>
      </c>
      <c r="H2265">
        <v>374</v>
      </c>
      <c r="I2265">
        <v>97237</v>
      </c>
      <c r="J2265">
        <v>0</v>
      </c>
      <c r="K2265">
        <v>0</v>
      </c>
      <c r="L2265">
        <v>7</v>
      </c>
      <c r="M2265">
        <v>1</v>
      </c>
      <c r="N2265" t="s">
        <v>266</v>
      </c>
      <c r="O2265" s="1">
        <f>result[[#This Row],[n_killed_mutants_cumulativa]]/result[[#This Row],[tot_mutants]]</f>
        <v>0.14285714285714285</v>
      </c>
    </row>
    <row r="2266" spans="1:16" x14ac:dyDescent="0.25">
      <c r="A2266" t="s">
        <v>317</v>
      </c>
      <c r="B2266" t="s">
        <v>22</v>
      </c>
      <c r="C2266" t="s">
        <v>16</v>
      </c>
      <c r="D2266">
        <v>699139</v>
      </c>
      <c r="E2266">
        <v>1321</v>
      </c>
      <c r="F2266">
        <v>780</v>
      </c>
      <c r="G2266">
        <v>65000</v>
      </c>
      <c r="H2266">
        <v>2491</v>
      </c>
      <c r="I2266">
        <v>441135</v>
      </c>
      <c r="J2266">
        <v>0</v>
      </c>
      <c r="K2266">
        <v>0</v>
      </c>
      <c r="L2266">
        <v>7</v>
      </c>
      <c r="M2266">
        <v>1</v>
      </c>
      <c r="N2266" t="s">
        <v>266</v>
      </c>
      <c r="O2266" s="1">
        <f>result[[#This Row],[n_killed_mutants_cumulativa]]/result[[#This Row],[tot_mutants]]</f>
        <v>0.14285714285714285</v>
      </c>
      <c r="P2266" s="9" t="s">
        <v>360</v>
      </c>
    </row>
    <row r="2267" spans="1:16" hidden="1" x14ac:dyDescent="0.25">
      <c r="A2267" t="s">
        <v>318</v>
      </c>
      <c r="B2267" t="s">
        <v>15</v>
      </c>
      <c r="C2267" t="s">
        <v>16</v>
      </c>
      <c r="D2267">
        <v>10597</v>
      </c>
      <c r="E2267">
        <v>231</v>
      </c>
      <c r="F2267">
        <v>10</v>
      </c>
      <c r="G2267">
        <v>100</v>
      </c>
      <c r="H2267">
        <v>300</v>
      </c>
      <c r="I2267">
        <v>507</v>
      </c>
      <c r="J2267">
        <v>0</v>
      </c>
      <c r="K2267">
        <v>0</v>
      </c>
      <c r="L2267">
        <v>19</v>
      </c>
      <c r="M2267">
        <v>0</v>
      </c>
      <c r="N2267" t="s">
        <v>17</v>
      </c>
      <c r="O2267" s="1">
        <f>result[[#This Row],[n_killed_mutants_cumulativa]]/result[[#This Row],[tot_mutants]]</f>
        <v>0</v>
      </c>
    </row>
    <row r="2268" spans="1:16" hidden="1" x14ac:dyDescent="0.25">
      <c r="A2268" t="s">
        <v>318</v>
      </c>
      <c r="B2268" t="s">
        <v>18</v>
      </c>
      <c r="C2268" t="s">
        <v>16</v>
      </c>
      <c r="D2268">
        <v>17744</v>
      </c>
      <c r="E2268">
        <v>83</v>
      </c>
      <c r="F2268">
        <v>20</v>
      </c>
      <c r="G2268">
        <v>400</v>
      </c>
      <c r="H2268">
        <v>1200</v>
      </c>
      <c r="I2268">
        <v>2187</v>
      </c>
      <c r="J2268">
        <v>0</v>
      </c>
      <c r="K2268">
        <v>0</v>
      </c>
      <c r="L2268">
        <v>19</v>
      </c>
      <c r="M2268">
        <v>0</v>
      </c>
      <c r="N2268" t="s">
        <v>17</v>
      </c>
      <c r="O2268" s="1">
        <f>result[[#This Row],[n_killed_mutants_cumulativa]]/result[[#This Row],[tot_mutants]]</f>
        <v>0</v>
      </c>
    </row>
    <row r="2269" spans="1:16" hidden="1" x14ac:dyDescent="0.25">
      <c r="A2269" t="s">
        <v>318</v>
      </c>
      <c r="B2269" t="s">
        <v>19</v>
      </c>
      <c r="C2269" t="s">
        <v>16</v>
      </c>
      <c r="D2269">
        <v>31218</v>
      </c>
      <c r="E2269">
        <v>221</v>
      </c>
      <c r="F2269">
        <v>30</v>
      </c>
      <c r="G2269">
        <v>900</v>
      </c>
      <c r="H2269">
        <v>2700</v>
      </c>
      <c r="I2269">
        <v>4898</v>
      </c>
      <c r="J2269">
        <v>0</v>
      </c>
      <c r="K2269">
        <v>0</v>
      </c>
      <c r="L2269">
        <v>19</v>
      </c>
      <c r="M2269">
        <v>1</v>
      </c>
      <c r="N2269" t="s">
        <v>319</v>
      </c>
      <c r="O2269" s="1">
        <f>result[[#This Row],[n_killed_mutants_cumulativa]]/result[[#This Row],[tot_mutants]]</f>
        <v>5.2631578947368418E-2</v>
      </c>
    </row>
    <row r="2270" spans="1:16" hidden="1" x14ac:dyDescent="0.25">
      <c r="A2270" t="s">
        <v>318</v>
      </c>
      <c r="B2270" t="s">
        <v>20</v>
      </c>
      <c r="C2270" t="s">
        <v>16</v>
      </c>
      <c r="D2270">
        <v>49473</v>
      </c>
      <c r="E2270">
        <v>304</v>
      </c>
      <c r="F2270">
        <v>40</v>
      </c>
      <c r="G2270">
        <v>1600</v>
      </c>
      <c r="H2270">
        <v>4800</v>
      </c>
      <c r="I2270">
        <v>8899</v>
      </c>
      <c r="J2270">
        <v>0</v>
      </c>
      <c r="K2270">
        <v>0</v>
      </c>
      <c r="L2270">
        <v>19</v>
      </c>
      <c r="M2270">
        <v>1</v>
      </c>
      <c r="N2270" t="s">
        <v>319</v>
      </c>
      <c r="O2270" s="1">
        <f>result[[#This Row],[n_killed_mutants_cumulativa]]/result[[#This Row],[tot_mutants]]</f>
        <v>5.2631578947368418E-2</v>
      </c>
    </row>
    <row r="2271" spans="1:16" hidden="1" x14ac:dyDescent="0.25">
      <c r="A2271" t="s">
        <v>318</v>
      </c>
      <c r="B2271" t="s">
        <v>21</v>
      </c>
      <c r="C2271" t="s">
        <v>16</v>
      </c>
      <c r="D2271">
        <v>73922</v>
      </c>
      <c r="E2271">
        <v>401</v>
      </c>
      <c r="F2271">
        <v>50</v>
      </c>
      <c r="G2271">
        <v>2500</v>
      </c>
      <c r="H2271">
        <v>7500</v>
      </c>
      <c r="I2271">
        <v>14140</v>
      </c>
      <c r="J2271">
        <v>0</v>
      </c>
      <c r="K2271">
        <v>0</v>
      </c>
      <c r="L2271">
        <v>19</v>
      </c>
      <c r="M2271">
        <v>1</v>
      </c>
      <c r="N2271" t="s">
        <v>319</v>
      </c>
      <c r="O2271" s="1">
        <f>result[[#This Row],[n_killed_mutants_cumulativa]]/result[[#This Row],[tot_mutants]]</f>
        <v>5.2631578947368418E-2</v>
      </c>
    </row>
    <row r="2272" spans="1:16" hidden="1" x14ac:dyDescent="0.25">
      <c r="A2272" t="s">
        <v>318</v>
      </c>
      <c r="B2272" t="s">
        <v>24</v>
      </c>
      <c r="C2272" t="s">
        <v>16</v>
      </c>
      <c r="D2272">
        <v>107454</v>
      </c>
      <c r="E2272">
        <v>578</v>
      </c>
      <c r="F2272">
        <v>60</v>
      </c>
      <c r="G2272">
        <v>3600</v>
      </c>
      <c r="H2272">
        <v>10800</v>
      </c>
      <c r="I2272">
        <v>20667</v>
      </c>
      <c r="J2272">
        <v>0</v>
      </c>
      <c r="K2272">
        <v>0</v>
      </c>
      <c r="L2272">
        <v>19</v>
      </c>
      <c r="M2272">
        <v>1</v>
      </c>
      <c r="N2272" t="s">
        <v>319</v>
      </c>
      <c r="O2272" s="1">
        <f>result[[#This Row],[n_killed_mutants_cumulativa]]/result[[#This Row],[tot_mutants]]</f>
        <v>5.2631578947368418E-2</v>
      </c>
    </row>
    <row r="2273" spans="1:16" hidden="1" x14ac:dyDescent="0.25">
      <c r="A2273" t="s">
        <v>318</v>
      </c>
      <c r="B2273" t="s">
        <v>25</v>
      </c>
      <c r="C2273" t="s">
        <v>16</v>
      </c>
      <c r="D2273">
        <v>148871</v>
      </c>
      <c r="E2273">
        <v>846</v>
      </c>
      <c r="F2273">
        <v>70</v>
      </c>
      <c r="G2273">
        <v>4900</v>
      </c>
      <c r="H2273">
        <v>14700</v>
      </c>
      <c r="I2273">
        <v>28222</v>
      </c>
      <c r="J2273">
        <v>0</v>
      </c>
      <c r="K2273">
        <v>0</v>
      </c>
      <c r="L2273">
        <v>19</v>
      </c>
      <c r="M2273">
        <v>1</v>
      </c>
      <c r="N2273" t="s">
        <v>319</v>
      </c>
      <c r="O2273" s="1">
        <f>result[[#This Row],[n_killed_mutants_cumulativa]]/result[[#This Row],[tot_mutants]]</f>
        <v>5.2631578947368418E-2</v>
      </c>
    </row>
    <row r="2274" spans="1:16" hidden="1" x14ac:dyDescent="0.25">
      <c r="A2274" t="s">
        <v>318</v>
      </c>
      <c r="B2274" t="s">
        <v>26</v>
      </c>
      <c r="C2274" t="s">
        <v>16</v>
      </c>
      <c r="D2274">
        <v>196458</v>
      </c>
      <c r="E2274">
        <v>1427</v>
      </c>
      <c r="F2274">
        <v>80</v>
      </c>
      <c r="G2274">
        <v>6400</v>
      </c>
      <c r="H2274">
        <v>19200</v>
      </c>
      <c r="I2274">
        <v>37128</v>
      </c>
      <c r="J2274">
        <v>0</v>
      </c>
      <c r="K2274">
        <v>0</v>
      </c>
      <c r="L2274">
        <v>19</v>
      </c>
      <c r="M2274">
        <v>1</v>
      </c>
      <c r="N2274" t="s">
        <v>319</v>
      </c>
      <c r="O2274" s="1">
        <f>result[[#This Row],[n_killed_mutants_cumulativa]]/result[[#This Row],[tot_mutants]]</f>
        <v>5.2631578947368418E-2</v>
      </c>
    </row>
    <row r="2275" spans="1:16" x14ac:dyDescent="0.25">
      <c r="A2275" t="s">
        <v>318</v>
      </c>
      <c r="B2275" t="s">
        <v>22</v>
      </c>
      <c r="C2275" t="s">
        <v>16</v>
      </c>
      <c r="D2275">
        <v>635737</v>
      </c>
      <c r="E2275">
        <v>4091</v>
      </c>
      <c r="F2275">
        <v>360</v>
      </c>
      <c r="G2275">
        <v>20400</v>
      </c>
      <c r="H2275">
        <v>61200</v>
      </c>
      <c r="I2275">
        <v>116648</v>
      </c>
      <c r="J2275">
        <v>0</v>
      </c>
      <c r="K2275">
        <v>0</v>
      </c>
      <c r="L2275">
        <v>19</v>
      </c>
      <c r="M2275">
        <v>1</v>
      </c>
      <c r="N2275" t="s">
        <v>319</v>
      </c>
      <c r="O2275" s="1">
        <f>result[[#This Row],[n_killed_mutants_cumulativa]]/result[[#This Row],[tot_mutants]]</f>
        <v>5.2631578947368418E-2</v>
      </c>
      <c r="P2275" s="9" t="s">
        <v>360</v>
      </c>
    </row>
    <row r="2276" spans="1:16" hidden="1" x14ac:dyDescent="0.25">
      <c r="A2276" t="s">
        <v>320</v>
      </c>
      <c r="B2276" t="s">
        <v>15</v>
      </c>
      <c r="C2276" t="s">
        <v>16</v>
      </c>
      <c r="D2276">
        <v>2339</v>
      </c>
      <c r="E2276">
        <v>100</v>
      </c>
      <c r="F2276">
        <v>10</v>
      </c>
      <c r="G2276">
        <v>100</v>
      </c>
      <c r="H2276">
        <v>100</v>
      </c>
      <c r="I2276">
        <v>200</v>
      </c>
      <c r="J2276">
        <v>0</v>
      </c>
      <c r="K2276">
        <v>0</v>
      </c>
      <c r="L2276">
        <v>1</v>
      </c>
      <c r="M2276">
        <v>0</v>
      </c>
      <c r="N2276" t="s">
        <v>17</v>
      </c>
      <c r="O2276" s="1">
        <f>result[[#This Row],[n_killed_mutants_cumulativa]]/result[[#This Row],[tot_mutants]]</f>
        <v>0</v>
      </c>
    </row>
    <row r="2277" spans="1:16" hidden="1" x14ac:dyDescent="0.25">
      <c r="A2277" t="s">
        <v>320</v>
      </c>
      <c r="B2277" t="s">
        <v>18</v>
      </c>
      <c r="C2277" t="s">
        <v>16</v>
      </c>
      <c r="D2277">
        <v>1861</v>
      </c>
      <c r="E2277">
        <v>94</v>
      </c>
      <c r="F2277">
        <v>20</v>
      </c>
      <c r="G2277">
        <v>400</v>
      </c>
      <c r="H2277">
        <v>400</v>
      </c>
      <c r="I2277">
        <v>800</v>
      </c>
      <c r="J2277">
        <v>0</v>
      </c>
      <c r="K2277">
        <v>0</v>
      </c>
      <c r="L2277">
        <v>1</v>
      </c>
      <c r="M2277">
        <v>0</v>
      </c>
      <c r="N2277" t="s">
        <v>17</v>
      </c>
      <c r="O2277" s="1">
        <f>result[[#This Row],[n_killed_mutants_cumulativa]]/result[[#This Row],[tot_mutants]]</f>
        <v>0</v>
      </c>
    </row>
    <row r="2278" spans="1:16" hidden="1" x14ac:dyDescent="0.25">
      <c r="A2278" t="s">
        <v>320</v>
      </c>
      <c r="B2278" t="s">
        <v>19</v>
      </c>
      <c r="C2278" t="s">
        <v>16</v>
      </c>
      <c r="D2278">
        <v>2747</v>
      </c>
      <c r="E2278">
        <v>86</v>
      </c>
      <c r="F2278">
        <v>30</v>
      </c>
      <c r="G2278">
        <v>900</v>
      </c>
      <c r="H2278">
        <v>900</v>
      </c>
      <c r="I2278">
        <v>1800</v>
      </c>
      <c r="J2278">
        <v>0</v>
      </c>
      <c r="K2278">
        <v>0</v>
      </c>
      <c r="L2278">
        <v>1</v>
      </c>
      <c r="M2278">
        <v>0</v>
      </c>
      <c r="N2278" t="s">
        <v>17</v>
      </c>
      <c r="O2278" s="1">
        <f>result[[#This Row],[n_killed_mutants_cumulativa]]/result[[#This Row],[tot_mutants]]</f>
        <v>0</v>
      </c>
    </row>
    <row r="2279" spans="1:16" hidden="1" x14ac:dyDescent="0.25">
      <c r="A2279" t="s">
        <v>320</v>
      </c>
      <c r="B2279" t="s">
        <v>20</v>
      </c>
      <c r="C2279" t="s">
        <v>16</v>
      </c>
      <c r="D2279">
        <v>3321</v>
      </c>
      <c r="E2279">
        <v>130</v>
      </c>
      <c r="F2279">
        <v>40</v>
      </c>
      <c r="G2279">
        <v>1600</v>
      </c>
      <c r="H2279">
        <v>1600</v>
      </c>
      <c r="I2279">
        <v>3200</v>
      </c>
      <c r="J2279">
        <v>0</v>
      </c>
      <c r="K2279">
        <v>0</v>
      </c>
      <c r="L2279">
        <v>1</v>
      </c>
      <c r="M2279">
        <v>0</v>
      </c>
      <c r="N2279" t="s">
        <v>17</v>
      </c>
      <c r="O2279" s="1">
        <f>result[[#This Row],[n_killed_mutants_cumulativa]]/result[[#This Row],[tot_mutants]]</f>
        <v>0</v>
      </c>
    </row>
    <row r="2280" spans="1:16" hidden="1" x14ac:dyDescent="0.25">
      <c r="A2280" t="s">
        <v>320</v>
      </c>
      <c r="B2280" t="s">
        <v>21</v>
      </c>
      <c r="C2280" t="s">
        <v>16</v>
      </c>
      <c r="D2280">
        <v>4424</v>
      </c>
      <c r="E2280">
        <v>123</v>
      </c>
      <c r="F2280">
        <v>50</v>
      </c>
      <c r="G2280">
        <v>2500</v>
      </c>
      <c r="H2280">
        <v>2500</v>
      </c>
      <c r="I2280">
        <v>5000</v>
      </c>
      <c r="J2280">
        <v>0</v>
      </c>
      <c r="K2280">
        <v>0</v>
      </c>
      <c r="L2280">
        <v>1</v>
      </c>
      <c r="M2280">
        <v>0</v>
      </c>
      <c r="N2280" t="s">
        <v>17</v>
      </c>
      <c r="O2280" s="1">
        <f>result[[#This Row],[n_killed_mutants_cumulativa]]/result[[#This Row],[tot_mutants]]</f>
        <v>0</v>
      </c>
    </row>
    <row r="2281" spans="1:16" hidden="1" x14ac:dyDescent="0.25">
      <c r="A2281" t="s">
        <v>320</v>
      </c>
      <c r="B2281" t="s">
        <v>24</v>
      </c>
      <c r="C2281" t="s">
        <v>16</v>
      </c>
      <c r="D2281">
        <v>5855</v>
      </c>
      <c r="E2281">
        <v>201</v>
      </c>
      <c r="F2281">
        <v>60</v>
      </c>
      <c r="G2281">
        <v>3600</v>
      </c>
      <c r="H2281">
        <v>3600</v>
      </c>
      <c r="I2281">
        <v>7200</v>
      </c>
      <c r="J2281">
        <v>0</v>
      </c>
      <c r="K2281">
        <v>0</v>
      </c>
      <c r="L2281">
        <v>1</v>
      </c>
      <c r="M2281">
        <v>0</v>
      </c>
      <c r="N2281" t="s">
        <v>17</v>
      </c>
      <c r="O2281" s="1">
        <f>result[[#This Row],[n_killed_mutants_cumulativa]]/result[[#This Row],[tot_mutants]]</f>
        <v>0</v>
      </c>
    </row>
    <row r="2282" spans="1:16" hidden="1" x14ac:dyDescent="0.25">
      <c r="A2282" t="s">
        <v>320</v>
      </c>
      <c r="B2282" t="s">
        <v>25</v>
      </c>
      <c r="C2282" t="s">
        <v>16</v>
      </c>
      <c r="D2282">
        <v>7737</v>
      </c>
      <c r="E2282">
        <v>198</v>
      </c>
      <c r="F2282">
        <v>70</v>
      </c>
      <c r="G2282">
        <v>4900</v>
      </c>
      <c r="H2282">
        <v>4900</v>
      </c>
      <c r="I2282">
        <v>9800</v>
      </c>
      <c r="J2282">
        <v>0</v>
      </c>
      <c r="K2282">
        <v>0</v>
      </c>
      <c r="L2282">
        <v>1</v>
      </c>
      <c r="M2282">
        <v>0</v>
      </c>
      <c r="N2282" t="s">
        <v>17</v>
      </c>
      <c r="O2282" s="1">
        <f>result[[#This Row],[n_killed_mutants_cumulativa]]/result[[#This Row],[tot_mutants]]</f>
        <v>0</v>
      </c>
    </row>
    <row r="2283" spans="1:16" hidden="1" x14ac:dyDescent="0.25">
      <c r="A2283" t="s">
        <v>320</v>
      </c>
      <c r="B2283" t="s">
        <v>26</v>
      </c>
      <c r="C2283" t="s">
        <v>16</v>
      </c>
      <c r="D2283">
        <v>9750</v>
      </c>
      <c r="E2283">
        <v>255</v>
      </c>
      <c r="F2283">
        <v>80</v>
      </c>
      <c r="G2283">
        <v>6400</v>
      </c>
      <c r="H2283">
        <v>6400</v>
      </c>
      <c r="I2283">
        <v>12800</v>
      </c>
      <c r="J2283">
        <v>0</v>
      </c>
      <c r="K2283">
        <v>0</v>
      </c>
      <c r="L2283">
        <v>1</v>
      </c>
      <c r="M2283">
        <v>0</v>
      </c>
      <c r="N2283" t="s">
        <v>17</v>
      </c>
      <c r="O2283" s="1">
        <f>result[[#This Row],[n_killed_mutants_cumulativa]]/result[[#This Row],[tot_mutants]]</f>
        <v>0</v>
      </c>
    </row>
    <row r="2284" spans="1:16" hidden="1" x14ac:dyDescent="0.25">
      <c r="A2284" t="s">
        <v>320</v>
      </c>
      <c r="B2284" t="s">
        <v>27</v>
      </c>
      <c r="C2284" t="s">
        <v>16</v>
      </c>
      <c r="D2284">
        <v>12608</v>
      </c>
      <c r="E2284">
        <v>324</v>
      </c>
      <c r="F2284">
        <v>90</v>
      </c>
      <c r="G2284">
        <v>8100</v>
      </c>
      <c r="H2284">
        <v>8100</v>
      </c>
      <c r="I2284">
        <v>16200</v>
      </c>
      <c r="J2284">
        <v>0</v>
      </c>
      <c r="K2284">
        <v>0</v>
      </c>
      <c r="L2284">
        <v>1</v>
      </c>
      <c r="M2284">
        <v>0</v>
      </c>
      <c r="N2284" t="s">
        <v>17</v>
      </c>
      <c r="O2284" s="1">
        <f>result[[#This Row],[n_killed_mutants_cumulativa]]/result[[#This Row],[tot_mutants]]</f>
        <v>0</v>
      </c>
    </row>
    <row r="2285" spans="1:16" hidden="1" x14ac:dyDescent="0.25">
      <c r="A2285" t="s">
        <v>320</v>
      </c>
      <c r="B2285" t="s">
        <v>30</v>
      </c>
      <c r="C2285" t="s">
        <v>16</v>
      </c>
      <c r="D2285">
        <v>15391</v>
      </c>
      <c r="E2285">
        <v>398</v>
      </c>
      <c r="F2285">
        <v>100</v>
      </c>
      <c r="G2285">
        <v>10000</v>
      </c>
      <c r="H2285">
        <v>10000</v>
      </c>
      <c r="I2285">
        <v>20000</v>
      </c>
      <c r="J2285">
        <v>0</v>
      </c>
      <c r="K2285">
        <v>0</v>
      </c>
      <c r="L2285">
        <v>1</v>
      </c>
      <c r="M2285">
        <v>0</v>
      </c>
      <c r="N2285" t="s">
        <v>17</v>
      </c>
      <c r="O2285" s="1">
        <f>result[[#This Row],[n_killed_mutants_cumulativa]]/result[[#This Row],[tot_mutants]]</f>
        <v>0</v>
      </c>
    </row>
    <row r="2286" spans="1:16" hidden="1" x14ac:dyDescent="0.25">
      <c r="A2286" t="s">
        <v>320</v>
      </c>
      <c r="B2286" t="s">
        <v>31</v>
      </c>
      <c r="C2286" t="s">
        <v>16</v>
      </c>
      <c r="D2286">
        <v>18716</v>
      </c>
      <c r="E2286">
        <v>484</v>
      </c>
      <c r="F2286">
        <v>110</v>
      </c>
      <c r="G2286">
        <v>12100</v>
      </c>
      <c r="H2286">
        <v>12100</v>
      </c>
      <c r="I2286">
        <v>24200</v>
      </c>
      <c r="J2286">
        <v>0</v>
      </c>
      <c r="K2286">
        <v>0</v>
      </c>
      <c r="L2286">
        <v>1</v>
      </c>
      <c r="M2286">
        <v>0</v>
      </c>
      <c r="N2286" t="s">
        <v>17</v>
      </c>
      <c r="O2286" s="1">
        <f>result[[#This Row],[n_killed_mutants_cumulativa]]/result[[#This Row],[tot_mutants]]</f>
        <v>0</v>
      </c>
    </row>
    <row r="2287" spans="1:16" hidden="1" x14ac:dyDescent="0.25">
      <c r="A2287" t="s">
        <v>320</v>
      </c>
      <c r="B2287" t="s">
        <v>36</v>
      </c>
      <c r="C2287" t="s">
        <v>16</v>
      </c>
      <c r="D2287">
        <v>22360</v>
      </c>
      <c r="E2287">
        <v>574</v>
      </c>
      <c r="F2287">
        <v>120</v>
      </c>
      <c r="G2287">
        <v>14400</v>
      </c>
      <c r="H2287">
        <v>14400</v>
      </c>
      <c r="I2287">
        <v>28800</v>
      </c>
      <c r="J2287">
        <v>0</v>
      </c>
      <c r="K2287">
        <v>0</v>
      </c>
      <c r="L2287">
        <v>1</v>
      </c>
      <c r="M2287">
        <v>0</v>
      </c>
      <c r="N2287" t="s">
        <v>17</v>
      </c>
      <c r="O2287" s="1">
        <f>result[[#This Row],[n_killed_mutants_cumulativa]]/result[[#This Row],[tot_mutants]]</f>
        <v>0</v>
      </c>
    </row>
    <row r="2288" spans="1:16" hidden="1" x14ac:dyDescent="0.25">
      <c r="A2288" t="s">
        <v>320</v>
      </c>
      <c r="B2288" t="s">
        <v>40</v>
      </c>
      <c r="C2288" t="s">
        <v>16</v>
      </c>
      <c r="D2288">
        <v>26572</v>
      </c>
      <c r="E2288">
        <v>661</v>
      </c>
      <c r="F2288">
        <v>130</v>
      </c>
      <c r="G2288">
        <v>16900</v>
      </c>
      <c r="H2288">
        <v>16900</v>
      </c>
      <c r="I2288">
        <v>33800</v>
      </c>
      <c r="J2288">
        <v>0</v>
      </c>
      <c r="K2288">
        <v>0</v>
      </c>
      <c r="L2288">
        <v>1</v>
      </c>
      <c r="M2288">
        <v>0</v>
      </c>
      <c r="N2288" t="s">
        <v>17</v>
      </c>
      <c r="O2288" s="1">
        <f>result[[#This Row],[n_killed_mutants_cumulativa]]/result[[#This Row],[tot_mutants]]</f>
        <v>0</v>
      </c>
    </row>
    <row r="2289" spans="1:16" hidden="1" x14ac:dyDescent="0.25">
      <c r="A2289" t="s">
        <v>320</v>
      </c>
      <c r="B2289" t="s">
        <v>47</v>
      </c>
      <c r="C2289" t="s">
        <v>16</v>
      </c>
      <c r="D2289">
        <v>31339</v>
      </c>
      <c r="E2289">
        <v>764</v>
      </c>
      <c r="F2289">
        <v>140</v>
      </c>
      <c r="G2289">
        <v>19600</v>
      </c>
      <c r="H2289">
        <v>19600</v>
      </c>
      <c r="I2289">
        <v>39200</v>
      </c>
      <c r="J2289">
        <v>0</v>
      </c>
      <c r="K2289">
        <v>0</v>
      </c>
      <c r="L2289">
        <v>1</v>
      </c>
      <c r="M2289">
        <v>0</v>
      </c>
      <c r="N2289" t="s">
        <v>17</v>
      </c>
      <c r="O2289" s="1">
        <f>result[[#This Row],[n_killed_mutants_cumulativa]]/result[[#This Row],[tot_mutants]]</f>
        <v>0</v>
      </c>
    </row>
    <row r="2290" spans="1:16" hidden="1" x14ac:dyDescent="0.25">
      <c r="A2290" t="s">
        <v>320</v>
      </c>
      <c r="B2290" t="s">
        <v>48</v>
      </c>
      <c r="C2290" t="s">
        <v>16</v>
      </c>
      <c r="D2290">
        <v>36592</v>
      </c>
      <c r="E2290">
        <v>877</v>
      </c>
      <c r="F2290">
        <v>150</v>
      </c>
      <c r="G2290">
        <v>22500</v>
      </c>
      <c r="H2290">
        <v>22500</v>
      </c>
      <c r="I2290">
        <v>45000</v>
      </c>
      <c r="J2290">
        <v>0</v>
      </c>
      <c r="K2290">
        <v>0</v>
      </c>
      <c r="L2290">
        <v>1</v>
      </c>
      <c r="M2290">
        <v>0</v>
      </c>
      <c r="N2290" t="s">
        <v>17</v>
      </c>
      <c r="O2290" s="1">
        <f>result[[#This Row],[n_killed_mutants_cumulativa]]/result[[#This Row],[tot_mutants]]</f>
        <v>0</v>
      </c>
    </row>
    <row r="2291" spans="1:16" hidden="1" x14ac:dyDescent="0.25">
      <c r="A2291" t="s">
        <v>320</v>
      </c>
      <c r="B2291" t="s">
        <v>49</v>
      </c>
      <c r="C2291" t="s">
        <v>16</v>
      </c>
      <c r="D2291">
        <v>42340</v>
      </c>
      <c r="E2291">
        <v>997</v>
      </c>
      <c r="F2291">
        <v>160</v>
      </c>
      <c r="G2291">
        <v>25600</v>
      </c>
      <c r="H2291">
        <v>25600</v>
      </c>
      <c r="I2291">
        <v>51200</v>
      </c>
      <c r="J2291">
        <v>0</v>
      </c>
      <c r="K2291">
        <v>0</v>
      </c>
      <c r="L2291">
        <v>1</v>
      </c>
      <c r="M2291">
        <v>0</v>
      </c>
      <c r="N2291" t="s">
        <v>17</v>
      </c>
      <c r="O2291" s="1">
        <f>result[[#This Row],[n_killed_mutants_cumulativa]]/result[[#This Row],[tot_mutants]]</f>
        <v>0</v>
      </c>
    </row>
    <row r="2292" spans="1:16" hidden="1" x14ac:dyDescent="0.25">
      <c r="A2292" t="s">
        <v>320</v>
      </c>
      <c r="B2292" t="s">
        <v>50</v>
      </c>
      <c r="C2292" t="s">
        <v>16</v>
      </c>
      <c r="D2292">
        <v>48565</v>
      </c>
      <c r="E2292">
        <v>1126</v>
      </c>
      <c r="F2292">
        <v>170</v>
      </c>
      <c r="G2292">
        <v>28900</v>
      </c>
      <c r="H2292">
        <v>28900</v>
      </c>
      <c r="I2292">
        <v>57800</v>
      </c>
      <c r="J2292">
        <v>0</v>
      </c>
      <c r="K2292">
        <v>0</v>
      </c>
      <c r="L2292">
        <v>1</v>
      </c>
      <c r="M2292">
        <v>0</v>
      </c>
      <c r="N2292" t="s">
        <v>17</v>
      </c>
      <c r="O2292" s="1">
        <f>result[[#This Row],[n_killed_mutants_cumulativa]]/result[[#This Row],[tot_mutants]]</f>
        <v>0</v>
      </c>
    </row>
    <row r="2293" spans="1:16" hidden="1" x14ac:dyDescent="0.25">
      <c r="A2293" t="s">
        <v>320</v>
      </c>
      <c r="B2293" t="s">
        <v>51</v>
      </c>
      <c r="C2293" t="s">
        <v>16</v>
      </c>
      <c r="D2293">
        <v>57116</v>
      </c>
      <c r="E2293">
        <v>1258</v>
      </c>
      <c r="F2293">
        <v>180</v>
      </c>
      <c r="G2293">
        <v>32400</v>
      </c>
      <c r="H2293">
        <v>32400</v>
      </c>
      <c r="I2293">
        <v>64800</v>
      </c>
      <c r="J2293">
        <v>0</v>
      </c>
      <c r="K2293">
        <v>0</v>
      </c>
      <c r="L2293">
        <v>1</v>
      </c>
      <c r="M2293">
        <v>0</v>
      </c>
      <c r="N2293" t="s">
        <v>17</v>
      </c>
      <c r="O2293" s="1">
        <f>result[[#This Row],[n_killed_mutants_cumulativa]]/result[[#This Row],[tot_mutants]]</f>
        <v>0</v>
      </c>
    </row>
    <row r="2294" spans="1:16" hidden="1" x14ac:dyDescent="0.25">
      <c r="A2294" t="s">
        <v>320</v>
      </c>
      <c r="B2294" t="s">
        <v>52</v>
      </c>
      <c r="C2294" t="s">
        <v>16</v>
      </c>
      <c r="D2294">
        <v>64872</v>
      </c>
      <c r="E2294">
        <v>1500</v>
      </c>
      <c r="F2294">
        <v>190</v>
      </c>
      <c r="G2294">
        <v>36100</v>
      </c>
      <c r="H2294">
        <v>36100</v>
      </c>
      <c r="I2294">
        <v>72200</v>
      </c>
      <c r="J2294">
        <v>0</v>
      </c>
      <c r="K2294">
        <v>0</v>
      </c>
      <c r="L2294">
        <v>1</v>
      </c>
      <c r="M2294">
        <v>0</v>
      </c>
      <c r="N2294" t="s">
        <v>17</v>
      </c>
      <c r="O2294" s="1">
        <f>result[[#This Row],[n_killed_mutants_cumulativa]]/result[[#This Row],[tot_mutants]]</f>
        <v>0</v>
      </c>
    </row>
    <row r="2295" spans="1:16" hidden="1" x14ac:dyDescent="0.25">
      <c r="A2295" t="s">
        <v>320</v>
      </c>
      <c r="B2295" t="s">
        <v>53</v>
      </c>
      <c r="C2295" t="s">
        <v>16</v>
      </c>
      <c r="D2295">
        <v>73240</v>
      </c>
      <c r="E2295">
        <v>1575</v>
      </c>
      <c r="F2295">
        <v>200</v>
      </c>
      <c r="G2295">
        <v>40000</v>
      </c>
      <c r="H2295">
        <v>40000</v>
      </c>
      <c r="I2295">
        <v>80000</v>
      </c>
      <c r="J2295">
        <v>0</v>
      </c>
      <c r="K2295">
        <v>0</v>
      </c>
      <c r="L2295">
        <v>1</v>
      </c>
      <c r="M2295">
        <v>0</v>
      </c>
      <c r="N2295" t="s">
        <v>17</v>
      </c>
      <c r="O2295" s="1">
        <f>result[[#This Row],[n_killed_mutants_cumulativa]]/result[[#This Row],[tot_mutants]]</f>
        <v>0</v>
      </c>
    </row>
    <row r="2296" spans="1:16" hidden="1" x14ac:dyDescent="0.25">
      <c r="A2296" t="s">
        <v>320</v>
      </c>
      <c r="B2296" t="s">
        <v>22</v>
      </c>
      <c r="C2296" t="s">
        <v>16</v>
      </c>
      <c r="D2296">
        <v>487745</v>
      </c>
      <c r="E2296">
        <v>11725</v>
      </c>
      <c r="F2296">
        <v>2100</v>
      </c>
      <c r="G2296">
        <v>287000</v>
      </c>
      <c r="H2296">
        <v>287000</v>
      </c>
      <c r="I2296">
        <v>574000</v>
      </c>
      <c r="J2296">
        <v>0</v>
      </c>
      <c r="K2296">
        <v>0</v>
      </c>
      <c r="L2296">
        <v>1</v>
      </c>
      <c r="M2296">
        <v>0</v>
      </c>
      <c r="N2296" t="s">
        <v>17</v>
      </c>
      <c r="O2296" s="1">
        <f>result[[#This Row],[n_killed_mutants_cumulativa]]/result[[#This Row],[tot_mutants]]</f>
        <v>0</v>
      </c>
      <c r="P2296" s="9" t="s">
        <v>346</v>
      </c>
    </row>
    <row r="2297" spans="1:16" hidden="1" x14ac:dyDescent="0.25">
      <c r="A2297" t="s">
        <v>321</v>
      </c>
      <c r="B2297" t="s">
        <v>15</v>
      </c>
      <c r="C2297" t="s">
        <v>16</v>
      </c>
      <c r="D2297">
        <v>504</v>
      </c>
      <c r="E2297">
        <v>393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2</v>
      </c>
      <c r="M2297">
        <v>0</v>
      </c>
      <c r="N2297" t="s">
        <v>17</v>
      </c>
      <c r="O2297" s="1">
        <f>result[[#This Row],[n_killed_mutants_cumulativa]]/result[[#This Row],[tot_mutants]]</f>
        <v>0</v>
      </c>
    </row>
    <row r="2298" spans="1:16" hidden="1" x14ac:dyDescent="0.25">
      <c r="A2298" t="s">
        <v>321</v>
      </c>
      <c r="B2298" t="s">
        <v>18</v>
      </c>
      <c r="C2298" t="s">
        <v>16</v>
      </c>
      <c r="D2298">
        <v>1815</v>
      </c>
      <c r="E2298">
        <v>289</v>
      </c>
      <c r="F2298">
        <v>1</v>
      </c>
      <c r="G2298">
        <v>20</v>
      </c>
      <c r="H2298">
        <v>40</v>
      </c>
      <c r="I2298">
        <v>130</v>
      </c>
      <c r="J2298">
        <v>0</v>
      </c>
      <c r="K2298">
        <v>0</v>
      </c>
      <c r="L2298">
        <v>2</v>
      </c>
      <c r="M2298">
        <v>0</v>
      </c>
      <c r="N2298" t="s">
        <v>17</v>
      </c>
      <c r="O2298" s="1">
        <f>result[[#This Row],[n_killed_mutants_cumulativa]]/result[[#This Row],[tot_mutants]]</f>
        <v>0</v>
      </c>
    </row>
    <row r="2299" spans="1:16" hidden="1" x14ac:dyDescent="0.25">
      <c r="A2299" t="s">
        <v>321</v>
      </c>
      <c r="B2299" t="s">
        <v>19</v>
      </c>
      <c r="C2299" t="s">
        <v>16</v>
      </c>
      <c r="D2299">
        <v>327</v>
      </c>
      <c r="E2299">
        <v>306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2</v>
      </c>
      <c r="M2299">
        <v>0</v>
      </c>
      <c r="N2299" t="s">
        <v>17</v>
      </c>
      <c r="O2299" s="1">
        <f>result[[#This Row],[n_killed_mutants_cumulativa]]/result[[#This Row],[tot_mutants]]</f>
        <v>0</v>
      </c>
    </row>
    <row r="2300" spans="1:16" hidden="1" x14ac:dyDescent="0.25">
      <c r="A2300" t="s">
        <v>321</v>
      </c>
      <c r="B2300" t="s">
        <v>20</v>
      </c>
      <c r="C2300" t="s">
        <v>16</v>
      </c>
      <c r="D2300">
        <v>445</v>
      </c>
      <c r="E2300">
        <v>431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2</v>
      </c>
      <c r="M2300">
        <v>0</v>
      </c>
      <c r="N2300" t="s">
        <v>17</v>
      </c>
      <c r="O2300" s="1">
        <f>result[[#This Row],[n_killed_mutants_cumulativa]]/result[[#This Row],[tot_mutants]]</f>
        <v>0</v>
      </c>
    </row>
    <row r="2301" spans="1:16" hidden="1" x14ac:dyDescent="0.25">
      <c r="A2301" t="s">
        <v>321</v>
      </c>
      <c r="B2301" t="s">
        <v>21</v>
      </c>
      <c r="C2301" t="s">
        <v>16</v>
      </c>
      <c r="D2301">
        <v>416</v>
      </c>
      <c r="E2301">
        <v>401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2</v>
      </c>
      <c r="M2301">
        <v>0</v>
      </c>
      <c r="N2301" t="s">
        <v>17</v>
      </c>
      <c r="O2301" s="1">
        <f>result[[#This Row],[n_killed_mutants_cumulativa]]/result[[#This Row],[tot_mutants]]</f>
        <v>0</v>
      </c>
    </row>
    <row r="2302" spans="1:16" hidden="1" x14ac:dyDescent="0.25">
      <c r="A2302" t="s">
        <v>321</v>
      </c>
      <c r="B2302" t="s">
        <v>24</v>
      </c>
      <c r="C2302" t="s">
        <v>16</v>
      </c>
      <c r="D2302">
        <v>385</v>
      </c>
      <c r="E2302">
        <v>370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2</v>
      </c>
      <c r="M2302">
        <v>0</v>
      </c>
      <c r="N2302" t="s">
        <v>17</v>
      </c>
      <c r="O2302" s="1">
        <f>result[[#This Row],[n_killed_mutants_cumulativa]]/result[[#This Row],[tot_mutants]]</f>
        <v>0</v>
      </c>
    </row>
    <row r="2303" spans="1:16" hidden="1" x14ac:dyDescent="0.25">
      <c r="A2303" t="s">
        <v>321</v>
      </c>
      <c r="B2303" t="s">
        <v>25</v>
      </c>
      <c r="C2303" t="s">
        <v>16</v>
      </c>
      <c r="D2303">
        <v>382</v>
      </c>
      <c r="E2303">
        <v>369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2</v>
      </c>
      <c r="M2303">
        <v>0</v>
      </c>
      <c r="N2303" t="s">
        <v>17</v>
      </c>
      <c r="O2303" s="1">
        <f>result[[#This Row],[n_killed_mutants_cumulativa]]/result[[#This Row],[tot_mutants]]</f>
        <v>0</v>
      </c>
    </row>
    <row r="2304" spans="1:16" hidden="1" x14ac:dyDescent="0.25">
      <c r="A2304" t="s">
        <v>321</v>
      </c>
      <c r="B2304" t="s">
        <v>26</v>
      </c>
      <c r="C2304" t="s">
        <v>16</v>
      </c>
      <c r="D2304">
        <v>383</v>
      </c>
      <c r="E2304">
        <v>370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2</v>
      </c>
      <c r="M2304">
        <v>0</v>
      </c>
      <c r="N2304" t="s">
        <v>17</v>
      </c>
      <c r="O2304" s="1">
        <f>result[[#This Row],[n_killed_mutants_cumulativa]]/result[[#This Row],[tot_mutants]]</f>
        <v>0</v>
      </c>
    </row>
    <row r="2305" spans="1:16" hidden="1" x14ac:dyDescent="0.25">
      <c r="A2305" t="s">
        <v>321</v>
      </c>
      <c r="B2305" t="s">
        <v>27</v>
      </c>
      <c r="C2305" t="s">
        <v>16</v>
      </c>
      <c r="D2305">
        <v>421</v>
      </c>
      <c r="E2305">
        <v>409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2</v>
      </c>
      <c r="M2305">
        <v>0</v>
      </c>
      <c r="N2305" t="s">
        <v>17</v>
      </c>
      <c r="O2305" s="1">
        <f>result[[#This Row],[n_killed_mutants_cumulativa]]/result[[#This Row],[tot_mutants]]</f>
        <v>0</v>
      </c>
    </row>
    <row r="2306" spans="1:16" hidden="1" x14ac:dyDescent="0.25">
      <c r="A2306" t="s">
        <v>321</v>
      </c>
      <c r="B2306" t="s">
        <v>30</v>
      </c>
      <c r="C2306" t="s">
        <v>16</v>
      </c>
      <c r="D2306">
        <v>491</v>
      </c>
      <c r="E2306">
        <v>478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2</v>
      </c>
      <c r="M2306">
        <v>0</v>
      </c>
      <c r="N2306" t="s">
        <v>17</v>
      </c>
      <c r="O2306" s="1">
        <f>result[[#This Row],[n_killed_mutants_cumulativa]]/result[[#This Row],[tot_mutants]]</f>
        <v>0</v>
      </c>
    </row>
    <row r="2307" spans="1:16" hidden="1" x14ac:dyDescent="0.25">
      <c r="A2307" t="s">
        <v>321</v>
      </c>
      <c r="B2307" t="s">
        <v>31</v>
      </c>
      <c r="C2307" t="s">
        <v>16</v>
      </c>
      <c r="D2307">
        <v>563</v>
      </c>
      <c r="E2307">
        <v>550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2</v>
      </c>
      <c r="M2307">
        <v>0</v>
      </c>
      <c r="N2307" t="s">
        <v>17</v>
      </c>
      <c r="O2307" s="1">
        <f>result[[#This Row],[n_killed_mutants_cumulativa]]/result[[#This Row],[tot_mutants]]</f>
        <v>0</v>
      </c>
    </row>
    <row r="2308" spans="1:16" hidden="1" x14ac:dyDescent="0.25">
      <c r="A2308" t="s">
        <v>321</v>
      </c>
      <c r="B2308" t="s">
        <v>36</v>
      </c>
      <c r="C2308" t="s">
        <v>16</v>
      </c>
      <c r="D2308">
        <v>697</v>
      </c>
      <c r="E2308">
        <v>685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2</v>
      </c>
      <c r="M2308">
        <v>0</v>
      </c>
      <c r="N2308" t="s">
        <v>17</v>
      </c>
      <c r="O2308" s="1">
        <f>result[[#This Row],[n_killed_mutants_cumulativa]]/result[[#This Row],[tot_mutants]]</f>
        <v>0</v>
      </c>
    </row>
    <row r="2309" spans="1:16" hidden="1" x14ac:dyDescent="0.25">
      <c r="A2309" t="s">
        <v>321</v>
      </c>
      <c r="B2309" t="s">
        <v>40</v>
      </c>
      <c r="C2309" t="s">
        <v>16</v>
      </c>
      <c r="D2309">
        <v>915</v>
      </c>
      <c r="E2309">
        <v>904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2</v>
      </c>
      <c r="M2309">
        <v>0</v>
      </c>
      <c r="N2309" t="s">
        <v>17</v>
      </c>
      <c r="O2309" s="1">
        <f>result[[#This Row],[n_killed_mutants_cumulativa]]/result[[#This Row],[tot_mutants]]</f>
        <v>0</v>
      </c>
    </row>
    <row r="2310" spans="1:16" hidden="1" x14ac:dyDescent="0.25">
      <c r="A2310" t="s">
        <v>321</v>
      </c>
      <c r="B2310" t="s">
        <v>47</v>
      </c>
      <c r="C2310" t="s">
        <v>16</v>
      </c>
      <c r="D2310">
        <v>692</v>
      </c>
      <c r="E2310">
        <v>680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2</v>
      </c>
      <c r="M2310">
        <v>0</v>
      </c>
      <c r="N2310" t="s">
        <v>17</v>
      </c>
      <c r="O2310" s="1">
        <f>result[[#This Row],[n_killed_mutants_cumulativa]]/result[[#This Row],[tot_mutants]]</f>
        <v>0</v>
      </c>
    </row>
    <row r="2311" spans="1:16" hidden="1" x14ac:dyDescent="0.25">
      <c r="A2311" t="s">
        <v>321</v>
      </c>
      <c r="B2311" t="s">
        <v>48</v>
      </c>
      <c r="C2311" t="s">
        <v>16</v>
      </c>
      <c r="D2311">
        <v>662</v>
      </c>
      <c r="E2311">
        <v>649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2</v>
      </c>
      <c r="M2311">
        <v>0</v>
      </c>
      <c r="N2311" t="s">
        <v>17</v>
      </c>
      <c r="O2311" s="1">
        <f>result[[#This Row],[n_killed_mutants_cumulativa]]/result[[#This Row],[tot_mutants]]</f>
        <v>0</v>
      </c>
    </row>
    <row r="2312" spans="1:16" hidden="1" x14ac:dyDescent="0.25">
      <c r="A2312" t="s">
        <v>321</v>
      </c>
      <c r="B2312" t="s">
        <v>49</v>
      </c>
      <c r="C2312" t="s">
        <v>16</v>
      </c>
      <c r="D2312">
        <v>881</v>
      </c>
      <c r="E2312">
        <v>867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2</v>
      </c>
      <c r="M2312">
        <v>0</v>
      </c>
      <c r="N2312" t="s">
        <v>17</v>
      </c>
      <c r="O2312" s="1">
        <f>result[[#This Row],[n_killed_mutants_cumulativa]]/result[[#This Row],[tot_mutants]]</f>
        <v>0</v>
      </c>
    </row>
    <row r="2313" spans="1:16" hidden="1" x14ac:dyDescent="0.25">
      <c r="A2313" t="s">
        <v>321</v>
      </c>
      <c r="B2313" t="s">
        <v>50</v>
      </c>
      <c r="C2313" t="s">
        <v>16</v>
      </c>
      <c r="D2313">
        <v>815</v>
      </c>
      <c r="E2313">
        <v>803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2</v>
      </c>
      <c r="M2313">
        <v>0</v>
      </c>
      <c r="N2313" t="s">
        <v>17</v>
      </c>
      <c r="O2313" s="1">
        <f>result[[#This Row],[n_killed_mutants_cumulativa]]/result[[#This Row],[tot_mutants]]</f>
        <v>0</v>
      </c>
    </row>
    <row r="2314" spans="1:16" hidden="1" x14ac:dyDescent="0.25">
      <c r="A2314" t="s">
        <v>321</v>
      </c>
      <c r="B2314" t="s">
        <v>51</v>
      </c>
      <c r="C2314" t="s">
        <v>16</v>
      </c>
      <c r="D2314">
        <v>814</v>
      </c>
      <c r="E2314">
        <v>802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2</v>
      </c>
      <c r="M2314">
        <v>0</v>
      </c>
      <c r="N2314" t="s">
        <v>17</v>
      </c>
      <c r="O2314" s="1">
        <f>result[[#This Row],[n_killed_mutants_cumulativa]]/result[[#This Row],[tot_mutants]]</f>
        <v>0</v>
      </c>
    </row>
    <row r="2315" spans="1:16" hidden="1" x14ac:dyDescent="0.25">
      <c r="A2315" t="s">
        <v>321</v>
      </c>
      <c r="B2315" t="s">
        <v>52</v>
      </c>
      <c r="C2315" t="s">
        <v>16</v>
      </c>
      <c r="D2315">
        <v>765</v>
      </c>
      <c r="E2315">
        <v>753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2</v>
      </c>
      <c r="M2315">
        <v>0</v>
      </c>
      <c r="N2315" t="s">
        <v>17</v>
      </c>
      <c r="O2315" s="1">
        <f>result[[#This Row],[n_killed_mutants_cumulativa]]/result[[#This Row],[tot_mutants]]</f>
        <v>0</v>
      </c>
    </row>
    <row r="2316" spans="1:16" hidden="1" x14ac:dyDescent="0.25">
      <c r="A2316" t="s">
        <v>321</v>
      </c>
      <c r="B2316" t="s">
        <v>53</v>
      </c>
      <c r="C2316" t="s">
        <v>16</v>
      </c>
      <c r="D2316">
        <v>1009</v>
      </c>
      <c r="E2316">
        <v>999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2</v>
      </c>
      <c r="M2316">
        <v>0</v>
      </c>
      <c r="N2316" t="s">
        <v>17</v>
      </c>
      <c r="O2316" s="1">
        <f>result[[#This Row],[n_killed_mutants_cumulativa]]/result[[#This Row],[tot_mutants]]</f>
        <v>0</v>
      </c>
    </row>
    <row r="2317" spans="1:16" hidden="1" x14ac:dyDescent="0.25">
      <c r="A2317" t="s">
        <v>321</v>
      </c>
      <c r="B2317" t="s">
        <v>22</v>
      </c>
      <c r="C2317" t="s">
        <v>16</v>
      </c>
      <c r="D2317">
        <v>13382</v>
      </c>
      <c r="E2317">
        <v>11508</v>
      </c>
      <c r="F2317">
        <v>1</v>
      </c>
      <c r="G2317">
        <v>20</v>
      </c>
      <c r="H2317">
        <v>40</v>
      </c>
      <c r="I2317">
        <v>130</v>
      </c>
      <c r="J2317">
        <v>0</v>
      </c>
      <c r="K2317">
        <v>0</v>
      </c>
      <c r="L2317">
        <v>2</v>
      </c>
      <c r="M2317">
        <v>0</v>
      </c>
      <c r="N2317" t="s">
        <v>17</v>
      </c>
      <c r="O2317" s="1">
        <f>result[[#This Row],[n_killed_mutants_cumulativa]]/result[[#This Row],[tot_mutants]]</f>
        <v>0</v>
      </c>
      <c r="P2317" s="9" t="s">
        <v>352</v>
      </c>
    </row>
    <row r="2318" spans="1:16" hidden="1" x14ac:dyDescent="0.25">
      <c r="A2318" t="s">
        <v>322</v>
      </c>
      <c r="B2318" t="s">
        <v>15</v>
      </c>
      <c r="C2318" t="s">
        <v>16</v>
      </c>
      <c r="D2318">
        <v>1603</v>
      </c>
      <c r="E2318">
        <v>257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10</v>
      </c>
      <c r="L2318">
        <v>1</v>
      </c>
      <c r="M2318">
        <v>0</v>
      </c>
      <c r="N2318" t="s">
        <v>17</v>
      </c>
      <c r="O2318" s="1">
        <f>result[[#This Row],[n_killed_mutants_cumulativa]]/result[[#This Row],[tot_mutants]]</f>
        <v>0</v>
      </c>
    </row>
    <row r="2319" spans="1:16" hidden="1" x14ac:dyDescent="0.25">
      <c r="A2319" t="s">
        <v>322</v>
      </c>
      <c r="B2319" t="s">
        <v>18</v>
      </c>
      <c r="C2319" t="s">
        <v>16</v>
      </c>
      <c r="D2319">
        <v>1231</v>
      </c>
      <c r="E2319">
        <v>385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20</v>
      </c>
      <c r="L2319">
        <v>1</v>
      </c>
      <c r="M2319">
        <v>0</v>
      </c>
      <c r="N2319" t="s">
        <v>17</v>
      </c>
      <c r="O2319" s="1">
        <f>result[[#This Row],[n_killed_mutants_cumulativa]]/result[[#This Row],[tot_mutants]]</f>
        <v>0</v>
      </c>
    </row>
    <row r="2320" spans="1:16" hidden="1" x14ac:dyDescent="0.25">
      <c r="A2320" t="s">
        <v>322</v>
      </c>
      <c r="B2320" t="s">
        <v>19</v>
      </c>
      <c r="C2320" t="s">
        <v>16</v>
      </c>
      <c r="D2320">
        <v>1495</v>
      </c>
      <c r="E2320">
        <v>514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30</v>
      </c>
      <c r="L2320">
        <v>1</v>
      </c>
      <c r="M2320">
        <v>0</v>
      </c>
      <c r="N2320" t="s">
        <v>17</v>
      </c>
      <c r="O2320" s="1">
        <f>result[[#This Row],[n_killed_mutants_cumulativa]]/result[[#This Row],[tot_mutants]]</f>
        <v>0</v>
      </c>
    </row>
    <row r="2321" spans="1:15" hidden="1" x14ac:dyDescent="0.25">
      <c r="A2321" t="s">
        <v>322</v>
      </c>
      <c r="B2321" t="s">
        <v>20</v>
      </c>
      <c r="C2321" t="s">
        <v>16</v>
      </c>
      <c r="D2321">
        <v>1853</v>
      </c>
      <c r="E2321">
        <v>726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40</v>
      </c>
      <c r="L2321">
        <v>1</v>
      </c>
      <c r="M2321">
        <v>0</v>
      </c>
      <c r="N2321" t="s">
        <v>17</v>
      </c>
      <c r="O2321" s="1">
        <f>result[[#This Row],[n_killed_mutants_cumulativa]]/result[[#This Row],[tot_mutants]]</f>
        <v>0</v>
      </c>
    </row>
    <row r="2322" spans="1:15" hidden="1" x14ac:dyDescent="0.25">
      <c r="A2322" t="s">
        <v>322</v>
      </c>
      <c r="B2322" t="s">
        <v>21</v>
      </c>
      <c r="C2322" t="s">
        <v>16</v>
      </c>
      <c r="D2322">
        <v>2025</v>
      </c>
      <c r="E2322">
        <v>791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50</v>
      </c>
      <c r="L2322">
        <v>1</v>
      </c>
      <c r="M2322">
        <v>0</v>
      </c>
      <c r="N2322" t="s">
        <v>17</v>
      </c>
      <c r="O2322" s="1">
        <f>result[[#This Row],[n_killed_mutants_cumulativa]]/result[[#This Row],[tot_mutants]]</f>
        <v>0</v>
      </c>
    </row>
    <row r="2323" spans="1:15" hidden="1" x14ac:dyDescent="0.25">
      <c r="A2323" t="s">
        <v>322</v>
      </c>
      <c r="B2323" t="s">
        <v>22</v>
      </c>
      <c r="C2323" t="s">
        <v>16</v>
      </c>
      <c r="D2323">
        <v>8207</v>
      </c>
      <c r="E2323">
        <v>2673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150</v>
      </c>
      <c r="L2323">
        <v>1</v>
      </c>
      <c r="M2323">
        <v>0</v>
      </c>
      <c r="N2323" t="s">
        <v>17</v>
      </c>
      <c r="O2323" s="1">
        <f>result[[#This Row],[n_killed_mutants_cumulativa]]/result[[#This Row],[tot_mutants]]</f>
        <v>0</v>
      </c>
    </row>
    <row r="2324" spans="1:15" hidden="1" x14ac:dyDescent="0.25">
      <c r="A2324" t="s">
        <v>323</v>
      </c>
      <c r="B2324" t="s">
        <v>15</v>
      </c>
      <c r="C2324" t="s">
        <v>16</v>
      </c>
      <c r="D2324">
        <v>3271</v>
      </c>
      <c r="E2324">
        <v>153</v>
      </c>
      <c r="F2324">
        <v>10</v>
      </c>
      <c r="G2324">
        <v>100</v>
      </c>
      <c r="H2324">
        <v>62</v>
      </c>
      <c r="I2324">
        <v>220</v>
      </c>
      <c r="J2324">
        <v>0</v>
      </c>
      <c r="K2324">
        <v>0</v>
      </c>
      <c r="L2324">
        <v>2</v>
      </c>
      <c r="M2324">
        <v>0</v>
      </c>
      <c r="N2324" t="s">
        <v>17</v>
      </c>
      <c r="O2324" s="1">
        <f>result[[#This Row],[n_killed_mutants_cumulativa]]/result[[#This Row],[tot_mutants]]</f>
        <v>0</v>
      </c>
    </row>
    <row r="2325" spans="1:15" hidden="1" x14ac:dyDescent="0.25">
      <c r="A2325" t="s">
        <v>323</v>
      </c>
      <c r="B2325" t="s">
        <v>18</v>
      </c>
      <c r="C2325" t="s">
        <v>16</v>
      </c>
      <c r="D2325">
        <v>2829</v>
      </c>
      <c r="E2325">
        <v>65</v>
      </c>
      <c r="F2325">
        <v>20</v>
      </c>
      <c r="G2325">
        <v>400</v>
      </c>
      <c r="H2325">
        <v>109</v>
      </c>
      <c r="I2325">
        <v>840</v>
      </c>
      <c r="J2325">
        <v>0</v>
      </c>
      <c r="K2325">
        <v>0</v>
      </c>
      <c r="L2325">
        <v>2</v>
      </c>
      <c r="M2325">
        <v>0</v>
      </c>
      <c r="N2325" t="s">
        <v>17</v>
      </c>
      <c r="O2325" s="1">
        <f>result[[#This Row],[n_killed_mutants_cumulativa]]/result[[#This Row],[tot_mutants]]</f>
        <v>0</v>
      </c>
    </row>
    <row r="2326" spans="1:15" hidden="1" x14ac:dyDescent="0.25">
      <c r="A2326" t="s">
        <v>323</v>
      </c>
      <c r="B2326" t="s">
        <v>19</v>
      </c>
      <c r="C2326" t="s">
        <v>16</v>
      </c>
      <c r="D2326">
        <v>3808</v>
      </c>
      <c r="E2326">
        <v>88</v>
      </c>
      <c r="F2326">
        <v>30</v>
      </c>
      <c r="G2326">
        <v>900</v>
      </c>
      <c r="H2326">
        <v>168</v>
      </c>
      <c r="I2326">
        <v>1860</v>
      </c>
      <c r="J2326">
        <v>0</v>
      </c>
      <c r="K2326">
        <v>0</v>
      </c>
      <c r="L2326">
        <v>2</v>
      </c>
      <c r="M2326">
        <v>0</v>
      </c>
      <c r="N2326" t="s">
        <v>17</v>
      </c>
      <c r="O2326" s="1">
        <f>result[[#This Row],[n_killed_mutants_cumulativa]]/result[[#This Row],[tot_mutants]]</f>
        <v>0</v>
      </c>
    </row>
    <row r="2327" spans="1:15" hidden="1" x14ac:dyDescent="0.25">
      <c r="A2327" t="s">
        <v>323</v>
      </c>
      <c r="B2327" t="s">
        <v>20</v>
      </c>
      <c r="C2327" t="s">
        <v>16</v>
      </c>
      <c r="D2327">
        <v>5081</v>
      </c>
      <c r="E2327">
        <v>77</v>
      </c>
      <c r="F2327">
        <v>40</v>
      </c>
      <c r="G2327">
        <v>1600</v>
      </c>
      <c r="H2327">
        <v>227</v>
      </c>
      <c r="I2327">
        <v>3280</v>
      </c>
      <c r="J2327">
        <v>0</v>
      </c>
      <c r="K2327">
        <v>0</v>
      </c>
      <c r="L2327">
        <v>2</v>
      </c>
      <c r="M2327">
        <v>0</v>
      </c>
      <c r="N2327" t="s">
        <v>17</v>
      </c>
      <c r="O2327" s="1">
        <f>result[[#This Row],[n_killed_mutants_cumulativa]]/result[[#This Row],[tot_mutants]]</f>
        <v>0</v>
      </c>
    </row>
    <row r="2328" spans="1:15" hidden="1" x14ac:dyDescent="0.25">
      <c r="A2328" t="s">
        <v>323</v>
      </c>
      <c r="B2328" t="s">
        <v>21</v>
      </c>
      <c r="C2328" t="s">
        <v>16</v>
      </c>
      <c r="D2328">
        <v>7112</v>
      </c>
      <c r="E2328">
        <v>83</v>
      </c>
      <c r="F2328">
        <v>50</v>
      </c>
      <c r="G2328">
        <v>2500</v>
      </c>
      <c r="H2328">
        <v>262</v>
      </c>
      <c r="I2328">
        <v>5100</v>
      </c>
      <c r="J2328">
        <v>0</v>
      </c>
      <c r="K2328">
        <v>0</v>
      </c>
      <c r="L2328">
        <v>2</v>
      </c>
      <c r="M2328">
        <v>0</v>
      </c>
      <c r="N2328" t="s">
        <v>17</v>
      </c>
      <c r="O2328" s="1">
        <f>result[[#This Row],[n_killed_mutants_cumulativa]]/result[[#This Row],[tot_mutants]]</f>
        <v>0</v>
      </c>
    </row>
    <row r="2329" spans="1:15" hidden="1" x14ac:dyDescent="0.25">
      <c r="A2329" t="s">
        <v>323</v>
      </c>
      <c r="B2329" t="s">
        <v>24</v>
      </c>
      <c r="C2329" t="s">
        <v>16</v>
      </c>
      <c r="D2329">
        <v>9445</v>
      </c>
      <c r="E2329">
        <v>137</v>
      </c>
      <c r="F2329">
        <v>60</v>
      </c>
      <c r="G2329">
        <v>3600</v>
      </c>
      <c r="H2329">
        <v>342</v>
      </c>
      <c r="I2329">
        <v>7320</v>
      </c>
      <c r="J2329">
        <v>0</v>
      </c>
      <c r="K2329">
        <v>0</v>
      </c>
      <c r="L2329">
        <v>2</v>
      </c>
      <c r="M2329">
        <v>0</v>
      </c>
      <c r="N2329" t="s">
        <v>17</v>
      </c>
      <c r="O2329" s="1">
        <f>result[[#This Row],[n_killed_mutants_cumulativa]]/result[[#This Row],[tot_mutants]]</f>
        <v>0</v>
      </c>
    </row>
    <row r="2330" spans="1:15" hidden="1" x14ac:dyDescent="0.25">
      <c r="A2330" t="s">
        <v>323</v>
      </c>
      <c r="B2330" t="s">
        <v>25</v>
      </c>
      <c r="C2330" t="s">
        <v>16</v>
      </c>
      <c r="D2330">
        <v>11707</v>
      </c>
      <c r="E2330">
        <v>122</v>
      </c>
      <c r="F2330">
        <v>70</v>
      </c>
      <c r="G2330">
        <v>4900</v>
      </c>
      <c r="H2330">
        <v>377</v>
      </c>
      <c r="I2330">
        <v>9940</v>
      </c>
      <c r="J2330">
        <v>0</v>
      </c>
      <c r="K2330">
        <v>0</v>
      </c>
      <c r="L2330">
        <v>2</v>
      </c>
      <c r="M2330">
        <v>0</v>
      </c>
      <c r="N2330" t="s">
        <v>17</v>
      </c>
      <c r="O2330" s="1">
        <f>result[[#This Row],[n_killed_mutants_cumulativa]]/result[[#This Row],[tot_mutants]]</f>
        <v>0</v>
      </c>
    </row>
    <row r="2331" spans="1:15" hidden="1" x14ac:dyDescent="0.25">
      <c r="A2331" t="s">
        <v>323</v>
      </c>
      <c r="B2331" t="s">
        <v>26</v>
      </c>
      <c r="C2331" t="s">
        <v>16</v>
      </c>
      <c r="D2331">
        <v>15465</v>
      </c>
      <c r="E2331">
        <v>145</v>
      </c>
      <c r="F2331">
        <v>80</v>
      </c>
      <c r="G2331">
        <v>6400</v>
      </c>
      <c r="H2331">
        <v>433</v>
      </c>
      <c r="I2331">
        <v>12960</v>
      </c>
      <c r="J2331">
        <v>0</v>
      </c>
      <c r="K2331">
        <v>0</v>
      </c>
      <c r="L2331">
        <v>2</v>
      </c>
      <c r="M2331">
        <v>0</v>
      </c>
      <c r="N2331" t="s">
        <v>17</v>
      </c>
      <c r="O2331" s="1">
        <f>result[[#This Row],[n_killed_mutants_cumulativa]]/result[[#This Row],[tot_mutants]]</f>
        <v>0</v>
      </c>
    </row>
    <row r="2332" spans="1:15" hidden="1" x14ac:dyDescent="0.25">
      <c r="A2332" t="s">
        <v>323</v>
      </c>
      <c r="B2332" t="s">
        <v>27</v>
      </c>
      <c r="C2332" t="s">
        <v>16</v>
      </c>
      <c r="D2332">
        <v>18335</v>
      </c>
      <c r="E2332">
        <v>174</v>
      </c>
      <c r="F2332">
        <v>90</v>
      </c>
      <c r="G2332">
        <v>8100</v>
      </c>
      <c r="H2332">
        <v>501</v>
      </c>
      <c r="I2332">
        <v>16380</v>
      </c>
      <c r="J2332">
        <v>0</v>
      </c>
      <c r="K2332">
        <v>0</v>
      </c>
      <c r="L2332">
        <v>2</v>
      </c>
      <c r="M2332">
        <v>0</v>
      </c>
      <c r="N2332" t="s">
        <v>17</v>
      </c>
      <c r="O2332" s="1">
        <f>result[[#This Row],[n_killed_mutants_cumulativa]]/result[[#This Row],[tot_mutants]]</f>
        <v>0</v>
      </c>
    </row>
    <row r="2333" spans="1:15" hidden="1" x14ac:dyDescent="0.25">
      <c r="A2333" t="s">
        <v>323</v>
      </c>
      <c r="B2333" t="s">
        <v>30</v>
      </c>
      <c r="C2333" t="s">
        <v>16</v>
      </c>
      <c r="D2333">
        <v>22566</v>
      </c>
      <c r="E2333">
        <v>198</v>
      </c>
      <c r="F2333">
        <v>100</v>
      </c>
      <c r="G2333">
        <v>10000</v>
      </c>
      <c r="H2333">
        <v>530</v>
      </c>
      <c r="I2333">
        <v>20200</v>
      </c>
      <c r="J2333">
        <v>0</v>
      </c>
      <c r="K2333">
        <v>0</v>
      </c>
      <c r="L2333">
        <v>2</v>
      </c>
      <c r="M2333">
        <v>0</v>
      </c>
      <c r="N2333" t="s">
        <v>17</v>
      </c>
      <c r="O2333" s="1">
        <f>result[[#This Row],[n_killed_mutants_cumulativa]]/result[[#This Row],[tot_mutants]]</f>
        <v>0</v>
      </c>
    </row>
    <row r="2334" spans="1:15" hidden="1" x14ac:dyDescent="0.25">
      <c r="A2334" t="s">
        <v>323</v>
      </c>
      <c r="B2334" t="s">
        <v>31</v>
      </c>
      <c r="C2334" t="s">
        <v>16</v>
      </c>
      <c r="D2334">
        <v>26397</v>
      </c>
      <c r="E2334">
        <v>238</v>
      </c>
      <c r="F2334">
        <v>110</v>
      </c>
      <c r="G2334">
        <v>12100</v>
      </c>
      <c r="H2334">
        <v>604</v>
      </c>
      <c r="I2334">
        <v>24420</v>
      </c>
      <c r="J2334">
        <v>0</v>
      </c>
      <c r="K2334">
        <v>0</v>
      </c>
      <c r="L2334">
        <v>2</v>
      </c>
      <c r="M2334">
        <v>0</v>
      </c>
      <c r="N2334" t="s">
        <v>17</v>
      </c>
      <c r="O2334" s="1">
        <f>result[[#This Row],[n_killed_mutants_cumulativa]]/result[[#This Row],[tot_mutants]]</f>
        <v>0</v>
      </c>
    </row>
    <row r="2335" spans="1:15" hidden="1" x14ac:dyDescent="0.25">
      <c r="A2335" t="s">
        <v>323</v>
      </c>
      <c r="B2335" t="s">
        <v>36</v>
      </c>
      <c r="C2335" t="s">
        <v>16</v>
      </c>
      <c r="D2335">
        <v>31662</v>
      </c>
      <c r="E2335">
        <v>274</v>
      </c>
      <c r="F2335">
        <v>120</v>
      </c>
      <c r="G2335">
        <v>14400</v>
      </c>
      <c r="H2335">
        <v>663</v>
      </c>
      <c r="I2335">
        <v>29040</v>
      </c>
      <c r="J2335">
        <v>0</v>
      </c>
      <c r="K2335">
        <v>0</v>
      </c>
      <c r="L2335">
        <v>2</v>
      </c>
      <c r="M2335">
        <v>0</v>
      </c>
      <c r="N2335" t="s">
        <v>17</v>
      </c>
      <c r="O2335" s="1">
        <f>result[[#This Row],[n_killed_mutants_cumulativa]]/result[[#This Row],[tot_mutants]]</f>
        <v>0</v>
      </c>
    </row>
    <row r="2336" spans="1:15" hidden="1" x14ac:dyDescent="0.25">
      <c r="A2336" t="s">
        <v>323</v>
      </c>
      <c r="B2336" t="s">
        <v>40</v>
      </c>
      <c r="C2336" t="s">
        <v>16</v>
      </c>
      <c r="D2336">
        <v>37442</v>
      </c>
      <c r="E2336">
        <v>292</v>
      </c>
      <c r="F2336">
        <v>130</v>
      </c>
      <c r="G2336">
        <v>16900</v>
      </c>
      <c r="H2336">
        <v>680</v>
      </c>
      <c r="I2336">
        <v>34060</v>
      </c>
      <c r="J2336">
        <v>0</v>
      </c>
      <c r="K2336">
        <v>0</v>
      </c>
      <c r="L2336">
        <v>2</v>
      </c>
      <c r="M2336">
        <v>0</v>
      </c>
      <c r="N2336" t="s">
        <v>17</v>
      </c>
      <c r="O2336" s="1">
        <f>result[[#This Row],[n_killed_mutants_cumulativa]]/result[[#This Row],[tot_mutants]]</f>
        <v>0</v>
      </c>
    </row>
    <row r="2337" spans="1:16" hidden="1" x14ac:dyDescent="0.25">
      <c r="A2337" t="s">
        <v>323</v>
      </c>
      <c r="B2337" t="s">
        <v>47</v>
      </c>
      <c r="C2337" t="s">
        <v>16</v>
      </c>
      <c r="D2337">
        <v>43594</v>
      </c>
      <c r="E2337">
        <v>367</v>
      </c>
      <c r="F2337">
        <v>140</v>
      </c>
      <c r="G2337">
        <v>19600</v>
      </c>
      <c r="H2337">
        <v>760</v>
      </c>
      <c r="I2337">
        <v>39480</v>
      </c>
      <c r="J2337">
        <v>0</v>
      </c>
      <c r="K2337">
        <v>0</v>
      </c>
      <c r="L2337">
        <v>2</v>
      </c>
      <c r="M2337">
        <v>0</v>
      </c>
      <c r="N2337" t="s">
        <v>17</v>
      </c>
      <c r="O2337" s="1">
        <f>result[[#This Row],[n_killed_mutants_cumulativa]]/result[[#This Row],[tot_mutants]]</f>
        <v>0</v>
      </c>
    </row>
    <row r="2338" spans="1:16" hidden="1" x14ac:dyDescent="0.25">
      <c r="A2338" t="s">
        <v>323</v>
      </c>
      <c r="B2338" t="s">
        <v>48</v>
      </c>
      <c r="C2338" t="s">
        <v>16</v>
      </c>
      <c r="D2338">
        <v>50341</v>
      </c>
      <c r="E2338">
        <v>368</v>
      </c>
      <c r="F2338">
        <v>150</v>
      </c>
      <c r="G2338">
        <v>22500</v>
      </c>
      <c r="H2338">
        <v>831</v>
      </c>
      <c r="I2338">
        <v>45300</v>
      </c>
      <c r="J2338">
        <v>0</v>
      </c>
      <c r="K2338">
        <v>0</v>
      </c>
      <c r="L2338">
        <v>2</v>
      </c>
      <c r="M2338">
        <v>0</v>
      </c>
      <c r="N2338" t="s">
        <v>17</v>
      </c>
      <c r="O2338" s="1">
        <f>result[[#This Row],[n_killed_mutants_cumulativa]]/result[[#This Row],[tot_mutants]]</f>
        <v>0</v>
      </c>
    </row>
    <row r="2339" spans="1:16" hidden="1" x14ac:dyDescent="0.25">
      <c r="A2339" t="s">
        <v>323</v>
      </c>
      <c r="B2339" t="s">
        <v>49</v>
      </c>
      <c r="C2339" t="s">
        <v>16</v>
      </c>
      <c r="D2339">
        <v>59606</v>
      </c>
      <c r="E2339">
        <v>412</v>
      </c>
      <c r="F2339">
        <v>160</v>
      </c>
      <c r="G2339">
        <v>25600</v>
      </c>
      <c r="H2339">
        <v>890</v>
      </c>
      <c r="I2339">
        <v>51520</v>
      </c>
      <c r="J2339">
        <v>0</v>
      </c>
      <c r="K2339">
        <v>0</v>
      </c>
      <c r="L2339">
        <v>2</v>
      </c>
      <c r="M2339">
        <v>0</v>
      </c>
      <c r="N2339" t="s">
        <v>17</v>
      </c>
      <c r="O2339" s="1">
        <f>result[[#This Row],[n_killed_mutants_cumulativa]]/result[[#This Row],[tot_mutants]]</f>
        <v>0</v>
      </c>
    </row>
    <row r="2340" spans="1:16" hidden="1" x14ac:dyDescent="0.25">
      <c r="A2340" t="s">
        <v>323</v>
      </c>
      <c r="B2340" t="s">
        <v>50</v>
      </c>
      <c r="C2340" t="s">
        <v>16</v>
      </c>
      <c r="D2340">
        <v>69317</v>
      </c>
      <c r="E2340">
        <v>449</v>
      </c>
      <c r="F2340">
        <v>170</v>
      </c>
      <c r="G2340">
        <v>28900</v>
      </c>
      <c r="H2340">
        <v>910</v>
      </c>
      <c r="I2340">
        <v>58140</v>
      </c>
      <c r="J2340">
        <v>0</v>
      </c>
      <c r="K2340">
        <v>0</v>
      </c>
      <c r="L2340">
        <v>2</v>
      </c>
      <c r="M2340">
        <v>0</v>
      </c>
      <c r="N2340" t="s">
        <v>17</v>
      </c>
      <c r="O2340" s="1">
        <f>result[[#This Row],[n_killed_mutants_cumulativa]]/result[[#This Row],[tot_mutants]]</f>
        <v>0</v>
      </c>
    </row>
    <row r="2341" spans="1:16" hidden="1" x14ac:dyDescent="0.25">
      <c r="A2341" t="s">
        <v>323</v>
      </c>
      <c r="B2341" t="s">
        <v>51</v>
      </c>
      <c r="C2341" t="s">
        <v>16</v>
      </c>
      <c r="D2341">
        <v>80541</v>
      </c>
      <c r="E2341">
        <v>499</v>
      </c>
      <c r="F2341">
        <v>180</v>
      </c>
      <c r="G2341">
        <v>32400</v>
      </c>
      <c r="H2341">
        <v>975</v>
      </c>
      <c r="I2341">
        <v>65160</v>
      </c>
      <c r="J2341">
        <v>0</v>
      </c>
      <c r="K2341">
        <v>0</v>
      </c>
      <c r="L2341">
        <v>2</v>
      </c>
      <c r="M2341">
        <v>0</v>
      </c>
      <c r="N2341" t="s">
        <v>17</v>
      </c>
      <c r="O2341" s="1">
        <f>result[[#This Row],[n_killed_mutants_cumulativa]]/result[[#This Row],[tot_mutants]]</f>
        <v>0</v>
      </c>
    </row>
    <row r="2342" spans="1:16" hidden="1" x14ac:dyDescent="0.25">
      <c r="A2342" t="s">
        <v>323</v>
      </c>
      <c r="B2342" t="s">
        <v>52</v>
      </c>
      <c r="C2342" t="s">
        <v>16</v>
      </c>
      <c r="D2342">
        <v>93486</v>
      </c>
      <c r="E2342">
        <v>594</v>
      </c>
      <c r="F2342">
        <v>190</v>
      </c>
      <c r="G2342">
        <v>36100</v>
      </c>
      <c r="H2342">
        <v>1046</v>
      </c>
      <c r="I2342">
        <v>72580</v>
      </c>
      <c r="J2342">
        <v>0</v>
      </c>
      <c r="K2342">
        <v>0</v>
      </c>
      <c r="L2342">
        <v>2</v>
      </c>
      <c r="M2342">
        <v>0</v>
      </c>
      <c r="N2342" t="s">
        <v>17</v>
      </c>
      <c r="O2342" s="1">
        <f>result[[#This Row],[n_killed_mutants_cumulativa]]/result[[#This Row],[tot_mutants]]</f>
        <v>0</v>
      </c>
    </row>
    <row r="2343" spans="1:16" hidden="1" x14ac:dyDescent="0.25">
      <c r="A2343" t="s">
        <v>323</v>
      </c>
      <c r="B2343" t="s">
        <v>53</v>
      </c>
      <c r="C2343" t="s">
        <v>16</v>
      </c>
      <c r="D2343">
        <v>105673</v>
      </c>
      <c r="E2343">
        <v>604</v>
      </c>
      <c r="F2343">
        <v>200</v>
      </c>
      <c r="G2343">
        <v>40000</v>
      </c>
      <c r="H2343">
        <v>1117</v>
      </c>
      <c r="I2343">
        <v>80400</v>
      </c>
      <c r="J2343">
        <v>0</v>
      </c>
      <c r="K2343">
        <v>0</v>
      </c>
      <c r="L2343">
        <v>2</v>
      </c>
      <c r="M2343">
        <v>0</v>
      </c>
      <c r="N2343" t="s">
        <v>17</v>
      </c>
      <c r="O2343" s="1">
        <f>result[[#This Row],[n_killed_mutants_cumulativa]]/result[[#This Row],[tot_mutants]]</f>
        <v>0</v>
      </c>
    </row>
    <row r="2344" spans="1:16" hidden="1" x14ac:dyDescent="0.25">
      <c r="A2344" t="s">
        <v>323</v>
      </c>
      <c r="B2344" t="s">
        <v>22</v>
      </c>
      <c r="C2344" t="s">
        <v>16</v>
      </c>
      <c r="D2344">
        <v>697678</v>
      </c>
      <c r="E2344">
        <v>5339</v>
      </c>
      <c r="F2344">
        <v>2100</v>
      </c>
      <c r="G2344">
        <v>287000</v>
      </c>
      <c r="H2344">
        <v>11487</v>
      </c>
      <c r="I2344">
        <v>578200</v>
      </c>
      <c r="J2344">
        <v>0</v>
      </c>
      <c r="K2344">
        <v>0</v>
      </c>
      <c r="L2344">
        <v>2</v>
      </c>
      <c r="M2344">
        <v>0</v>
      </c>
      <c r="N2344" t="s">
        <v>17</v>
      </c>
      <c r="O2344" s="1">
        <f>result[[#This Row],[n_killed_mutants_cumulativa]]/result[[#This Row],[tot_mutants]]</f>
        <v>0</v>
      </c>
      <c r="P2344" s="9" t="s">
        <v>346</v>
      </c>
    </row>
    <row r="2345" spans="1:16" hidden="1" x14ac:dyDescent="0.25">
      <c r="A2345" t="s">
        <v>324</v>
      </c>
      <c r="B2345" t="s">
        <v>22</v>
      </c>
      <c r="C2345" t="s">
        <v>99</v>
      </c>
      <c r="D2345">
        <v>0</v>
      </c>
      <c r="E2345">
        <v>164</v>
      </c>
      <c r="F2345">
        <v>10</v>
      </c>
      <c r="G2345">
        <v>100</v>
      </c>
      <c r="H2345">
        <v>100</v>
      </c>
      <c r="I2345">
        <v>140</v>
      </c>
      <c r="J2345">
        <v>0</v>
      </c>
      <c r="K2345">
        <v>0</v>
      </c>
      <c r="L2345">
        <v>7</v>
      </c>
      <c r="M2345">
        <v>0</v>
      </c>
      <c r="N2345" t="s">
        <v>17</v>
      </c>
      <c r="O2345" s="1">
        <f>result[[#This Row],[n_killed_mutants_cumulativa]]/result[[#This Row],[tot_mutants]]</f>
        <v>0</v>
      </c>
    </row>
    <row r="2346" spans="1:16" hidden="1" x14ac:dyDescent="0.25">
      <c r="A2346" t="s">
        <v>325</v>
      </c>
      <c r="B2346" t="s">
        <v>15</v>
      </c>
      <c r="C2346" t="s">
        <v>16</v>
      </c>
      <c r="D2346">
        <v>5670</v>
      </c>
      <c r="E2346">
        <v>3879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10</v>
      </c>
      <c r="L2346">
        <v>2</v>
      </c>
      <c r="M2346">
        <v>0</v>
      </c>
      <c r="N2346" t="s">
        <v>17</v>
      </c>
      <c r="O2346" s="1">
        <f>result[[#This Row],[n_killed_mutants_cumulativa]]/result[[#This Row],[tot_mutants]]</f>
        <v>0</v>
      </c>
    </row>
    <row r="2347" spans="1:16" hidden="1" x14ac:dyDescent="0.25">
      <c r="A2347" t="s">
        <v>325</v>
      </c>
      <c r="B2347" t="s">
        <v>18</v>
      </c>
      <c r="C2347" t="s">
        <v>16</v>
      </c>
      <c r="D2347">
        <v>30866</v>
      </c>
      <c r="E2347">
        <v>29575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20</v>
      </c>
      <c r="L2347">
        <v>2</v>
      </c>
      <c r="M2347">
        <v>0</v>
      </c>
      <c r="N2347" t="s">
        <v>17</v>
      </c>
      <c r="O2347" s="1">
        <f>result[[#This Row],[n_killed_mutants_cumulativa]]/result[[#This Row],[tot_mutants]]</f>
        <v>0</v>
      </c>
    </row>
    <row r="2348" spans="1:16" hidden="1" x14ac:dyDescent="0.25">
      <c r="A2348" t="s">
        <v>325</v>
      </c>
      <c r="B2348" t="s">
        <v>19</v>
      </c>
      <c r="C2348" t="s">
        <v>16</v>
      </c>
      <c r="D2348">
        <v>135266</v>
      </c>
      <c r="E2348">
        <v>133783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30</v>
      </c>
      <c r="L2348">
        <v>2</v>
      </c>
      <c r="M2348">
        <v>0</v>
      </c>
      <c r="N2348" t="s">
        <v>17</v>
      </c>
      <c r="O2348" s="1">
        <f>result[[#This Row],[n_killed_mutants_cumulativa]]/result[[#This Row],[tot_mutants]]</f>
        <v>0</v>
      </c>
    </row>
    <row r="2349" spans="1:16" hidden="1" x14ac:dyDescent="0.25">
      <c r="A2349" t="s">
        <v>325</v>
      </c>
      <c r="B2349" t="s">
        <v>20</v>
      </c>
      <c r="C2349" t="s">
        <v>16</v>
      </c>
      <c r="D2349">
        <v>402969</v>
      </c>
      <c r="E2349">
        <v>401137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40</v>
      </c>
      <c r="L2349">
        <v>2</v>
      </c>
      <c r="M2349">
        <v>0</v>
      </c>
      <c r="N2349" t="s">
        <v>17</v>
      </c>
      <c r="O2349" s="1">
        <f>result[[#This Row],[n_killed_mutants_cumulativa]]/result[[#This Row],[tot_mutants]]</f>
        <v>0</v>
      </c>
    </row>
    <row r="2350" spans="1:16" hidden="1" x14ac:dyDescent="0.25">
      <c r="A2350" t="s">
        <v>325</v>
      </c>
      <c r="B2350" t="s">
        <v>21</v>
      </c>
      <c r="C2350" t="s">
        <v>16</v>
      </c>
      <c r="D2350">
        <v>869123</v>
      </c>
      <c r="E2350">
        <v>866733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50</v>
      </c>
      <c r="L2350">
        <v>2</v>
      </c>
      <c r="M2350">
        <v>0</v>
      </c>
      <c r="N2350" t="s">
        <v>17</v>
      </c>
      <c r="O2350" s="1">
        <f>result[[#This Row],[n_killed_mutants_cumulativa]]/result[[#This Row],[tot_mutants]]</f>
        <v>0</v>
      </c>
    </row>
    <row r="2351" spans="1:16" hidden="1" x14ac:dyDescent="0.25">
      <c r="A2351" t="s">
        <v>325</v>
      </c>
      <c r="B2351" t="s">
        <v>22</v>
      </c>
      <c r="C2351" t="s">
        <v>16</v>
      </c>
      <c r="D2351">
        <v>1443894</v>
      </c>
      <c r="E2351">
        <v>1435107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150</v>
      </c>
      <c r="L2351">
        <v>2</v>
      </c>
      <c r="M2351">
        <v>0</v>
      </c>
      <c r="N2351" t="s">
        <v>17</v>
      </c>
      <c r="O2351" s="1">
        <f>result[[#This Row],[n_killed_mutants_cumulativa]]/result[[#This Row],[tot_mutants]]</f>
        <v>0</v>
      </c>
    </row>
    <row r="2352" spans="1:16" hidden="1" x14ac:dyDescent="0.25">
      <c r="A2352" t="s">
        <v>326</v>
      </c>
      <c r="B2352" t="s">
        <v>15</v>
      </c>
      <c r="C2352" t="s">
        <v>16</v>
      </c>
      <c r="D2352">
        <v>3340</v>
      </c>
      <c r="E2352">
        <v>947</v>
      </c>
      <c r="F2352">
        <v>0</v>
      </c>
      <c r="G2352">
        <v>0</v>
      </c>
      <c r="H2352">
        <v>0</v>
      </c>
      <c r="I2352">
        <v>0</v>
      </c>
      <c r="J2352">
        <v>10</v>
      </c>
      <c r="K2352">
        <v>0</v>
      </c>
      <c r="L2352">
        <v>36</v>
      </c>
      <c r="M2352">
        <v>0</v>
      </c>
      <c r="N2352" t="s">
        <v>17</v>
      </c>
      <c r="O2352" s="1">
        <f>result[[#This Row],[n_killed_mutants_cumulativa]]/result[[#This Row],[tot_mutants]]</f>
        <v>0</v>
      </c>
    </row>
    <row r="2353" spans="1:16" hidden="1" x14ac:dyDescent="0.25">
      <c r="A2353" t="s">
        <v>326</v>
      </c>
      <c r="B2353" t="s">
        <v>18</v>
      </c>
      <c r="C2353" t="s">
        <v>16</v>
      </c>
      <c r="D2353">
        <v>3418</v>
      </c>
      <c r="E2353">
        <v>1669</v>
      </c>
      <c r="F2353">
        <v>0</v>
      </c>
      <c r="G2353">
        <v>0</v>
      </c>
      <c r="H2353">
        <v>0</v>
      </c>
      <c r="I2353">
        <v>0</v>
      </c>
      <c r="J2353">
        <v>20</v>
      </c>
      <c r="K2353">
        <v>0</v>
      </c>
      <c r="L2353">
        <v>36</v>
      </c>
      <c r="M2353">
        <v>0</v>
      </c>
      <c r="N2353" t="s">
        <v>17</v>
      </c>
      <c r="O2353" s="1">
        <f>result[[#This Row],[n_killed_mutants_cumulativa]]/result[[#This Row],[tot_mutants]]</f>
        <v>0</v>
      </c>
    </row>
    <row r="2354" spans="1:16" hidden="1" x14ac:dyDescent="0.25">
      <c r="A2354" t="s">
        <v>326</v>
      </c>
      <c r="B2354" t="s">
        <v>19</v>
      </c>
      <c r="C2354" t="s">
        <v>16</v>
      </c>
      <c r="D2354">
        <v>4588</v>
      </c>
      <c r="E2354">
        <v>2231</v>
      </c>
      <c r="F2354">
        <v>0</v>
      </c>
      <c r="G2354">
        <v>0</v>
      </c>
      <c r="H2354">
        <v>0</v>
      </c>
      <c r="I2354">
        <v>0</v>
      </c>
      <c r="J2354">
        <v>30</v>
      </c>
      <c r="K2354">
        <v>0</v>
      </c>
      <c r="L2354">
        <v>36</v>
      </c>
      <c r="M2354">
        <v>0</v>
      </c>
      <c r="N2354" t="s">
        <v>17</v>
      </c>
      <c r="O2354" s="1">
        <f>result[[#This Row],[n_killed_mutants_cumulativa]]/result[[#This Row],[tot_mutants]]</f>
        <v>0</v>
      </c>
    </row>
    <row r="2355" spans="1:16" hidden="1" x14ac:dyDescent="0.25">
      <c r="A2355" t="s">
        <v>326</v>
      </c>
      <c r="B2355" t="s">
        <v>20</v>
      </c>
      <c r="C2355" t="s">
        <v>16</v>
      </c>
      <c r="D2355">
        <v>7554</v>
      </c>
      <c r="E2355">
        <v>4256</v>
      </c>
      <c r="F2355">
        <v>0</v>
      </c>
      <c r="G2355">
        <v>0</v>
      </c>
      <c r="H2355">
        <v>0</v>
      </c>
      <c r="I2355">
        <v>0</v>
      </c>
      <c r="J2355">
        <v>40</v>
      </c>
      <c r="K2355">
        <v>0</v>
      </c>
      <c r="L2355">
        <v>36</v>
      </c>
      <c r="M2355">
        <v>0</v>
      </c>
      <c r="N2355" t="s">
        <v>17</v>
      </c>
      <c r="O2355" s="1">
        <f>result[[#This Row],[n_killed_mutants_cumulativa]]/result[[#This Row],[tot_mutants]]</f>
        <v>0</v>
      </c>
    </row>
    <row r="2356" spans="1:16" hidden="1" x14ac:dyDescent="0.25">
      <c r="A2356" t="s">
        <v>326</v>
      </c>
      <c r="B2356" t="s">
        <v>21</v>
      </c>
      <c r="C2356" t="s">
        <v>16</v>
      </c>
      <c r="D2356">
        <v>10877</v>
      </c>
      <c r="E2356">
        <v>6273</v>
      </c>
      <c r="F2356">
        <v>0</v>
      </c>
      <c r="G2356">
        <v>0</v>
      </c>
      <c r="H2356">
        <v>0</v>
      </c>
      <c r="I2356">
        <v>0</v>
      </c>
      <c r="J2356">
        <v>50</v>
      </c>
      <c r="K2356">
        <v>0</v>
      </c>
      <c r="L2356">
        <v>36</v>
      </c>
      <c r="M2356">
        <v>0</v>
      </c>
      <c r="N2356" t="s">
        <v>17</v>
      </c>
      <c r="O2356" s="1">
        <f>result[[#This Row],[n_killed_mutants_cumulativa]]/result[[#This Row],[tot_mutants]]</f>
        <v>0</v>
      </c>
    </row>
    <row r="2357" spans="1:16" hidden="1" x14ac:dyDescent="0.25">
      <c r="A2357" t="s">
        <v>326</v>
      </c>
      <c r="B2357" t="s">
        <v>22</v>
      </c>
      <c r="C2357" t="s">
        <v>16</v>
      </c>
      <c r="D2357">
        <v>29777</v>
      </c>
      <c r="E2357">
        <v>15376</v>
      </c>
      <c r="F2357">
        <v>0</v>
      </c>
      <c r="G2357">
        <v>0</v>
      </c>
      <c r="H2357">
        <v>0</v>
      </c>
      <c r="I2357">
        <v>0</v>
      </c>
      <c r="J2357">
        <v>150</v>
      </c>
      <c r="K2357">
        <v>0</v>
      </c>
      <c r="L2357">
        <v>36</v>
      </c>
      <c r="M2357">
        <v>0</v>
      </c>
      <c r="N2357" t="s">
        <v>17</v>
      </c>
      <c r="O2357" s="1">
        <f>result[[#This Row],[n_killed_mutants_cumulativa]]/result[[#This Row],[tot_mutants]]</f>
        <v>0</v>
      </c>
    </row>
    <row r="2358" spans="1:16" hidden="1" x14ac:dyDescent="0.25">
      <c r="A2358" t="s">
        <v>327</v>
      </c>
      <c r="B2358" t="s">
        <v>15</v>
      </c>
      <c r="C2358" t="s">
        <v>16</v>
      </c>
      <c r="D2358">
        <v>60550</v>
      </c>
      <c r="E2358">
        <v>405</v>
      </c>
      <c r="F2358">
        <v>10</v>
      </c>
      <c r="G2358">
        <v>100</v>
      </c>
      <c r="H2358">
        <v>169</v>
      </c>
      <c r="I2358">
        <v>1072</v>
      </c>
      <c r="J2358">
        <v>0</v>
      </c>
      <c r="K2358">
        <v>0</v>
      </c>
      <c r="L2358">
        <v>67</v>
      </c>
      <c r="M2358">
        <v>3</v>
      </c>
      <c r="N2358" t="s">
        <v>328</v>
      </c>
      <c r="O2358" s="1">
        <f>result[[#This Row],[n_killed_mutants_cumulativa]]/result[[#This Row],[tot_mutants]]</f>
        <v>4.4776119402985072E-2</v>
      </c>
    </row>
    <row r="2359" spans="1:16" hidden="1" x14ac:dyDescent="0.25">
      <c r="A2359" t="s">
        <v>327</v>
      </c>
      <c r="B2359" t="s">
        <v>18</v>
      </c>
      <c r="C2359" t="s">
        <v>16</v>
      </c>
      <c r="D2359">
        <v>129435</v>
      </c>
      <c r="E2359">
        <v>363</v>
      </c>
      <c r="F2359">
        <v>20</v>
      </c>
      <c r="G2359">
        <v>400</v>
      </c>
      <c r="H2359">
        <v>779</v>
      </c>
      <c r="I2359">
        <v>3501</v>
      </c>
      <c r="J2359">
        <v>0</v>
      </c>
      <c r="K2359">
        <v>0</v>
      </c>
      <c r="L2359">
        <v>67</v>
      </c>
      <c r="M2359">
        <v>4</v>
      </c>
      <c r="N2359" t="s">
        <v>329</v>
      </c>
      <c r="O2359" s="1">
        <f>result[[#This Row],[n_killed_mutants_cumulativa]]/result[[#This Row],[tot_mutants]]</f>
        <v>5.9701492537313432E-2</v>
      </c>
    </row>
    <row r="2360" spans="1:16" hidden="1" x14ac:dyDescent="0.25">
      <c r="A2360" t="s">
        <v>327</v>
      </c>
      <c r="B2360" t="s">
        <v>19</v>
      </c>
      <c r="C2360" t="s">
        <v>16</v>
      </c>
      <c r="D2360">
        <v>230989</v>
      </c>
      <c r="E2360">
        <v>728</v>
      </c>
      <c r="F2360">
        <v>30</v>
      </c>
      <c r="G2360">
        <v>900</v>
      </c>
      <c r="H2360">
        <v>1995</v>
      </c>
      <c r="I2360">
        <v>7527</v>
      </c>
      <c r="J2360">
        <v>0</v>
      </c>
      <c r="K2360">
        <v>0</v>
      </c>
      <c r="L2360">
        <v>67</v>
      </c>
      <c r="M2360">
        <v>5</v>
      </c>
      <c r="N2360" t="s">
        <v>330</v>
      </c>
      <c r="O2360" s="1">
        <f>result[[#This Row],[n_killed_mutants_cumulativa]]/result[[#This Row],[tot_mutants]]</f>
        <v>7.4626865671641784E-2</v>
      </c>
    </row>
    <row r="2361" spans="1:16" hidden="1" x14ac:dyDescent="0.25">
      <c r="A2361" t="s">
        <v>327</v>
      </c>
      <c r="B2361" t="s">
        <v>20</v>
      </c>
      <c r="C2361" t="s">
        <v>16</v>
      </c>
      <c r="D2361">
        <v>361710</v>
      </c>
      <c r="E2361">
        <v>1270</v>
      </c>
      <c r="F2361">
        <v>40</v>
      </c>
      <c r="G2361">
        <v>1600</v>
      </c>
      <c r="H2361">
        <v>3941</v>
      </c>
      <c r="I2361">
        <v>13917</v>
      </c>
      <c r="J2361">
        <v>0</v>
      </c>
      <c r="K2361">
        <v>0</v>
      </c>
      <c r="L2361">
        <v>67</v>
      </c>
      <c r="M2361">
        <v>6</v>
      </c>
      <c r="N2361" t="s">
        <v>331</v>
      </c>
      <c r="O2361" s="1">
        <f>result[[#This Row],[n_killed_mutants_cumulativa]]/result[[#This Row],[tot_mutants]]</f>
        <v>8.9552238805970144E-2</v>
      </c>
    </row>
    <row r="2362" spans="1:16" x14ac:dyDescent="0.25">
      <c r="A2362" t="s">
        <v>327</v>
      </c>
      <c r="B2362" t="s">
        <v>22</v>
      </c>
      <c r="C2362" t="s">
        <v>16</v>
      </c>
      <c r="D2362">
        <v>782684</v>
      </c>
      <c r="E2362">
        <v>2766</v>
      </c>
      <c r="F2362">
        <v>100</v>
      </c>
      <c r="G2362">
        <v>3000</v>
      </c>
      <c r="H2362">
        <v>6884</v>
      </c>
      <c r="I2362">
        <v>26017</v>
      </c>
      <c r="J2362">
        <v>0</v>
      </c>
      <c r="K2362">
        <v>0</v>
      </c>
      <c r="L2362">
        <v>67</v>
      </c>
      <c r="M2362">
        <v>6</v>
      </c>
      <c r="N2362" t="s">
        <v>331</v>
      </c>
      <c r="O2362" s="1">
        <f>result[[#This Row],[n_killed_mutants_cumulativa]]/result[[#This Row],[tot_mutants]]</f>
        <v>8.9552238805970144E-2</v>
      </c>
      <c r="P2362" s="9" t="s">
        <v>361</v>
      </c>
    </row>
    <row r="2363" spans="1:16" hidden="1" x14ac:dyDescent="0.25">
      <c r="A2363" t="s">
        <v>332</v>
      </c>
      <c r="B2363" t="s">
        <v>15</v>
      </c>
      <c r="C2363" t="s">
        <v>16</v>
      </c>
      <c r="D2363">
        <v>3132</v>
      </c>
      <c r="E2363">
        <v>1022</v>
      </c>
      <c r="F2363">
        <v>0</v>
      </c>
      <c r="G2363">
        <v>0</v>
      </c>
      <c r="H2363">
        <v>0</v>
      </c>
      <c r="I2363">
        <v>0</v>
      </c>
      <c r="J2363">
        <v>7</v>
      </c>
      <c r="K2363">
        <v>0</v>
      </c>
      <c r="L2363">
        <v>45</v>
      </c>
      <c r="M2363">
        <v>0</v>
      </c>
      <c r="N2363" t="s">
        <v>17</v>
      </c>
      <c r="O2363" s="1">
        <f>result[[#This Row],[n_killed_mutants_cumulativa]]/result[[#This Row],[tot_mutants]]</f>
        <v>0</v>
      </c>
    </row>
    <row r="2364" spans="1:16" hidden="1" x14ac:dyDescent="0.25">
      <c r="A2364" t="s">
        <v>332</v>
      </c>
      <c r="B2364" t="s">
        <v>18</v>
      </c>
      <c r="C2364" t="s">
        <v>16</v>
      </c>
      <c r="D2364">
        <v>3196</v>
      </c>
      <c r="E2364">
        <v>1747</v>
      </c>
      <c r="F2364">
        <v>0</v>
      </c>
      <c r="G2364">
        <v>0</v>
      </c>
      <c r="H2364">
        <v>0</v>
      </c>
      <c r="I2364">
        <v>0</v>
      </c>
      <c r="J2364">
        <v>16</v>
      </c>
      <c r="K2364">
        <v>0</v>
      </c>
      <c r="L2364">
        <v>45</v>
      </c>
      <c r="M2364">
        <v>0</v>
      </c>
      <c r="N2364" t="s">
        <v>17</v>
      </c>
      <c r="O2364" s="1">
        <f>result[[#This Row],[n_killed_mutants_cumulativa]]/result[[#This Row],[tot_mutants]]</f>
        <v>0</v>
      </c>
    </row>
    <row r="2365" spans="1:16" hidden="1" x14ac:dyDescent="0.25">
      <c r="A2365" t="s">
        <v>332</v>
      </c>
      <c r="B2365" t="s">
        <v>19</v>
      </c>
      <c r="C2365" t="s">
        <v>16</v>
      </c>
      <c r="D2365">
        <v>3777</v>
      </c>
      <c r="E2365">
        <v>2191</v>
      </c>
      <c r="F2365">
        <v>0</v>
      </c>
      <c r="G2365">
        <v>0</v>
      </c>
      <c r="H2365">
        <v>0</v>
      </c>
      <c r="I2365">
        <v>0</v>
      </c>
      <c r="J2365">
        <v>19</v>
      </c>
      <c r="K2365">
        <v>0</v>
      </c>
      <c r="L2365">
        <v>45</v>
      </c>
      <c r="M2365">
        <v>0</v>
      </c>
      <c r="N2365" t="s">
        <v>17</v>
      </c>
      <c r="O2365" s="1">
        <f>result[[#This Row],[n_killed_mutants_cumulativa]]/result[[#This Row],[tot_mutants]]</f>
        <v>0</v>
      </c>
    </row>
    <row r="2366" spans="1:16" hidden="1" x14ac:dyDescent="0.25">
      <c r="A2366" t="s">
        <v>332</v>
      </c>
      <c r="B2366" t="s">
        <v>20</v>
      </c>
      <c r="C2366" t="s">
        <v>16</v>
      </c>
      <c r="D2366">
        <v>6722</v>
      </c>
      <c r="E2366">
        <v>4360</v>
      </c>
      <c r="F2366">
        <v>0</v>
      </c>
      <c r="G2366">
        <v>0</v>
      </c>
      <c r="H2366">
        <v>0</v>
      </c>
      <c r="I2366">
        <v>0</v>
      </c>
      <c r="J2366">
        <v>30</v>
      </c>
      <c r="K2366">
        <v>0</v>
      </c>
      <c r="L2366">
        <v>45</v>
      </c>
      <c r="M2366">
        <v>0</v>
      </c>
      <c r="N2366" t="s">
        <v>17</v>
      </c>
      <c r="O2366" s="1">
        <f>result[[#This Row],[n_killed_mutants_cumulativa]]/result[[#This Row],[tot_mutants]]</f>
        <v>0</v>
      </c>
    </row>
    <row r="2367" spans="1:16" hidden="1" x14ac:dyDescent="0.25">
      <c r="A2367" t="s">
        <v>332</v>
      </c>
      <c r="B2367" t="s">
        <v>21</v>
      </c>
      <c r="C2367" t="s">
        <v>16</v>
      </c>
      <c r="D2367">
        <v>9300</v>
      </c>
      <c r="E2367">
        <v>6622</v>
      </c>
      <c r="F2367">
        <v>0</v>
      </c>
      <c r="G2367">
        <v>0</v>
      </c>
      <c r="H2367">
        <v>0</v>
      </c>
      <c r="I2367">
        <v>0</v>
      </c>
      <c r="J2367">
        <v>36</v>
      </c>
      <c r="K2367">
        <v>0</v>
      </c>
      <c r="L2367">
        <v>45</v>
      </c>
      <c r="M2367">
        <v>0</v>
      </c>
      <c r="N2367" t="s">
        <v>17</v>
      </c>
      <c r="O2367" s="1">
        <f>result[[#This Row],[n_killed_mutants_cumulativa]]/result[[#This Row],[tot_mutants]]</f>
        <v>0</v>
      </c>
    </row>
    <row r="2368" spans="1:16" hidden="1" x14ac:dyDescent="0.25">
      <c r="A2368" t="s">
        <v>332</v>
      </c>
      <c r="B2368" t="s">
        <v>22</v>
      </c>
      <c r="C2368" t="s">
        <v>16</v>
      </c>
      <c r="D2368">
        <v>26127</v>
      </c>
      <c r="E2368">
        <v>15942</v>
      </c>
      <c r="F2368">
        <v>0</v>
      </c>
      <c r="G2368">
        <v>0</v>
      </c>
      <c r="H2368">
        <v>0</v>
      </c>
      <c r="I2368">
        <v>0</v>
      </c>
      <c r="J2368">
        <v>108</v>
      </c>
      <c r="K2368">
        <v>0</v>
      </c>
      <c r="L2368">
        <v>45</v>
      </c>
      <c r="M2368">
        <v>0</v>
      </c>
      <c r="N2368" t="s">
        <v>17</v>
      </c>
      <c r="O2368" s="1">
        <f>result[[#This Row],[n_killed_mutants_cumulativa]]/result[[#This Row],[tot_mutants]]</f>
        <v>0</v>
      </c>
    </row>
    <row r="2369" spans="1:17" hidden="1" x14ac:dyDescent="0.25">
      <c r="A2369" t="s">
        <v>333</v>
      </c>
      <c r="B2369" t="s">
        <v>15</v>
      </c>
      <c r="C2369" t="s">
        <v>16</v>
      </c>
      <c r="D2369">
        <v>5279</v>
      </c>
      <c r="E2369">
        <v>894</v>
      </c>
      <c r="F2369">
        <v>10</v>
      </c>
      <c r="G2369">
        <v>100</v>
      </c>
      <c r="H2369">
        <v>200</v>
      </c>
      <c r="I2369">
        <v>503</v>
      </c>
      <c r="J2369">
        <v>0</v>
      </c>
      <c r="K2369">
        <v>0</v>
      </c>
      <c r="L2369">
        <v>1</v>
      </c>
      <c r="M2369">
        <v>0</v>
      </c>
      <c r="N2369" t="s">
        <v>17</v>
      </c>
      <c r="O2369" s="1">
        <f>result[[#This Row],[n_killed_mutants_cumulativa]]/result[[#This Row],[tot_mutants]]</f>
        <v>0</v>
      </c>
    </row>
    <row r="2370" spans="1:17" hidden="1" x14ac:dyDescent="0.25">
      <c r="A2370" t="s">
        <v>333</v>
      </c>
      <c r="B2370" t="s">
        <v>18</v>
      </c>
      <c r="C2370" t="s">
        <v>16</v>
      </c>
      <c r="D2370">
        <v>6732</v>
      </c>
      <c r="E2370">
        <v>637</v>
      </c>
      <c r="F2370">
        <v>20</v>
      </c>
      <c r="G2370">
        <v>400</v>
      </c>
      <c r="H2370">
        <v>800</v>
      </c>
      <c r="I2370">
        <v>1384</v>
      </c>
      <c r="J2370">
        <v>0</v>
      </c>
      <c r="K2370">
        <v>0</v>
      </c>
      <c r="L2370">
        <v>1</v>
      </c>
      <c r="M2370">
        <v>0</v>
      </c>
      <c r="N2370" t="s">
        <v>17</v>
      </c>
      <c r="O2370" s="1">
        <f>result[[#This Row],[n_killed_mutants_cumulativa]]/result[[#This Row],[tot_mutants]]</f>
        <v>0</v>
      </c>
    </row>
    <row r="2371" spans="1:17" hidden="1" x14ac:dyDescent="0.25">
      <c r="A2371" t="s">
        <v>333</v>
      </c>
      <c r="B2371" t="s">
        <v>19</v>
      </c>
      <c r="C2371" t="s">
        <v>16</v>
      </c>
      <c r="D2371">
        <v>11546</v>
      </c>
      <c r="E2371">
        <v>1248</v>
      </c>
      <c r="F2371">
        <v>30</v>
      </c>
      <c r="G2371">
        <v>900</v>
      </c>
      <c r="H2371">
        <v>1800</v>
      </c>
      <c r="I2371">
        <v>2296</v>
      </c>
      <c r="J2371">
        <v>0</v>
      </c>
      <c r="K2371">
        <v>0</v>
      </c>
      <c r="L2371">
        <v>1</v>
      </c>
      <c r="M2371">
        <v>0</v>
      </c>
      <c r="N2371" t="s">
        <v>17</v>
      </c>
      <c r="O2371" s="1">
        <f>result[[#This Row],[n_killed_mutants_cumulativa]]/result[[#This Row],[tot_mutants]]</f>
        <v>0</v>
      </c>
    </row>
    <row r="2372" spans="1:17" hidden="1" x14ac:dyDescent="0.25">
      <c r="A2372" t="s">
        <v>333</v>
      </c>
      <c r="B2372" t="s">
        <v>20</v>
      </c>
      <c r="C2372" t="s">
        <v>16</v>
      </c>
      <c r="D2372">
        <v>18118</v>
      </c>
      <c r="E2372">
        <v>1943</v>
      </c>
      <c r="F2372">
        <v>40</v>
      </c>
      <c r="G2372">
        <v>1600</v>
      </c>
      <c r="H2372">
        <v>3200</v>
      </c>
      <c r="I2372">
        <v>3656</v>
      </c>
      <c r="J2372">
        <v>0</v>
      </c>
      <c r="K2372">
        <v>0</v>
      </c>
      <c r="L2372">
        <v>1</v>
      </c>
      <c r="M2372">
        <v>0</v>
      </c>
      <c r="N2372" t="s">
        <v>17</v>
      </c>
      <c r="O2372" s="1">
        <f>result[[#This Row],[n_killed_mutants_cumulativa]]/result[[#This Row],[tot_mutants]]</f>
        <v>0</v>
      </c>
    </row>
    <row r="2373" spans="1:17" hidden="1" x14ac:dyDescent="0.25">
      <c r="A2373" t="s">
        <v>333</v>
      </c>
      <c r="B2373" t="s">
        <v>21</v>
      </c>
      <c r="C2373" t="s">
        <v>16</v>
      </c>
      <c r="D2373">
        <v>26056</v>
      </c>
      <c r="E2373">
        <v>2835</v>
      </c>
      <c r="F2373">
        <v>50</v>
      </c>
      <c r="G2373">
        <v>2500</v>
      </c>
      <c r="H2373">
        <v>5000</v>
      </c>
      <c r="I2373">
        <v>5437</v>
      </c>
      <c r="J2373">
        <v>0</v>
      </c>
      <c r="K2373">
        <v>0</v>
      </c>
      <c r="L2373">
        <v>1</v>
      </c>
      <c r="M2373">
        <v>0</v>
      </c>
      <c r="N2373" t="s">
        <v>17</v>
      </c>
      <c r="O2373" s="1">
        <f>result[[#This Row],[n_killed_mutants_cumulativa]]/result[[#This Row],[tot_mutants]]</f>
        <v>0</v>
      </c>
    </row>
    <row r="2374" spans="1:17" hidden="1" x14ac:dyDescent="0.25">
      <c r="A2374" t="s">
        <v>333</v>
      </c>
      <c r="B2374" t="s">
        <v>24</v>
      </c>
      <c r="C2374" t="s">
        <v>16</v>
      </c>
      <c r="D2374">
        <v>35299</v>
      </c>
      <c r="E2374">
        <v>3747</v>
      </c>
      <c r="F2374">
        <v>60</v>
      </c>
      <c r="G2374">
        <v>3600</v>
      </c>
      <c r="H2374">
        <v>7200</v>
      </c>
      <c r="I2374">
        <v>7142</v>
      </c>
      <c r="J2374">
        <v>0</v>
      </c>
      <c r="K2374">
        <v>0</v>
      </c>
      <c r="L2374">
        <v>1</v>
      </c>
      <c r="M2374">
        <v>0</v>
      </c>
      <c r="N2374" t="s">
        <v>17</v>
      </c>
      <c r="O2374" s="1">
        <f>result[[#This Row],[n_killed_mutants_cumulativa]]/result[[#This Row],[tot_mutants]]</f>
        <v>0</v>
      </c>
    </row>
    <row r="2375" spans="1:17" hidden="1" x14ac:dyDescent="0.25">
      <c r="A2375" t="s">
        <v>333</v>
      </c>
      <c r="B2375" t="s">
        <v>25</v>
      </c>
      <c r="C2375" t="s">
        <v>16</v>
      </c>
      <c r="D2375">
        <v>46451</v>
      </c>
      <c r="E2375">
        <v>5106</v>
      </c>
      <c r="F2375">
        <v>70</v>
      </c>
      <c r="G2375">
        <v>4900</v>
      </c>
      <c r="H2375">
        <v>9800</v>
      </c>
      <c r="I2375">
        <v>9025</v>
      </c>
      <c r="J2375">
        <v>0</v>
      </c>
      <c r="K2375">
        <v>0</v>
      </c>
      <c r="L2375">
        <v>1</v>
      </c>
      <c r="M2375">
        <v>0</v>
      </c>
      <c r="N2375" t="s">
        <v>17</v>
      </c>
      <c r="O2375" s="1">
        <f>result[[#This Row],[n_killed_mutants_cumulativa]]/result[[#This Row],[tot_mutants]]</f>
        <v>0</v>
      </c>
    </row>
    <row r="2376" spans="1:17" hidden="1" x14ac:dyDescent="0.25">
      <c r="A2376" t="s">
        <v>333</v>
      </c>
      <c r="B2376" t="s">
        <v>26</v>
      </c>
      <c r="C2376" t="s">
        <v>16</v>
      </c>
      <c r="D2376">
        <v>59191</v>
      </c>
      <c r="E2376">
        <v>6448</v>
      </c>
      <c r="F2376">
        <v>80</v>
      </c>
      <c r="G2376">
        <v>6400</v>
      </c>
      <c r="H2376">
        <v>12800</v>
      </c>
      <c r="I2376">
        <v>11530</v>
      </c>
      <c r="J2376">
        <v>0</v>
      </c>
      <c r="K2376">
        <v>0</v>
      </c>
      <c r="L2376">
        <v>1</v>
      </c>
      <c r="M2376">
        <v>0</v>
      </c>
      <c r="N2376" t="s">
        <v>17</v>
      </c>
      <c r="O2376" s="1">
        <f>result[[#This Row],[n_killed_mutants_cumulativa]]/result[[#This Row],[tot_mutants]]</f>
        <v>0</v>
      </c>
    </row>
    <row r="2377" spans="1:17" hidden="1" x14ac:dyDescent="0.25">
      <c r="A2377" t="s">
        <v>333</v>
      </c>
      <c r="B2377" t="s">
        <v>27</v>
      </c>
      <c r="C2377" t="s">
        <v>16</v>
      </c>
      <c r="D2377">
        <v>72778</v>
      </c>
      <c r="E2377">
        <v>8170</v>
      </c>
      <c r="F2377">
        <v>90</v>
      </c>
      <c r="G2377">
        <v>8100</v>
      </c>
      <c r="H2377">
        <v>16200</v>
      </c>
      <c r="I2377">
        <v>14030</v>
      </c>
      <c r="J2377">
        <v>0</v>
      </c>
      <c r="K2377">
        <v>0</v>
      </c>
      <c r="L2377">
        <v>1</v>
      </c>
      <c r="M2377">
        <v>0</v>
      </c>
      <c r="N2377" t="s">
        <v>17</v>
      </c>
      <c r="O2377" s="1">
        <f>result[[#This Row],[n_killed_mutants_cumulativa]]/result[[#This Row],[tot_mutants]]</f>
        <v>0</v>
      </c>
    </row>
    <row r="2378" spans="1:17" hidden="1" x14ac:dyDescent="0.25">
      <c r="A2378" t="s">
        <v>333</v>
      </c>
      <c r="B2378" t="s">
        <v>30</v>
      </c>
      <c r="C2378" t="s">
        <v>16</v>
      </c>
      <c r="D2378">
        <v>88735</v>
      </c>
      <c r="E2378">
        <v>9884</v>
      </c>
      <c r="F2378">
        <v>100</v>
      </c>
      <c r="G2378">
        <v>10000</v>
      </c>
      <c r="H2378">
        <v>20000</v>
      </c>
      <c r="I2378">
        <v>16456</v>
      </c>
      <c r="J2378">
        <v>0</v>
      </c>
      <c r="K2378">
        <v>0</v>
      </c>
      <c r="L2378">
        <v>1</v>
      </c>
      <c r="M2378">
        <v>0</v>
      </c>
      <c r="N2378" t="s">
        <v>17</v>
      </c>
      <c r="O2378" s="1">
        <f>result[[#This Row],[n_killed_mutants_cumulativa]]/result[[#This Row],[tot_mutants]]</f>
        <v>0</v>
      </c>
    </row>
    <row r="2379" spans="1:17" hidden="1" x14ac:dyDescent="0.25">
      <c r="A2379" t="s">
        <v>333</v>
      </c>
      <c r="B2379" t="s">
        <v>31</v>
      </c>
      <c r="C2379" t="s">
        <v>16</v>
      </c>
      <c r="D2379">
        <v>105327</v>
      </c>
      <c r="E2379">
        <v>11975</v>
      </c>
      <c r="F2379">
        <v>110</v>
      </c>
      <c r="G2379">
        <v>12100</v>
      </c>
      <c r="H2379">
        <v>24200</v>
      </c>
      <c r="I2379">
        <v>19752</v>
      </c>
      <c r="J2379">
        <v>0</v>
      </c>
      <c r="K2379">
        <v>0</v>
      </c>
      <c r="L2379">
        <v>1</v>
      </c>
      <c r="M2379">
        <v>0</v>
      </c>
      <c r="N2379" t="s">
        <v>17</v>
      </c>
      <c r="O2379" s="1">
        <f>result[[#This Row],[n_killed_mutants_cumulativa]]/result[[#This Row],[tot_mutants]]</f>
        <v>0</v>
      </c>
    </row>
    <row r="2380" spans="1:17" hidden="1" x14ac:dyDescent="0.25">
      <c r="A2380" t="s">
        <v>333</v>
      </c>
      <c r="B2380" t="s">
        <v>36</v>
      </c>
      <c r="C2380" t="s">
        <v>16</v>
      </c>
      <c r="D2380">
        <v>123711</v>
      </c>
      <c r="E2380">
        <v>14237</v>
      </c>
      <c r="F2380">
        <v>120</v>
      </c>
      <c r="G2380">
        <v>14400</v>
      </c>
      <c r="H2380">
        <v>28800</v>
      </c>
      <c r="I2380">
        <v>22495</v>
      </c>
      <c r="J2380">
        <v>0</v>
      </c>
      <c r="K2380">
        <v>0</v>
      </c>
      <c r="L2380">
        <v>1</v>
      </c>
      <c r="M2380">
        <v>0</v>
      </c>
      <c r="N2380" t="s">
        <v>17</v>
      </c>
      <c r="O2380" s="1">
        <f>result[[#This Row],[n_killed_mutants_cumulativa]]/result[[#This Row],[tot_mutants]]</f>
        <v>0</v>
      </c>
    </row>
    <row r="2381" spans="1:17" hidden="1" x14ac:dyDescent="0.25">
      <c r="A2381" t="s">
        <v>333</v>
      </c>
      <c r="B2381" t="s">
        <v>40</v>
      </c>
      <c r="C2381" t="s">
        <v>16</v>
      </c>
      <c r="D2381">
        <v>144579</v>
      </c>
      <c r="E2381">
        <v>16401</v>
      </c>
      <c r="F2381">
        <v>130</v>
      </c>
      <c r="G2381">
        <v>16900</v>
      </c>
      <c r="H2381">
        <v>33800</v>
      </c>
      <c r="I2381">
        <v>26078</v>
      </c>
      <c r="J2381">
        <v>0</v>
      </c>
      <c r="K2381">
        <v>0</v>
      </c>
      <c r="L2381">
        <v>1</v>
      </c>
      <c r="M2381">
        <v>0</v>
      </c>
      <c r="N2381" t="s">
        <v>17</v>
      </c>
      <c r="O2381" s="1">
        <f>result[[#This Row],[n_killed_mutants_cumulativa]]/result[[#This Row],[tot_mutants]]</f>
        <v>0</v>
      </c>
    </row>
    <row r="2382" spans="1:17" hidden="1" x14ac:dyDescent="0.25">
      <c r="A2382" t="s">
        <v>333</v>
      </c>
      <c r="B2382" t="s">
        <v>22</v>
      </c>
      <c r="C2382" t="s">
        <v>16</v>
      </c>
      <c r="D2382">
        <v>743802</v>
      </c>
      <c r="E2382">
        <v>83525</v>
      </c>
      <c r="F2382">
        <v>910</v>
      </c>
      <c r="G2382">
        <v>81900</v>
      </c>
      <c r="H2382">
        <v>163800</v>
      </c>
      <c r="I2382">
        <v>139784</v>
      </c>
      <c r="J2382">
        <v>0</v>
      </c>
      <c r="K2382">
        <v>0</v>
      </c>
      <c r="L2382">
        <v>1</v>
      </c>
      <c r="M2382">
        <v>0</v>
      </c>
      <c r="N2382" t="s">
        <v>17</v>
      </c>
      <c r="O2382" s="1">
        <f>result[[#This Row],[n_killed_mutants_cumulativa]]/result[[#This Row],[tot_mutants]]</f>
        <v>0</v>
      </c>
      <c r="P2382" s="9" t="s">
        <v>346</v>
      </c>
    </row>
    <row r="2384" spans="1:17" x14ac:dyDescent="0.25">
      <c r="L2384" s="8" t="s">
        <v>347</v>
      </c>
      <c r="M2384" s="8" t="s">
        <v>348</v>
      </c>
      <c r="P2384" s="12" t="s">
        <v>369</v>
      </c>
      <c r="Q2384">
        <f>COUNTIFS(M:M,"=0",B:B,"ALL",F:F,"&gt;0",C:C,"=OK")</f>
        <v>68</v>
      </c>
    </row>
    <row r="2385" spans="5:17" x14ac:dyDescent="0.25">
      <c r="L2385" s="8">
        <f>SUMIFS(L:L, B:B, "ALL", C:C, "OK", F:F, "&gt;0")</f>
        <v>1459</v>
      </c>
      <c r="M2385" s="8">
        <f>SUMIFS(M:M, B:B, "ALL", C:C, "OK", F:F, "&gt;0")</f>
        <v>110</v>
      </c>
      <c r="P2385" s="2" t="s">
        <v>367</v>
      </c>
      <c r="Q2385">
        <f>COUNTIFS(O:O,"=0",B:B,"ALL",F:F,"&gt;0",C:C,"=OK",P:P,"*Equivalent*",P:P,"&lt;&gt;*Not equivalent*")</f>
        <v>62</v>
      </c>
    </row>
    <row r="2386" spans="5:17" x14ac:dyDescent="0.25">
      <c r="E2386" s="2" t="s">
        <v>342</v>
      </c>
      <c r="F2386" s="3">
        <f>COUNTIFS(B:B,"ALL")</f>
        <v>246</v>
      </c>
      <c r="P2386" s="2" t="s">
        <v>366</v>
      </c>
      <c r="Q2386">
        <f>COUNTIFS(O:O,"=0",B:B,"ALL",F:F,"&gt;0",C:C,"=OK",P:P,"*Not equivalent*")</f>
        <v>6</v>
      </c>
    </row>
    <row r="2387" spans="5:17" x14ac:dyDescent="0.25">
      <c r="E2387" s="4" t="s">
        <v>340</v>
      </c>
      <c r="F2387" s="5">
        <f>COUNTIFS(F:F,"&gt;0",B:B,"ALL",C:C,"=OK")</f>
        <v>131</v>
      </c>
      <c r="K2387" s="6"/>
      <c r="L2387" s="4" t="s">
        <v>336</v>
      </c>
      <c r="M2387" s="5">
        <f>COUNTIFS(M:M,"&gt;1",B:B,"ALL",F:F,"&gt;0",C:C,"=OK")</f>
        <v>13</v>
      </c>
      <c r="N2387" s="2" t="s">
        <v>339</v>
      </c>
      <c r="O2387" s="3">
        <f>COUNTIFS(O:O,"=1",B:B,"ALL",F:F,"&gt;0",C:C,"=OK")</f>
        <v>14</v>
      </c>
      <c r="P2387" s="2" t="s">
        <v>368</v>
      </c>
      <c r="Q2387">
        <f>COUNTIFS(O:O,"=0",B:B,"ALL",F:F,"&gt;0",C:C,"=OK",P:P,"*Order matter*")</f>
        <v>6</v>
      </c>
    </row>
    <row r="2388" spans="5:17" x14ac:dyDescent="0.25">
      <c r="E2388" s="2" t="s">
        <v>341</v>
      </c>
      <c r="F2388" s="3">
        <f>COUNTIFS(F:F,"=0",B:B,"=ALL",C:C,"=OK")</f>
        <v>110</v>
      </c>
      <c r="K2388" s="6"/>
      <c r="L2388" s="4" t="s">
        <v>337</v>
      </c>
      <c r="M2388" s="5">
        <f>COUNTIFS(M:M,"=1",B:B,"ALL",F:F,"&gt;0",C:C,"=OK")</f>
        <v>50</v>
      </c>
      <c r="N2388" s="2" t="s">
        <v>343</v>
      </c>
      <c r="O2388" s="3">
        <f>COUNTIFS(O:O,"=1",B:B,"ALL",F:F,"&gt;0",L:L,"&gt;1",C:C,"=OK")</f>
        <v>1</v>
      </c>
    </row>
    <row r="2389" spans="5:17" x14ac:dyDescent="0.25">
      <c r="E2389" s="2" t="s">
        <v>335</v>
      </c>
      <c r="F2389" s="3">
        <f>COUNTIFS(F:F,"&gt;0",B:B,"=ALL",C:C,"=MUTATION_ERROR")</f>
        <v>5</v>
      </c>
      <c r="K2389" s="6"/>
      <c r="L2389" s="4" t="s">
        <v>338</v>
      </c>
      <c r="M2389" s="5">
        <f>COUNTIFS(M:M,"=0",B:B,"ALL",F:F,"&gt;0",C:C,"=OK")</f>
        <v>68</v>
      </c>
      <c r="N2389" s="2" t="s">
        <v>344</v>
      </c>
      <c r="O2389" s="3">
        <f>COUNTIFS(O:O,"=1",B:B,"ALL",F:F,"&gt;0",L:L,"=1",C:C,"=OK")</f>
        <v>13</v>
      </c>
      <c r="P2389" s="12" t="s">
        <v>370</v>
      </c>
      <c r="Q2389">
        <f>COUNTIFS(M:M,"&gt;=1",B:B,"ALL",F:F,"&gt;0",C:C,"=OK")</f>
        <v>63</v>
      </c>
    </row>
    <row r="2390" spans="5:17" x14ac:dyDescent="0.25">
      <c r="P2390" s="2" t="s">
        <v>371</v>
      </c>
      <c r="Q2390">
        <f>COUNTIFS(O:O,"&gt;0",B:B,"ALL",F:F,"&gt;0",C:C,"=OK",P:P,"*Use of functions after update*",P:P,"&lt;&gt;*CSM*")</f>
        <v>24</v>
      </c>
    </row>
    <row r="2391" spans="5:17" x14ac:dyDescent="0.25">
      <c r="P2391" s="2" t="s">
        <v>372</v>
      </c>
      <c r="Q2391">
        <f>COUNTIFS(O:O,"&gt;0",B:B,"ALL",F:F,"&gt;0",C:C,"=OK",P:P,"*Use of functions after update*",P:P,"*CSM*")</f>
        <v>37</v>
      </c>
    </row>
    <row r="2392" spans="5:17" x14ac:dyDescent="0.25">
      <c r="P2392" s="2" t="s">
        <v>373</v>
      </c>
      <c r="Q2392">
        <f>COUNTIFS(O:O,"&gt;0",B:B,"ALL",F:F,"&gt;0",C:C,"=OK",P:P,"*Maybe missing some kills*")</f>
        <v>10</v>
      </c>
    </row>
    <row r="2393" spans="5:17" x14ac:dyDescent="0.25">
      <c r="P2393" s="2" t="s">
        <v>376</v>
      </c>
      <c r="Q2393">
        <f>COUNTIFS(O:O,"&gt;0",B:B,"ALL",F:F,"&gt;0",C:C,"=OK",P:P,"*On not killed, order matter*")</f>
        <v>6</v>
      </c>
    </row>
    <row r="2394" spans="5:17" x14ac:dyDescent="0.25">
      <c r="P2394" s="2" t="s">
        <v>377</v>
      </c>
      <c r="Q2394">
        <f>COUNTIFS(O:O,"&gt;0",B:B,"ALL",F:F,"&gt;0",C:C,"=OK",P:P,"*. Order matter*")</f>
        <v>1</v>
      </c>
    </row>
    <row r="2395" spans="5:17" x14ac:dyDescent="0.25">
      <c r="P2395" s="2" t="s">
        <v>378</v>
      </c>
      <c r="Q2395" s="13">
        <f>COUNTIFS(O:O,"&gt;0",B:B,"ALL",F:F,"&gt;0",C:C,"=OK",P:P,"*agents*") + COUNTIFS(O:O,"&gt;0",B:B,"ALL",F:F,"&gt;0",C:C,"=OK",P:P,"*turbo rules*")</f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B4E5F1-6CEF-46FC-B6B1-93BB43B4D5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Pellegrinelli</dc:creator>
  <cp:lastModifiedBy>Nico Pellegrinelli</cp:lastModifiedBy>
  <dcterms:created xsi:type="dcterms:W3CDTF">2015-06-05T18:19:34Z</dcterms:created>
  <dcterms:modified xsi:type="dcterms:W3CDTF">2025-11-27T07:27:28Z</dcterms:modified>
</cp:coreProperties>
</file>