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p\Desktop\RepoLocaliGit\asmeta\code\experimental\asmeta.evotest\asmeta.evotest.experiments\data\icst-26-exp\"/>
    </mc:Choice>
  </mc:AlternateContent>
  <xr:revisionPtr revIDLastSave="0" documentId="13_ncr:1_{5658B01D-A099-457C-AEE0-3F2ED3425EFB}" xr6:coauthVersionLast="47" xr6:coauthVersionMax="47" xr10:uidLastSave="{00000000-0000-0000-0000-000000000000}"/>
  <bookViews>
    <workbookView xWindow="-120" yWindow="-120" windowWidth="29040" windowHeight="15720" xr2:uid="{53693914-681A-4CE9-882B-128D6BCAFF6F}"/>
  </bookViews>
  <sheets>
    <sheet name="data (2)" sheetId="2" r:id="rId1"/>
    <sheet name="data" sheetId="1" r:id="rId2"/>
  </sheets>
  <definedNames>
    <definedName name="_xlnm._FilterDatabase" localSheetId="0" hidden="1">'data (2)'!#REF!</definedName>
    <definedName name="DatiEsterni_1" localSheetId="0" hidden="1">'data (2)'!$A$1:$U$595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2" l="1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X90" i="2"/>
  <c r="X91" i="2"/>
  <c r="X92" i="2"/>
  <c r="X93" i="2"/>
  <c r="X94" i="2"/>
  <c r="X95" i="2"/>
  <c r="X96" i="2"/>
  <c r="X97" i="2"/>
  <c r="X98" i="2"/>
  <c r="X99" i="2"/>
  <c r="X100" i="2"/>
  <c r="X101" i="2"/>
  <c r="X102" i="2"/>
  <c r="X103" i="2"/>
  <c r="X104" i="2"/>
  <c r="X105" i="2"/>
  <c r="X106" i="2"/>
  <c r="X107" i="2"/>
  <c r="X108" i="2"/>
  <c r="X109" i="2"/>
  <c r="X110" i="2"/>
  <c r="X111" i="2"/>
  <c r="X112" i="2"/>
  <c r="X113" i="2"/>
  <c r="X114" i="2"/>
  <c r="X115" i="2"/>
  <c r="X116" i="2"/>
  <c r="X117" i="2"/>
  <c r="X118" i="2"/>
  <c r="X119" i="2"/>
  <c r="X120" i="2"/>
  <c r="X121" i="2"/>
  <c r="X122" i="2"/>
  <c r="X123" i="2"/>
  <c r="X124" i="2"/>
  <c r="X125" i="2"/>
  <c r="X126" i="2"/>
  <c r="X127" i="2"/>
  <c r="X128" i="2"/>
  <c r="X129" i="2"/>
  <c r="X130" i="2"/>
  <c r="X131" i="2"/>
  <c r="X132" i="2"/>
  <c r="X133" i="2"/>
  <c r="X134" i="2"/>
  <c r="X135" i="2"/>
  <c r="X136" i="2"/>
  <c r="X137" i="2"/>
  <c r="X138" i="2"/>
  <c r="X139" i="2"/>
  <c r="X140" i="2"/>
  <c r="X141" i="2"/>
  <c r="X142" i="2"/>
  <c r="X143" i="2"/>
  <c r="X144" i="2"/>
  <c r="X145" i="2"/>
  <c r="X146" i="2"/>
  <c r="X147" i="2"/>
  <c r="X148" i="2"/>
  <c r="X149" i="2"/>
  <c r="X150" i="2"/>
  <c r="X151" i="2"/>
  <c r="X152" i="2"/>
  <c r="X153" i="2"/>
  <c r="X154" i="2"/>
  <c r="X155" i="2"/>
  <c r="X156" i="2"/>
  <c r="X157" i="2"/>
  <c r="X158" i="2"/>
  <c r="X159" i="2"/>
  <c r="X160" i="2"/>
  <c r="X161" i="2"/>
  <c r="X162" i="2"/>
  <c r="X163" i="2"/>
  <c r="X164" i="2"/>
  <c r="X165" i="2"/>
  <c r="X166" i="2"/>
  <c r="X167" i="2"/>
  <c r="X168" i="2"/>
  <c r="X169" i="2"/>
  <c r="X170" i="2"/>
  <c r="X171" i="2"/>
  <c r="X172" i="2"/>
  <c r="X173" i="2"/>
  <c r="X174" i="2"/>
  <c r="X175" i="2"/>
  <c r="X176" i="2"/>
  <c r="X177" i="2"/>
  <c r="X178" i="2"/>
  <c r="X179" i="2"/>
  <c r="X180" i="2"/>
  <c r="X181" i="2"/>
  <c r="X182" i="2"/>
  <c r="X183" i="2"/>
  <c r="X184" i="2"/>
  <c r="X185" i="2"/>
  <c r="X186" i="2"/>
  <c r="X187" i="2"/>
  <c r="X188" i="2"/>
  <c r="X189" i="2"/>
  <c r="X190" i="2"/>
  <c r="X191" i="2"/>
  <c r="X192" i="2"/>
  <c r="X193" i="2"/>
  <c r="X194" i="2"/>
  <c r="X195" i="2"/>
  <c r="X196" i="2"/>
  <c r="X197" i="2"/>
  <c r="X198" i="2"/>
  <c r="X199" i="2"/>
  <c r="X200" i="2"/>
  <c r="X201" i="2"/>
  <c r="X202" i="2"/>
  <c r="X203" i="2"/>
  <c r="X204" i="2"/>
  <c r="X205" i="2"/>
  <c r="X206" i="2"/>
  <c r="X207" i="2"/>
  <c r="X208" i="2"/>
  <c r="X209" i="2"/>
  <c r="X210" i="2"/>
  <c r="X211" i="2"/>
  <c r="X212" i="2"/>
  <c r="X213" i="2"/>
  <c r="X214" i="2"/>
  <c r="X215" i="2"/>
  <c r="X216" i="2"/>
  <c r="X217" i="2"/>
  <c r="X218" i="2"/>
  <c r="X219" i="2"/>
  <c r="X220" i="2"/>
  <c r="X221" i="2"/>
  <c r="X222" i="2"/>
  <c r="X223" i="2"/>
  <c r="X224" i="2"/>
  <c r="X225" i="2"/>
  <c r="X226" i="2"/>
  <c r="X227" i="2"/>
  <c r="X228" i="2"/>
  <c r="X229" i="2"/>
  <c r="X230" i="2"/>
  <c r="X231" i="2"/>
  <c r="X232" i="2"/>
  <c r="X233" i="2"/>
  <c r="X234" i="2"/>
  <c r="X235" i="2"/>
  <c r="X236" i="2"/>
  <c r="X237" i="2"/>
  <c r="X238" i="2"/>
  <c r="X239" i="2"/>
  <c r="X240" i="2"/>
  <c r="X241" i="2"/>
  <c r="X242" i="2"/>
  <c r="X243" i="2"/>
  <c r="X244" i="2"/>
  <c r="X245" i="2"/>
  <c r="X246" i="2"/>
  <c r="X247" i="2"/>
  <c r="X248" i="2"/>
  <c r="X249" i="2"/>
  <c r="X250" i="2"/>
  <c r="X251" i="2"/>
  <c r="X252" i="2"/>
  <c r="X253" i="2"/>
  <c r="X254" i="2"/>
  <c r="X255" i="2"/>
  <c r="X256" i="2"/>
  <c r="X257" i="2"/>
  <c r="X258" i="2"/>
  <c r="X259" i="2"/>
  <c r="X260" i="2"/>
  <c r="X261" i="2"/>
  <c r="X262" i="2"/>
  <c r="X263" i="2"/>
  <c r="X264" i="2"/>
  <c r="X265" i="2"/>
  <c r="X266" i="2"/>
  <c r="X267" i="2"/>
  <c r="X268" i="2"/>
  <c r="X269" i="2"/>
  <c r="X270" i="2"/>
  <c r="X271" i="2"/>
  <c r="X272" i="2"/>
  <c r="X273" i="2"/>
  <c r="X274" i="2"/>
  <c r="X275" i="2"/>
  <c r="X276" i="2"/>
  <c r="X277" i="2"/>
  <c r="X278" i="2"/>
  <c r="X279" i="2"/>
  <c r="X280" i="2"/>
  <c r="X281" i="2"/>
  <c r="X282" i="2"/>
  <c r="X283" i="2"/>
  <c r="X284" i="2"/>
  <c r="X285" i="2"/>
  <c r="X286" i="2"/>
  <c r="X287" i="2"/>
  <c r="X288" i="2"/>
  <c r="X289" i="2"/>
  <c r="X290" i="2"/>
  <c r="X291" i="2"/>
  <c r="X292" i="2"/>
  <c r="X293" i="2"/>
  <c r="X294" i="2"/>
  <c r="X295" i="2"/>
  <c r="X296" i="2"/>
  <c r="X297" i="2"/>
  <c r="X298" i="2"/>
  <c r="X299" i="2"/>
  <c r="X300" i="2"/>
  <c r="X301" i="2"/>
  <c r="X302" i="2"/>
  <c r="X303" i="2"/>
  <c r="X304" i="2"/>
  <c r="X305" i="2"/>
  <c r="X306" i="2"/>
  <c r="X307" i="2"/>
  <c r="X308" i="2"/>
  <c r="X309" i="2"/>
  <c r="X310" i="2"/>
  <c r="X311" i="2"/>
  <c r="X312" i="2"/>
  <c r="X313" i="2"/>
  <c r="X314" i="2"/>
  <c r="X315" i="2"/>
  <c r="X316" i="2"/>
  <c r="X317" i="2"/>
  <c r="X318" i="2"/>
  <c r="X319" i="2"/>
  <c r="X320" i="2"/>
  <c r="X321" i="2"/>
  <c r="X322" i="2"/>
  <c r="X323" i="2"/>
  <c r="X324" i="2"/>
  <c r="X325" i="2"/>
  <c r="X326" i="2"/>
  <c r="X327" i="2"/>
  <c r="X328" i="2"/>
  <c r="X329" i="2"/>
  <c r="X330" i="2"/>
  <c r="X331" i="2"/>
  <c r="X332" i="2"/>
  <c r="X333" i="2"/>
  <c r="X334" i="2"/>
  <c r="X335" i="2"/>
  <c r="X336" i="2"/>
  <c r="X337" i="2"/>
  <c r="X338" i="2"/>
  <c r="X339" i="2"/>
  <c r="X340" i="2"/>
  <c r="X341" i="2"/>
  <c r="X342" i="2"/>
  <c r="X343" i="2"/>
  <c r="X344" i="2"/>
  <c r="X345" i="2"/>
  <c r="X346" i="2"/>
  <c r="X347" i="2"/>
  <c r="X348" i="2"/>
  <c r="X349" i="2"/>
  <c r="X350" i="2"/>
  <c r="X351" i="2"/>
  <c r="X352" i="2"/>
  <c r="X353" i="2"/>
  <c r="X354" i="2"/>
  <c r="X355" i="2"/>
  <c r="X356" i="2"/>
  <c r="X357" i="2"/>
  <c r="X358" i="2"/>
  <c r="X359" i="2"/>
  <c r="X360" i="2"/>
  <c r="X361" i="2"/>
  <c r="X362" i="2"/>
  <c r="X363" i="2"/>
  <c r="X364" i="2"/>
  <c r="X365" i="2"/>
  <c r="X366" i="2"/>
  <c r="X367" i="2"/>
  <c r="X368" i="2"/>
  <c r="X369" i="2"/>
  <c r="X370" i="2"/>
  <c r="X371" i="2"/>
  <c r="X372" i="2"/>
  <c r="X373" i="2"/>
  <c r="X374" i="2"/>
  <c r="X375" i="2"/>
  <c r="X376" i="2"/>
  <c r="X377" i="2"/>
  <c r="X378" i="2"/>
  <c r="X379" i="2"/>
  <c r="X380" i="2"/>
  <c r="X381" i="2"/>
  <c r="X382" i="2"/>
  <c r="X383" i="2"/>
  <c r="X384" i="2"/>
  <c r="X385" i="2"/>
  <c r="X386" i="2"/>
  <c r="X387" i="2"/>
  <c r="X388" i="2"/>
  <c r="X389" i="2"/>
  <c r="X390" i="2"/>
  <c r="X391" i="2"/>
  <c r="X392" i="2"/>
  <c r="X393" i="2"/>
  <c r="X394" i="2"/>
  <c r="X395" i="2"/>
  <c r="X396" i="2"/>
  <c r="X397" i="2"/>
  <c r="X398" i="2"/>
  <c r="X399" i="2"/>
  <c r="X400" i="2"/>
  <c r="X401" i="2"/>
  <c r="X402" i="2"/>
  <c r="X403" i="2"/>
  <c r="X404" i="2"/>
  <c r="X405" i="2"/>
  <c r="X406" i="2"/>
  <c r="X407" i="2"/>
  <c r="X408" i="2"/>
  <c r="X409" i="2"/>
  <c r="X410" i="2"/>
  <c r="X411" i="2"/>
  <c r="X412" i="2"/>
  <c r="X413" i="2"/>
  <c r="X414" i="2"/>
  <c r="X415" i="2"/>
  <c r="X416" i="2"/>
  <c r="X417" i="2"/>
  <c r="X418" i="2"/>
  <c r="X419" i="2"/>
  <c r="X420" i="2"/>
  <c r="X421" i="2"/>
  <c r="X422" i="2"/>
  <c r="X423" i="2"/>
  <c r="X424" i="2"/>
  <c r="X425" i="2"/>
  <c r="X426" i="2"/>
  <c r="X427" i="2"/>
  <c r="X428" i="2"/>
  <c r="X429" i="2"/>
  <c r="X430" i="2"/>
  <c r="X431" i="2"/>
  <c r="X432" i="2"/>
  <c r="X433" i="2"/>
  <c r="X434" i="2"/>
  <c r="X435" i="2"/>
  <c r="X436" i="2"/>
  <c r="X437" i="2"/>
  <c r="X438" i="2"/>
  <c r="X439" i="2"/>
  <c r="X440" i="2"/>
  <c r="X441" i="2"/>
  <c r="X442" i="2"/>
  <c r="X443" i="2"/>
  <c r="X444" i="2"/>
  <c r="X445" i="2"/>
  <c r="X446" i="2"/>
  <c r="X447" i="2"/>
  <c r="X448" i="2"/>
  <c r="X449" i="2"/>
  <c r="X450" i="2"/>
  <c r="X451" i="2"/>
  <c r="X452" i="2"/>
  <c r="X453" i="2"/>
  <c r="X454" i="2"/>
  <c r="X455" i="2"/>
  <c r="X456" i="2"/>
  <c r="X457" i="2"/>
  <c r="X458" i="2"/>
  <c r="X459" i="2"/>
  <c r="X460" i="2"/>
  <c r="X461" i="2"/>
  <c r="X462" i="2"/>
  <c r="X463" i="2"/>
  <c r="X464" i="2"/>
  <c r="X465" i="2"/>
  <c r="X466" i="2"/>
  <c r="X467" i="2"/>
  <c r="X468" i="2"/>
  <c r="X469" i="2"/>
  <c r="X470" i="2"/>
  <c r="X471" i="2"/>
  <c r="X472" i="2"/>
  <c r="X473" i="2"/>
  <c r="X474" i="2"/>
  <c r="X475" i="2"/>
  <c r="X476" i="2"/>
  <c r="X477" i="2"/>
  <c r="X478" i="2"/>
  <c r="X479" i="2"/>
  <c r="X480" i="2"/>
  <c r="X481" i="2"/>
  <c r="X482" i="2"/>
  <c r="X483" i="2"/>
  <c r="X484" i="2"/>
  <c r="X485" i="2"/>
  <c r="X486" i="2"/>
  <c r="X487" i="2"/>
  <c r="X488" i="2"/>
  <c r="X489" i="2"/>
  <c r="X490" i="2"/>
  <c r="X491" i="2"/>
  <c r="X492" i="2"/>
  <c r="X493" i="2"/>
  <c r="X494" i="2"/>
  <c r="X495" i="2"/>
  <c r="X496" i="2"/>
  <c r="X497" i="2"/>
  <c r="X498" i="2"/>
  <c r="X499" i="2"/>
  <c r="X500" i="2"/>
  <c r="X501" i="2"/>
  <c r="X502" i="2"/>
  <c r="X503" i="2"/>
  <c r="X504" i="2"/>
  <c r="X505" i="2"/>
  <c r="X506" i="2"/>
  <c r="X507" i="2"/>
  <c r="X508" i="2"/>
  <c r="X509" i="2"/>
  <c r="X510" i="2"/>
  <c r="X511" i="2"/>
  <c r="X512" i="2"/>
  <c r="X513" i="2"/>
  <c r="X514" i="2"/>
  <c r="X515" i="2"/>
  <c r="X516" i="2"/>
  <c r="X517" i="2"/>
  <c r="X518" i="2"/>
  <c r="X519" i="2"/>
  <c r="X520" i="2"/>
  <c r="X521" i="2"/>
  <c r="X522" i="2"/>
  <c r="X523" i="2"/>
  <c r="X524" i="2"/>
  <c r="X525" i="2"/>
  <c r="X526" i="2"/>
  <c r="X527" i="2"/>
  <c r="X528" i="2"/>
  <c r="X529" i="2"/>
  <c r="X530" i="2"/>
  <c r="X531" i="2"/>
  <c r="X532" i="2"/>
  <c r="X533" i="2"/>
  <c r="X534" i="2"/>
  <c r="X535" i="2"/>
  <c r="X536" i="2"/>
  <c r="X537" i="2"/>
  <c r="X538" i="2"/>
  <c r="X539" i="2"/>
  <c r="X540" i="2"/>
  <c r="X541" i="2"/>
  <c r="X542" i="2"/>
  <c r="X543" i="2"/>
  <c r="X544" i="2"/>
  <c r="X545" i="2"/>
  <c r="X546" i="2"/>
  <c r="X547" i="2"/>
  <c r="X548" i="2"/>
  <c r="X549" i="2"/>
  <c r="X550" i="2"/>
  <c r="X551" i="2"/>
  <c r="X552" i="2"/>
  <c r="X553" i="2"/>
  <c r="X554" i="2"/>
  <c r="X555" i="2"/>
  <c r="X556" i="2"/>
  <c r="X557" i="2"/>
  <c r="X558" i="2"/>
  <c r="X559" i="2"/>
  <c r="X560" i="2"/>
  <c r="X561" i="2"/>
  <c r="X562" i="2"/>
  <c r="X563" i="2"/>
  <c r="X564" i="2"/>
  <c r="X565" i="2"/>
  <c r="X566" i="2"/>
  <c r="X567" i="2"/>
  <c r="X568" i="2"/>
  <c r="X569" i="2"/>
  <c r="X570" i="2"/>
  <c r="X571" i="2"/>
  <c r="X572" i="2"/>
  <c r="X573" i="2"/>
  <c r="X574" i="2"/>
  <c r="X575" i="2"/>
  <c r="X576" i="2"/>
  <c r="X577" i="2"/>
  <c r="X578" i="2"/>
  <c r="X579" i="2"/>
  <c r="X580" i="2"/>
  <c r="X581" i="2"/>
  <c r="X582" i="2"/>
  <c r="X583" i="2"/>
  <c r="X584" i="2"/>
  <c r="X585" i="2"/>
  <c r="X586" i="2"/>
  <c r="X587" i="2"/>
  <c r="X588" i="2"/>
  <c r="X589" i="2"/>
  <c r="X590" i="2"/>
  <c r="X591" i="2"/>
  <c r="X592" i="2"/>
  <c r="X593" i="2"/>
  <c r="X594" i="2"/>
  <c r="X595" i="2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V2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B598" i="2"/>
  <c r="B601" i="2"/>
  <c r="B600" i="2"/>
  <c r="B597" i="2"/>
  <c r="B603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B32DC9-F159-4C8A-8D34-AEF756DDC878}" keepAlive="1" name="Query - data" description="Connessione alla query 'data' nella cartella di lavoro." type="5" refreshedVersion="8" background="1" saveData="1">
    <dbPr connection="Provider=Microsoft.Mashup.OleDb.1;Data Source=$Workbook$;Location=data;Extended Properties=&quot;&quot;" command="SELECT * FROM [data]"/>
  </connection>
</connections>
</file>

<file path=xl/sharedStrings.xml><?xml version="1.0" encoding="utf-8"?>
<sst xmlns="http://schemas.openxmlformats.org/spreadsheetml/2006/main" count="13098" uniqueCount="1660">
  <si>
    <t>asm_path,asm_name,n_macro,n_update,n_forall,n_branch,n_rule,approach,status,exec_time_ms,n_scenarios,n_step,n_set,n_check,macro_coverage,update_rule_coverage,forall_rule_coverage,branch_coverage,rule_coverage,n_failing_scenarios,n_val_error_scenarios</t>
  </si>
  <si>
    <t>../../../asm_examples/stereoacuity/certifierRaff2.asm,certifierRaff2,14,18,0,10,50,evoavalla,OK,67510.0,5,16,6,128,1.0,0.7777778,NaN,1.0,1.0,0,0</t>
  </si>
  <si>
    <t>../../../asm_examples/examples/RushHour/RushHourForAsmetaSMV.asm,RushHourForAsmetaSMV,2,2,1,5,9,evoavalla,NO_VALID_SCENARIOS,NaN,0,0,0,0,null,null,null,null,null,0,0</t>
  </si>
  <si>
    <t>../../../asm_examples/examples/GilbreathCardTrick/GilbreathCardTrick.asm,GilbreathCardTrick,5,17,2,12,45,evoavalla,NO_VALID_SCENARIOS,NaN,0,0,0,0,null,null,null,null,null,0,0</t>
  </si>
  <si>
    <t>../../../asm_examples/examples/hemodialysisDevice/ABZ2016/Hemodialysis_ref3_par.asm,Hemodialysis_ref3_par,107,110,0,142,444,evoavalla,OK,96762.0,2,2,2,244,0.037383176,0.009090909,NaN,0.04225352,0.038288288,0,0</t>
  </si>
  <si>
    <t>../../../asm_examples/examples/simple_example/FLIP_FLOP_0.asm,FLIP_FLOP_0,2,2,0,1,6,evoavalla,OK,65403.0,1,1,0,0,1.0,1.0,NaN,1.0,1.0,0,0</t>
  </si>
  <si>
    <t>../../../asm_examples/examples/RushHour/RushHourMonForAsmetaSMV.asm,RushHourMonForAsmetaSMV,2,2,1,5,10,evoavalla,NO_VALID_SCENARIOS,NaN,0,0,0,0,null,null,null,null,null,0,0</t>
  </si>
  <si>
    <t>../../../asm_examples/examples/battleship.asm,battleship,1,4,0,4,10,evoavalla,NO_VALID_SCENARIOS,NaN,0,0,0,0,null,null,null,null,null,0,0</t>
  </si>
  <si>
    <t>../../../asm_examples/examples/flashProtocol/flashProtocol_N2_L1_Q1.asm,flashProtocol_N2_L1_Q1,27,91,22,91,275,evoavalla,NO_VALID_SCENARIOS,NaN,0,0,0,0,null,null,null,null,null,0,0</t>
  </si>
  <si>
    <t>../../../asm_examples/examples/production_cell/ert.asm,ert,5,4,1,5,14,evoavalla,NO_VALID_SCENARIOS,NaN,0,0,0,0,null,null,null,null,null,0,0</t>
  </si>
  <si>
    <t>../../../asm_examples/examples/ermts_etcs/scenarios/ertms_hl3_scenario7.asm,ertms_hl3_scenario7,24,98,31,100,274,evoavalla,NO_VALID_SCENARIOS,NaN,0,0,0,0,null,null,null,null,null,0,0</t>
  </si>
  <si>
    <t>../../../asm_examples/examples/simpleMinesweeper.asm,simpleMinesweeper,2,3,0,3,7,evoavalla,NO_VALID_SCENARIOS,NaN,0,0,0,0,null,null,null,null,null,0,0</t>
  </si>
  <si>
    <t>../../../asm_examples/examples/ticTacToe/ticTacToe_simulator.asm,ticTacToe_simulator,3,4,0,4,12,evoavalla,NO_VALID_SCENARIOS,NaN,0,0,0,0,null,null,null,null,null,0,0</t>
  </si>
  <si>
    <t>../../../asm_examples/examples/fsmsemantics/Sle/ASM_even.asm,ASM_even,3,2,1,2,7,evoavalla,NO_VALID_SCENARIOS,NaN,0,0,0,0,null,null,null,null,null,0,0</t>
  </si>
  <si>
    <t>../../../asm_examples/examples/GilbreathCardTrick/GilbreathCardTrickForAsmetaSMV.asm,GilbreathCardTrickForAsmetaSMV,5,15,2,12,41,evoavalla,NO_VALID_SCENARIOS,NaN,0,0,0,0,null,null,null,null,null,0,0</t>
  </si>
  <si>
    <t>../../../asm_examples/examples/petriNets/forAsmetaSMV/petriNet_forNuSMV.asm,petriNet_forNuSMV,2,1,1,2,4,evoavalla,NO_VALID_SCENARIOS,NaN,0,0,0,0,null,null,null,null,null,0,0</t>
  </si>
  <si>
    <t>../../../asm_examples/examples/hemodialysisDevice/SCP2017/HemodialysisRef1.asm,HemodialysisRef1,68,42,1,90,242,evoavalla,NO_VALID_SCENARIOS,78365.0,0,0,0,0,null,null,null,null,null,0,3</t>
  </si>
  <si>
    <t>../../../asm_examples/examples/hemodialysisDevice/ABZ2016/Hemodialysis_ref4.asm,Hemodialysis_ref4,162,188,1,245,740,evoavalla,NO_VALID_SCENARIOS,131685.0,0,0,0,0,null,null,null,null,null,0,2</t>
  </si>
  <si>
    <t>../../../asm_examples/examples/sleepingBarber/sleepingBarber.asm,sleepingBarber,3,4,0,6,13,evoavalla,NO_VALID_SCENARIOS,72190.0,0,0,0,0,null,null,null,null,null,0,0</t>
  </si>
  <si>
    <t>../../../asm_examples/examples/fsmsemantics/FSM_hooking2.asm,FSM_hooking2,3,2,0,1,7,evoavalla,NO_VALID_SCENARIOS,NaN,0,0,0,0,null,null,null,null,null,0,0</t>
  </si>
  <si>
    <t>../../../asm_examples/examples/sluicegate/Timer/sluiceGateMotorCtl.asm,sluiceGateMotorCtl,4,9,0,8,30,evoavalla,NO_VALID_SCENARIOS,NaN,0,0,0,0,null,null,null,null,null,0,0</t>
  </si>
  <si>
    <t>../../../asm_examples/examples/simple_example/ExtendRule1.asm,ExtendRule1,1,0,0,0,2,evoavalla,NO_VALID_SCENARIOS,NaN,0,0,0,0,null,null,null,null,null,0,0</t>
  </si>
  <si>
    <t>../../../asm_examples/examples/dice/diceWithProbability.asm,diceWithProbability,2,4,0,3,10,evoavalla,NO_VALID_SCENARIOS,NaN,0,0,0,0,null,null,null,null,null,0,0</t>
  </si>
  <si>
    <t>../../../asm_examples/examples/sluicegate/Timer/sluiceGateMotorCtl2.asm,sluiceGateMotorCtl2,4,9,0,8,30,evoavalla,NO_VALID_SCENARIOS,NaN,0,0,0,0,null,null,null,null,null,0,0</t>
  </si>
  <si>
    <t>../../../asm_examples/examples/conwayGameOfLife/gameOfLifeAgents.asm,gameOfLifeAgents,2,2,1,4,6,evoavalla,NO_VALID_SCENARIOS,NaN,0,0,0,0,null,null,null,null,null,0,0</t>
  </si>
  <si>
    <t>../../../asm_examples/examples/filosofiEciliegie/filosofiEciliegieAgentsJustLeft.asm,filosofiEciliegieAgentsJustLeft,2,3,0,3,7,evoavalla,NO_VALID_SCENARIOS,NaN,0,0,0,0,null,null,null,null,null,0,0</t>
  </si>
  <si>
    <t>../../../asm_examples/examples/production_cell/TRANSPORTBELT.asm,TRANSPORTBELT,5,6,1,5,17,evoavalla,NO_VALID_SCENARIOS,NaN,0,0,0,0,null,null,null,null,null,0,0</t>
  </si>
  <si>
    <t>../../../asm_examples/examples/models/ordersystem.asm,ordersystem,7,6,5,13,35,evoavalla,NO_VALID_SCENARIOS,NaN,0,0,0,0,null,null,null,null,null,0,0</t>
  </si>
  <si>
    <t>../../../asm_examples/DAS/TrafficMonitoringSystem/validation/mainForModelChecking.asm,mainForModelChecking,31,44,10,62,206,evoavalla,NO_VALID_SCENARIOS,NaN,0,0,0,0,null,null,null,null,null,0,0</t>
  </si>
  <si>
    <t>../../../asm_examples/stereoacuity/certifierRaff4ForSMTproof.asm,certifierRaff4ForSMTproof,15,21,0,14,59,evoavalla,NO_VALID_SCENARIOS,NaN,0,0,0,0,null,null,null,null,null,0,0</t>
  </si>
  <si>
    <t>../../../asm_examples/examples/ermts_etcs/models/ertms_hl3_integer_disco_lostint_lengthchanged_reco.asm,ertms_hl3_integer_disco_lostint_lengthchanged_reco,21,72,20,58,185,evoavalla,NO_VALID_SCENARIOS,NaN,0,0,0,0,null,null,null,null,null,0,0</t>
  </si>
  <si>
    <t>../../../asm_examples/examples/ermts_etcs/models/ertms_hl3_integer_disco_lostint_lengthchanged_reco_sweep_timer.asm,ertms_hl3_integer_disco_lostint_lengthchanged_reco_sweep_timer,29,118,28,101,301,evoavalla,NO_VALID_SCENARIOS,NaN,0,0,0,0,null,null,null,null,null,0,0</t>
  </si>
  <si>
    <t>../../../asm_examples/examples/simple_example/MorraCinese/MorraCinese_raff3.asm,MorraCinese_raff3,1,9,0,3,16,evoavalla,NO_VALID_SCENARIOS,NaN,0,0,0,0,null,null,null,null,null,0,0</t>
  </si>
  <si>
    <t>../../../asm_examples/stereoacuity/certifierRaff4_noundef.asm,certifierRaff4_noundef,15,21,0,14,59,evoavalla,NO_VALID_SCENARIOS,NaN,0,0,0,0,null,null,null,null,null,0,0</t>
  </si>
  <si>
    <t>../../../asm_examples/examples/filosofiEciliegie/filosofiEciliegieAgents.asm,filosofiEciliegieAgents,2,5,0,4,11,evoavalla,NO_VALID_SCENARIOS,NaN,0,0,0,0,null,null,null,null,null,0,0</t>
  </si>
  <si>
    <t>../../../asm_examples/examples/traffic_light/Timer/oneWayTrafficLight_refinedSec.asm,oneWayTrafficLight_refinedSec,8,9,1,11,44,evoavalla,NO_VALID_SCENARIOS,NaN,0,0,0,0,null,null,null,null,null,0,0</t>
  </si>
  <si>
    <t>../../../asm_examples/examples/models/LIFTDC.asm,LIFTDC,8,4,1,4,22,evoavalla,NO_VALID_SCENARIOS,NaN,0,0,0,0,null,null,null,null,null,0,0</t>
  </si>
  <si>
    <t>../../../asm_examples/examples/NeedhamSchroeder/NeedhamSchroederLowe.asm,NeedhamSchroederLowe,8,16,1,8,55,evoavalla,NO_VALID_SCENARIOS,NaN,0,0,0,0,null,null,null,null,null,0,0</t>
  </si>
  <si>
    <t>../../../asm_examples/examples/hemodialysisDevice/ABZ2016/Hemodialysis_ref1_par.asm,Hemodialysis_ref1_par,62,50,0,80,240,evoavalla,OK,80886.0,1,1,1,84,0.12903225,0.08,NaN,0.15,0.14583333,1,0</t>
  </si>
  <si>
    <t>../../../asm_examples/examples/models/ordersystem_april2010.asm,ordersystem_april2010,7,6,5,14,36,evoavalla,NO_VALID_SCENARIOS,NaN,0,0,0,0,null,null,null,null,null,0,0</t>
  </si>
  <si>
    <t>../../../asm_examples/examples/tombola.asm,tombola,1,3,0,4,8,evoavalla,NO_VALID_SCENARIOS,73093.0,0,0,0,0,null,null,null,null,null,0,0</t>
  </si>
  <si>
    <t>../../../asm_examples/examples/traffic_light/forAsmetaSMV/oneWayTrafficLight_refined.asm,oneWayTrafficLight_refined,9,13,1,15,50,evoavalla,NO_VALID_SCENARIOS,NaN,0,0,0,0,null,null,null,null,null,0,0</t>
  </si>
  <si>
    <t>../../../asm_examples/examples_for_nuXmv/provaint.asm,provaint,1,1,0,0,1,evoavalla,OK,65384.0,1,1,0,0,1.0,1.0,NaN,NaN,1.0,0,0</t>
  </si>
  <si>
    <t>../../../asm_examples/examples/traffic_light/oneWayTrafficLightUsingEnum.asm,oneWayTrafficLightUsingEnum,5,12,0,8,29,evoavalla,OK,67347.0,2,5,4,35,1.0,1.0,NaN,0.8125,1.0,0,0</t>
  </si>
  <si>
    <t>../../../asm_examples/erinda/FMS_IO_2.asm,FMS_IO_2,5,45,0,4,58,evoavalla,NO_VALID_SCENARIOS,NaN,0,0,0,0,null,null,null,null,null,0,0</t>
  </si>
  <si>
    <t>../../../asm_examples/PillBox/Level1/pillbox_1.asm,pillbox_1,9,30,0,19,69,evoavalla,NO_VALID_SCENARIOS,NaN,0,0,0,0,null,null,null,null,null,0,0</t>
  </si>
  <si>
    <t>../../../asm_examples/RTPatternLibrary/Test/Test_Sem_Async.asm,Test_Sem_Async,2,2,1,6,16,evoavalla,NO_VALID_SCENARIOS,NaN,0,0,0,0,null,null,null,null,null,0,0</t>
  </si>
  <si>
    <t>../../../asm_examples/examples/traffic_light/oneWayTrafficLight_refined_with_agents_seq.asm,oneWayTrafficLight_refined_with_agents_seq,11,8,1,11,42,evoavalla,NO_VALID_SCENARIOS,NaN,0,0,0,0,null,null,null,null,null,0,0</t>
  </si>
  <si>
    <t>../../../asm_examples/examples/petriNets/petriNetEdgeWeightNoPlaceCapacity_NoSeq_Matrix_v3.asm,petriNetEdgeWeightNoPlaceCapacity_NoSeq_Matrix_v3,2,1,1,2,4,evoavalla,NO_VALID_SCENARIOS,NaN,0,0,0,0,null,null,null,null,null,0,0</t>
  </si>
  <si>
    <t>../../../asm_examples/examples/ermts_etcs/scenarios/ertms_hl3_scenario6.asm,ertms_hl3_scenario6,25,98,28,85,252,evoavalla,NO_VALID_SCENARIOS,NaN,0,0,0,0,null,null,null,null,null,0,0</t>
  </si>
  <si>
    <t>../../../asm_examples/examples/dice/diceNoProbability.asm,diceNoProbability,2,4,0,3,10,evoavalla,NO_VALID_SCENARIOS,NaN,0,0,0,0,null,null,null,null,null,0,0</t>
  </si>
  <si>
    <t>../../../asm_examples/examples/ermts_etcs/scenarios/ertms_hl3_scenario5.asm,ertms_hl3_scenario5,30,126,34,108,321,evoavalla,NO_VALID_SCENARIOS,NaN,0,0,0,0,null,null,null,null,null,0,0</t>
  </si>
  <si>
    <t>../../../asm_examples/examples/traffic_light/forAsmetaSMV/oneWayTrafficLight_refined_with_agents.asm,oneWayTrafficLight_refined_with_agents,14,12,1,15,60,evoavalla,NO_VALID_SCENARIOS,NaN,0,0,0,0,null,null,null,null,null,0,0</t>
  </si>
  <si>
    <t>../../../asm_examples/examples/fsmsemantics/FSM_hooking.asm,FSM_hooking,3,2,0,1,7,evoavalla,NO_VALID_SCENARIOS,NaN,0,0,0,0,null,null,null,null,null,0,0</t>
  </si>
  <si>
    <t>../../../asm_examples/PillBox/Level2/pillbox_2.asm,pillbox_2,9,40,1,30,91,evoavalla,NO_VALID_SCENARIOS,NaN,0,0,0,0,null,null,null,null,null,0,0</t>
  </si>
  <si>
    <t>../../../asm_examples/examples/whatTimeIsIt.asm,whatTimeIsIt,1,1,0,0,1,evoavalla,NO_VALID_SCENARIOS,NaN,0,0,0,0,null,null,null,null,null,0,0</t>
  </si>
  <si>
    <t>../../../asm_examples/stereoacuity/certifierRaff3.asm,certifierRaff3,14,20,0,11,53,evoavalla,OK,67528.0,4,17,5,149,1.0,0.75,NaN,1.0,1.0,0,0</t>
  </si>
  <si>
    <t>../../../asm_examples/PHD/phd_master_flat2_v3.asm,phd_master_flat2_v3,66,148,0,69,348,evoavalla,OK,87430.0,47,100,97,541,1.0,0.5743243,NaN,0.8768116,0.8678161,0,0</t>
  </si>
  <si>
    <t>../../../asm_examples/DAS/TrafficMonitoringSystem/validation/mainForModelCheckingThreeCameras.asm,mainForModelCheckingThreeCameras,31,42,9,59,199,evoavalla,NO_VALID_SCENARIOS,NaN,0,0,0,0,null,null,null,null,null,0,0</t>
  </si>
  <si>
    <t>../../../asm_examples/examples/RushHour/emptyCellAs0/RushHourMonForAsmetaSMV.asm,RushHourMonForAsmetaSMV,2,2,1,5,12,evoavalla,NO_VALID_SCENARIOS,NaN,0,0,0,0,null,null,null,null,null,0,0</t>
  </si>
  <si>
    <t>../../../asm_examples/PillBox/Level0/pillbox_0.asm,pillbox_0,9,18,0,15,53,evoavalla,OK,67229.0,5,20,15,100,1.0,1.0,NaN,0.93333334,1.0,0,0</t>
  </si>
  <si>
    <t>../../../asm_examples/PHD/phd_master_flat2_v7.asm,phd_master_flat2_v7,7,184,0,18,307,evoavalla,OK,83929.0,62,209,142,480,1.0,0.48369566,NaN,0.8333333,0.742671,0,0</t>
  </si>
  <si>
    <t>../../../asm_examples/examples/models/SIS.asm,SIS,10,14,0,11,36,evoavalla,NO_VALID_SCENARIOS,NaN,0,0,0,0,null,null,null,null,null,0,0</t>
  </si>
  <si>
    <t>../../../asm_examples/examples/RushHour/emptyCellAs0/RushHourMon.asm,RushHourMon,2,2,1,5,9,evoavalla,NO_VALID_SCENARIOS,NaN,0,0,0,0,null,null,null,null,null,0,0</t>
  </si>
  <si>
    <t>../../../asm_examples/DAS/TrafficMonitoringSystem/validation/mainForModelCheckingR1.asm,mainForModelCheckingR1,31,44,10,61,205,evoavalla,NO_VALID_SCENARIOS,NaN,0,0,0,0,null,null,null,null,null,0,0</t>
  </si>
  <si>
    <t>../../../asm_examples/examples/ermts_etcs/models/ertms_hl3_integer_disco_lostint_lengthchanged_reco_sweep.asm,ertms_hl3_integer_disco_lostint_lengthchanged_reco_sweep,22,79,20,61,198,evoavalla,NO_VALID_SCENARIOS,NaN,0,0,0,0,null,null,null,null,null,0,0</t>
  </si>
  <si>
    <t>../../../asm_examples/examples/slotMachine.asm,slotMachine,2,4,0,3,10,evoavalla,NO_VALID_SCENARIOS,NaN,0,0,0,0,null,null,null,null,null,0,0</t>
  </si>
  <si>
    <t>../../../asm_examples/examples/cards.asm,cards,2,3,1,3,9,evoavalla,NO_VALID_SCENARIOS,NaN,0,0,0,0,null,null,null,null,null,0,0</t>
  </si>
  <si>
    <t>../../../asm_examples/examples/philosophers/philosophers1.asm,philosophers1,4,6,0,5,16,evoavalla,NO_VALID_SCENARIOS,NaN,0,0,0,0,null,null,null,null,null,0,0</t>
  </si>
  <si>
    <t>../../../asm_examples/stereoacuity/certifier_nochoose.asm,certifier_nochoose,16,24,0,15,66,evoavalla,OK,68882.0,8,32,7,278,1.0,0.875,NaN,1.0,1.0,0,0</t>
  </si>
  <si>
    <t>../../../asm_examples/examples/ABZ2020/CarSystemModule/CarSystem007/CarSystem007main.asm,CarSystem007main,2,2,0,0,11,evoavalla,NO_VALID_SCENARIOS,NaN,0,0,0,0,null,null,null,null,null,0,0</t>
  </si>
  <si>
    <t>../../../asm_examples/DAS/TrafficMonitoringSystem/main.asm,main,2,0,1,1,2,evoavalla,NO_VALID_SCENARIOS,NaN,0,0,0,0,null,null,null,null,null,0,0</t>
  </si>
  <si>
    <t>../../../asm_examples/examples/carController.asm,carController,1,5,0,2,7,evoavalla,OK,65913.0,1,1,1,2,1.0,0.0,NaN,0.25,0.2857143,0,2</t>
  </si>
  <si>
    <t>../../../asm_examples/examples/simple_example/MorraCinese/MorraCinese_raff2.asm,MorraCinese_raff2,1,8,0,2,14,evoavalla,NO_VALID_SCENARIOS,NaN,0,0,0,0,null,null,null,null,null,0,0</t>
  </si>
  <si>
    <t>../../../asm_examples/examples/TrafficLightYakindu/TrafficLight0/TrafficLight_0.asm,TrafficLight_0,7,10,0,7,33,evoavalla,OK,66943.0,3,6,5,45,1.0,1.0,NaN,0.9285714,1.0,0,0</t>
  </si>
  <si>
    <t>../../../asm_examples/examples/trafficLightCoSim/trafficlightB.asm,trafficlightB,2,5,0,6,14,evoavalla,NO_VALID_SCENARIOS,NaN,0,0,0,0,null,null,null,null,null,0,0</t>
  </si>
  <si>
    <t>../../../asm_examples/examples/models/lift3.asm,lift3,8,7,0,6,30,evoavalla,NO_VALID_SCENARIOS,NaN,0,0,0,0,null,null,null,null,null,0,0</t>
  </si>
  <si>
    <t>../../../asm_examples/stereoacuity/certifierRaff4.asm,certifierRaff4,15,21,0,13,58,evoavalla,OK,68667.0,5,24,6,229,1.0,0.7619048,NaN,0.96153843,1.0,0,0</t>
  </si>
  <si>
    <t>../../../asm_examples/examples/TrafficLightYakindu/TrafficLight1/TrafficLight_1.asm,TrafficLight_1,11,17,0,15,56,evoavalla,OK,67892.0,4,11,10,90,1.0,0.9411765,NaN,0.8333333,1.0,0,0</t>
  </si>
  <si>
    <t>../../../asm_examples/examples/RushHour/RushHourMon.asm,RushHourMon,2,2,1,5,9,evoavalla,NO_VALID_SCENARIOS,NaN,0,0,0,0,null,null,null,null,null,0,0</t>
  </si>
  <si>
    <t>../../../asm_examples/examples/fsmsemantics/FSM_map0_2.asm,FSM_map0_2,5,8,0,4,21,evoavalla,NO_VALID_SCENARIOS,NaN,0,0,0,0,null,null,null,null,null,0,0</t>
  </si>
  <si>
    <t>../../../asm_examples/examples/library/Library.asm,Library,3,7,0,6,21,evoavalla,NO_VALID_SCENARIOS,NaN,0,0,0,0,null,null,null,null,null,0,0</t>
  </si>
  <si>
    <t>../../../asm_examples/DAS/TrafficMonitoringSystem/mainUnique.asm,mainUnique,31,44,11,62,175,evoavalla,NO_VALID_SCENARIOS,NaN,0,0,0,0,null,null,null,null,null,0,0</t>
  </si>
  <si>
    <t>../../../asm_examples/examples/ermts_etcs/scenarios/ertms_hl3_scenario1.asm,ertms_hl3_scenario1,29,116,27,98,295,evoavalla,NO_VALID_SCENARIOS,NaN,0,0,0,0,null,null,null,null,null,0,0</t>
  </si>
  <si>
    <t>../../../asm_examples/examples/simple_example/MorraCinese/withActors/MorraCinese_withActors_raff1.asm,MorraCinese_withActors_raff1,1,6,0,1,10,evoavalla,NO_VALID_SCENARIOS,NaN,0,0,0,0,null,null,null,null,null,0,0</t>
  </si>
  <si>
    <t>../../../asm_examples/examples/flashProtocol/flashProtocol_N2_L1_Q1_C.asm,flashProtocol_N2_L1_Q1_C,27,91,22,92,276,evoavalla,NO_VALID_SCENARIOS,NaN,0,0,0,0,null,null,null,null,null,0,0</t>
  </si>
  <si>
    <t>../../../asm_examples/RTPatternLibrary/Application/Test_SB.asm,Test_SB,3,1,0,2,23,evoavalla,NO_VALID_SCENARIOS,NaN,0,0,0,0,null,null,null,null,null,0,0</t>
  </si>
  <si>
    <t>../../../asm_examples/examples/landingGearSystem/LGS_GM_withError.asm,LGS_GM_withError,4,15,0,3,22,evoavalla,OK,67012.0,5,36,12,82,1.0,1.0,NaN,1.0,1.0,0,0</t>
  </si>
  <si>
    <t>../../../asm_examples/examples/simple_example/iterativeWhile.asm,iterativeWhile,null,null,null,null,null,evoavalla,MODEL_DATA_ERR,NaN,0,null,null,null,null,null,null,null,null,0,0</t>
  </si>
  <si>
    <t>../../../asm_examples/DAS/TrafficMonitoringSystem/journal/trafficMonitoringForExperiments.asm,trafficMonitoringForExperiments,43,40,14,67,217,evoavalla,NO_VALID_SCENARIOS,NaN,0,0,0,0,null,null,null,null,null,0,0</t>
  </si>
  <si>
    <t>../../../asm_examples/examples/hemodialysisDevice/SCP2017/HemodialysisGround.asm,HemodialysisGround,5,2,0,3,11,evoavalla,OK,65577.0,1,3,0,4,1.0,1.0,NaN,1.0,1.0,0,0</t>
  </si>
  <si>
    <t>../../../asm_examples/examples/petriNets/petriNetNoEdgeWeightNoPlaceCapacity_NoSeq_Matrix.asm,petriNetNoEdgeWeightNoPlaceCapacity_NoSeq_Matrix,2,2,2,3,7,evoavalla,NO_VALID_SCENARIOS,NaN,0,0,0,0,null,null,null,null,null,0,0</t>
  </si>
  <si>
    <t>../../../asm_examples/examples/authenticationProtocols/groundModel.asm,groundModel,8,14,3,11,50,evoavalla,NO_VALID_SCENARIOS,NaN,0,0,0,0,null,null,null,null,null,0,0</t>
  </si>
  <si>
    <t>../../../asm_examples/examples/traffic_light/oneWayTrafficLight_refined.asm,oneWayTrafficLight_refined,13,12,1,15,60,evoavalla,NO_VALID_SCENARIOS,66831.0,0,0,0,0,null,null,null,null,null,0,0</t>
  </si>
  <si>
    <t>../../../asm_examples/PHD/phd_master_flat2_v0.asm,phd_master_flat2_v0,27,52,0,26,131,evoavalla,OK,72086.0,24,52,51,128,1.0,0.78846157,NaN,1.0,1.0,0,0</t>
  </si>
  <si>
    <t>../../../asm_examples/examples/GilbreathCardTrick/workingButNotElegant/GilbreathCardTrickWithAuxFunctionSimpleForAsmetaSMV.asm,GilbreathCardTrickWithAuxFunctionSimpleForAsmetaSMV,4,13,2,9,33,evoavalla,NO_VALID_SCENARIOS,NaN,0,0,0,0,null,null,null,null,null,0,0</t>
  </si>
  <si>
    <t>../../../asm_examples/examples/sluicegate/sluiceGateGround.asm,sluiceGateGround,3,2,0,4,13,evoavalla,OK,65835.0,1,2,2,3,1.0,1.0,NaN,0.75,1.0,0,1</t>
  </si>
  <si>
    <t>../../../asm_examples/erinda/for_atgt.asm,for_atgt,5,23,0,13,52,evoavalla,NO_VALID_SCENARIOS,NaN,0,0,0,0,null,null,null,null,null,0,0</t>
  </si>
  <si>
    <t>../../../asm_examples/examples/traffic_light/oneWayTrafficLight.asm,oneWayTrafficLight,10,5,0,8,38,evoavalla,NO_VALID_SCENARIOS,65910.0,0,0,0,0,null,null,null,null,null,0,0</t>
  </si>
  <si>
    <t>../../../asm_examples/examples/flashProtocol/flashProtocol_N2_L2_Q1.asm,flashProtocol_N2_L2_Q1,27,91,23,96,286,evoavalla,NO_VALID_SCENARIOS,NaN,0,0,0,0,null,null,null,null,null,0,0</t>
  </si>
  <si>
    <t>../../../asm_examples/examples_for_nuXmv/EuclideInt.asm,EuclideInt,1,2,0,2,4,evoavalla,NO_VALID_SCENARIOS,NaN,0,0,0,0,null,null,null,null,null,0,0</t>
  </si>
  <si>
    <t>../../../asm_examples/examples/ABZ2020/CarSystemModule/CarSystem005/CarSystem005main.asm,CarSystem005main,2,2,0,0,7,evoavalla,NO_VALID_SCENARIOS,NaN,0,0,0,0,null,null,null,null,null,0,0</t>
  </si>
  <si>
    <t>../../../asm_examples/examples/simple_example/AdvancedClockDeciSecond.asm,AdvancedClockDeciSecond,2,4,0,3,11,evoavalla,OK,66115.0,1,10,0,0,0.5,0.5,NaN,0.5,0.54545456,0,0</t>
  </si>
  <si>
    <t>../../../asm_examples/examples/landingGearSystem/LGS_EV_v2.asm,LGS_EV_v2,4,38,0,3,60,evoavalla,OK,67819.0,6,30,12,252,1.0,1.0,NaN,1.0,1.0,0,0</t>
  </si>
  <si>
    <t>../../../asm_examples/examples/models/OrderSystem2.asm,OrderSystem2,6,7,3,4,22,evoavalla,NO_VALID_SCENARIOS,NaN,0,0,0,0,null,null,null,null,null,0,0</t>
  </si>
  <si>
    <t>../../../asm_examples/examples/conwayGameOfLife/gameOfLife.asm,gameOfLife,2,2,1,4,7,evoavalla,NO_VALID_SCENARIOS,NaN,0,0,0,0,null,null,null,null,null,0,0</t>
  </si>
  <si>
    <t>../../../asm_examples/DAS/TrafficMonitoringSystem/validation/mainForModelCheckingR4.asm,mainForModelCheckingR4,31,42,9,59,199,evoavalla,NO_VALID_SCENARIOS,NaN,0,0,0,0,null,null,null,null,null,0,0</t>
  </si>
  <si>
    <t>../../../asm_examples/examples/ABZ2020/CarSystemModule/CarSystem001/CarSystem001main.asm,CarSystem001main,1,0,0,0,1,evoavalla,NO_VALID_SCENARIOS,NaN,0,0,0,0,null,null,null,null,null,0,0</t>
  </si>
  <si>
    <t>../../../asm_examples/examples/ermts_etcs/scenarios/ertms_hl3_scenario9.asm,ertms_hl3_scenario9,30,105,35,101,290,evoavalla,NO_VALID_SCENARIOS,NaN,0,0,0,0,null,null,null,null,null,0,0</t>
  </si>
  <si>
    <t>../../../asm_examples/examples/GilbreathCardTrick/GilbreathCardTrickFasterShuffleForAsmetaSMV.asm,GilbreathCardTrickFasterShuffleForAsmetaSMV,5,15,2,13,42,evoavalla,NO_VALID_SCENARIOS,NaN,0,0,0,0,null,null,null,null,null,0,0</t>
  </si>
  <si>
    <t>../../../asm_examples/examples/ABZ2020/CarSystemModule/CarSystem004/CarSystem004main.asm,CarSystem004main,2,2,0,0,11,evoavalla,NO_VALID_SCENARIOS,NaN,0,0,0,0,null,null,null,null,null,0,0</t>
  </si>
  <si>
    <t>../../../asm_examples/examples/hemodialysisDevice/ABZ2016/Hemodialysis_ref4_forMC.asm,Hemodialysis_ref4_forMC,154,169,1,217,629,evoavalla,OK,104824.0,2,2,2,340,0.025974026,0.00591716,0.0,0.032258064,0.031796504,0,0</t>
  </si>
  <si>
    <t>../../../asm_examples/examples/traffic_light/oneWayTrafficLight_refined_with_agents.asm,oneWayTrafficLight_refined_with_agents,14,12,1,15,60,evoavalla,NO_VALID_SCENARIOS,NaN,0,0,0,0,null,null,null,null,null,0,0</t>
  </si>
  <si>
    <t>../../../asm_examples/examples/simple_example/ATM3.asm,ATM3,10,33,0,23,82,evoavalla,NO_VALID_SCENARIOS,80712.0,0,0,0,0,null,null,null,null,null,0,0</t>
  </si>
  <si>
    <t>../../../asm_examples/examples/ABZ2020/CarSystemModule/CarSystem009/CarSystem009main.asm,CarSystem009main,2,4,0,0,19,evoavalla,NO_VALID_SCENARIOS,NaN,0,0,0,0,null,null,null,null,null,0,0</t>
  </si>
  <si>
    <t>../../../asm_examples/examples/trafficLightCoSim/controller.asm,controller,2,11,0,17,45,evoavalla,NO_VALID_SCENARIOS,NaN,0,0,0,0,null,null,null,null,null,0,0</t>
  </si>
  <si>
    <t>../../../asm_examples/erinda/FMS_IO.asm,FMS_IO,5,167,0,13,197,evoavalla,NO_VALID_SCENARIOS,NaN,0,0,0,0,null,null,null,null,null,0,0</t>
  </si>
  <si>
    <t>../../../asm_examples/examples/petriNets/petriNetNoEdgeWeightNoPlaceCapacity_NoSeq.asm,petriNetNoEdgeWeightNoPlaceCapacity_NoSeq,2,2,2,3,7,evoavalla,NO_VALID_SCENARIOS,NaN,0,0,0,0,null,null,null,null,null,0,0</t>
  </si>
  <si>
    <t>../../../asm_examples/examples/simple_example/MorraCinese/MorraCinese.asm,MorraCinese,1,4,0,1,6,evoavalla,NO_VALID_SCENARIOS,NaN,0,0,0,0,null,null,null,null,null,0,0</t>
  </si>
  <si>
    <t>../../../asm_examples/examples/traffic_light/oneWayTrafficLight2.asm,oneWayTrafficLight2,8,5,0,8,30,evoavalla,NO_VALID_SCENARIOS,65966.0,0,0,0,0,null,null,null,null,null,0,0</t>
  </si>
  <si>
    <t>../../../asm_examples/systemc/counter/main.asm,main,1,0,0,0,1,evoavalla,NO_VALID_SCENARIOS,NaN,0,0,0,0,null,null,null,null,null,0,0</t>
  </si>
  <si>
    <t>../../../asm_examples/examples/petriNets/petriNetEdgeWeightNoPlaceCapacity_NoSeq_Matrix_Murata17a.asm,petriNetEdgeWeightNoPlaceCapacity_NoSeq_Matrix_Murata17a,2,1,1,2,4,evoavalla,NO_VALID_SCENARIOS,NaN,0,0,0,0,null,null,null,null,null,0,0</t>
  </si>
  <si>
    <t>../../../asm_examples/examples/landingGearSystem/LGS_SE.asm,LGS_SE,4,38,0,9,66,evoavalla,OK,69482.0,7,33,29,280,1.0,1.0,NaN,0.6666667,1.0,0,0</t>
  </si>
  <si>
    <t>../../../asm_examples/examples/filosofiEciliegie/filosofiEciliegieJustLeft.asm,filosofiEciliegieJustLeft,2,3,0,3,8,evoavalla,NO_VALID_SCENARIOS,NaN,0,0,0,0,null,null,null,null,null,0,0</t>
  </si>
  <si>
    <t>../../../asm_examples/examples/traffic_light/oneWayTrafficLight_inline.asm,oneWayTrafficLight_inline,6,5,0,8,34,evoavalla,NO_VALID_SCENARIOS,66035.0,0,0,0,0,null,null,null,null,null,0,0</t>
  </si>
  <si>
    <t>../../../asm_examples/examples/simple_example/MorraCinese/MorraCineseWithAgents.asm,MorraCineseWithAgents,2,4,0,1,7,evoavalla,NO_VALID_SCENARIOS,NaN,0,0,0,0,null,null,null,null,null,0,0</t>
  </si>
  <si>
    <t>../../../asm_examples/DAS/TrafficMonitoringSystem/journal/trafficMonitoring.asm,trafficMonitoring,43,40,14,67,217,evoavalla,NO_VALID_SCENARIOS,NaN,0,0,0,0,null,null,null,null,null,0,0</t>
  </si>
  <si>
    <t>../../../asm_examples/PillBox/Level1/pillbox_1_for_RefProv.asm,pillbox_1_for_RefProv,9,30,0,19,69,evoavalla,NO_VALID_SCENARIOS,NaN,0,0,0,0,null,null,null,null,null,0,0</t>
  </si>
  <si>
    <t>../../../asm_examples/PHD/phd_master_flat2_v2.asm,phd_master_flat2_v2,64,144,0,67,338,evoavalla,OK,86541.0,49,110,107,587,1.0,0.6388889,NaN,0.9104478,0.908284,0,0</t>
  </si>
  <si>
    <t>../../../asm_examples/examples/ermts_etcs/models/ertms_hl3_integer_disconnected_train.asm,ertms_hl3_integer_disconnected_train,15,54,16,42,134,evoavalla,NO_VALID_SCENARIOS,NaN,0,0,0,0,null,null,null,null,null,0,0</t>
  </si>
  <si>
    <t>../../../asm_examples/examples/simple_example/AdvancedClock2.asm,AdvancedClock2,2,3,0,3,9,evoavalla,OK,66059.0,2,4,1,0,1.0,0.6666667,NaN,0.8333333,0.8888889,0,0</t>
  </si>
  <si>
    <t>../../../asm_examples/examples/smartHome/smartHome.asm,smartHome,24,25,0,34,95,evoavalla,NO_VALID_SCENARIOS,NaN,0,0,0,0,null,null,null,null,null,0,0</t>
  </si>
  <si>
    <t>../../../asm_examples/RTPatternLibrary/Test/Test_Sem_Sync.asm,Test_Sem_Sync,2,2,1,9,21,evoavalla,NO_VALID_SCENARIOS,NaN,0,0,0,0,null,null,null,null,null,0,0</t>
  </si>
  <si>
    <t>../../../asm_examples/examples/fsmsemantics/meta_hooking/FSM_spec0.asm,FSM_spec0,3,2,0,1,7,evoavalla,NO_VALID_SCENARIOS,NaN,0,0,0,0,null,null,null,null,null,0,0</t>
  </si>
  <si>
    <t>../../../asm_examples/stereoacuity/certifierRaff1.asm,certifierRaff1,13,15,0,9,43,evoavalla,OK,67795.0,5,15,6,102,1.0,0.8666667,NaN,1.0,1.0,0,0</t>
  </si>
  <si>
    <t>../../../asm_examples/examples/petriNets/petriNetEdgeWeightNoPlaceCapacity_NoSeq_Matrix_v2.asm,petriNetEdgeWeightNoPlaceCapacity_NoSeq_Matrix_v2,2,1,1,2,4,evoavalla,NO_VALID_SCENARIOS,NaN,0,0,0,0,null,null,null,null,null,0,0</t>
  </si>
  <si>
    <t>../../../asm_examples/examples/hemodialysisDevice/SCP2017/HemodialysisRef3.asm,HemodialysisRef3,159,146,1,229,648,evoavalla,NO_VALID_SCENARIOS,118330.0,0,0,0,0,null,null,null,null,null,0,2</t>
  </si>
  <si>
    <t>../../../asm_examples/examples/traffic_light/Timer/oneWayTrafficLight.asm,oneWayTrafficLight,5,4,0,4,13,evoavalla,NO_VALID_SCENARIOS,NaN,0,0,0,0,null,null,null,null,null,0,0</t>
  </si>
  <si>
    <t>../../../asm_examples/examples/petriNets/forModelAdvisor/petriNet_forModelAdvisor_InconsUpdateViolation.asm,petriNet_forModelAdvisor_InconsUpdateViolation,2,2,2,3,7,evoavalla,NO_VALID_SCENARIOS,NaN,0,0,0,0,null,null,null,null,null,0,0</t>
  </si>
  <si>
    <t>../../../asm_examples/PillBox/Level3/pillbox_FULL_elia.asm,pillbox_FULL_elia,7,19,1,10,43,evoavalla,NO_VALID_SCENARIOS,NaN,0,0,0,0,null,null,null,null,null,0,0</t>
  </si>
  <si>
    <t>../../../asm_examples/SystemCUMLProfile_metahooking/main.asm,main,1,0,0,0,1,evoavalla,NO_VALID_SCENARIOS,NaN,0,0,0,0,null,null,null,null,null,0,0</t>
  </si>
  <si>
    <t>../../../asm_examples/examples/production_cell/press.asm,press,7,6,1,7,20,evoavalla,NO_VALID_SCENARIOS,NaN,0,0,0,0,null,null,null,null,null,0,0</t>
  </si>
  <si>
    <t>../../../asm_examples/systemc/counter2/main.asm,main,1,0,0,0,1,evoavalla,NO_VALID_SCENARIOS,NaN,0,0,0,0,null,null,null,null,null,0,0</t>
  </si>
  <si>
    <t>../../../asm_examples/examples/ABZ2020/CarSystemModule/CarSystem006/CarSystem006main.asm,CarSystem006main,2,2,0,0,9,evoavalla,NO_VALID_SCENARIOS,NaN,0,0,0,0,null,null,null,null,null,0,0</t>
  </si>
  <si>
    <t>../../../asm_examples/examples/philosophers/philosophers2.asm,philosophers2,4,6,1,5,16,evoavalla,NO_VALID_SCENARIOS,NaN,0,0,0,0,null,null,null,null,null,0,0</t>
  </si>
  <si>
    <t>../../../asm_examples/examples/models/lift2.asm,lift2,8,7,0,6,29,evoavalla,NO_VALID_SCENARIOS,NaN,0,0,0,0,null,null,null,null,null,0,0</t>
  </si>
  <si>
    <t>../../../asm_examples/unibgstudents/RegistroDiCassa.asm,RegistroDiCassa,8,23,0,12,58,evoavalla,OK,67219.0,3,6,9,18,0.875,0.6086956,NaN,0.875,0.79310346,0,1</t>
  </si>
  <si>
    <t>../../../asm_examples/DAS/TrafficMonitoringSystem/validation/mainForModelCheckingNoSelfHealer.asm,mainForModelCheckingNoSelfHealer,24,30,6,38,147,evoavalla,NO_VALID_SCENARIOS,NaN,0,0,0,0,null,null,null,null,null,0,0</t>
  </si>
  <si>
    <t>../../../asm_examples/examples/agents/processesSchedulerShortestJobNext.asm,processesSchedulerShortestJobNext,4,7,1,8,21,evoavalla,NO_VALID_SCENARIOS,NaN,0,0,0,0,null,null,null,null,null,0,0</t>
  </si>
  <si>
    <t>../../../asm_examples/examples/production_cell/DEPOSITBELT.asm,DEPOSITBELT,4,5,1,4,14,evoavalla,OK,65664.0,1,1,0,0,0.25,0.0,0.33333334,0.125,0.071428575,0,0</t>
  </si>
  <si>
    <t>../../../asm_examples/examples/petriNets/forAsmetaSMV/petriNet_forNuSMV_notLive_bound1_deadlockFree.asm,petriNet_forNuSMV_notLive_bound1_deadlockFree,2,1,1,2,4,evoavalla,NO_VALID_SCENARIOS,NaN,0,0,0,0,null,null,null,null,null,0,0</t>
  </si>
  <si>
    <t>../../../asm_examples/examples/TrafficLightYakindu/TrafficLight3/TrafficLight_3.asm,TrafficLight_3,14,35,0,23,88,evoavalla,OK,69488.0,4,14,12,108,1.0,0.9714286,NaN,0.7826087,1.0,0,0</t>
  </si>
  <si>
    <t>../../../asm_examples/examples/ermts_etcs/models/integer_train.asm,integer_train,7,17,4,13,44,evoavalla,NO_VALID_SCENARIOS,NaN,0,0,0,0,null,null,null,null,null,0,0</t>
  </si>
  <si>
    <t>../../../asm_examples/examples/simple_example/SwapSort.asm,SwapSort,3,2,0,1,6,evoavalla,NO_VALID_SCENARIOS,65225.0,0,0,0,0,null,null,null,null,null,0,0</t>
  </si>
  <si>
    <t>../../../asm_examples/examples/ticTacToe/ticTacToe_simulator_with_inv.asm,ticTacToe_simulator_with_inv,3,4,0,4,12,evoavalla,NO_VALID_SCENARIOS,NaN,0,0,0,0,null,null,null,null,null,0,0</t>
  </si>
  <si>
    <t>../../../asm_examples/examples/ferryman/ferrymanSimulator.asm,ferrymanSimulator,3,4,0,2,9,evoavalla,NO_VALID_SCENARIOS,66131.0,0,0,0,0,null,null,null,null,null,2,0</t>
  </si>
  <si>
    <t>../../../asm_examples/examples/TrafficLightYakindu/TrafficLight_NOREF/TrafficLight_4.asm,TrafficLight_4,10,25,0,18,80,evoavalla,OK,67666.0,1,1,0,12,0.8,0.36,NaN,0.44444445,0.5625,3,0</t>
  </si>
  <si>
    <t>../../../asm_examples/examples/flashProtocol/flashProtocol_N2_L2_Q1_C.asm,flashProtocol_N2_L2_Q1_C,27,91,23,97,287,evoavalla,NO_VALID_SCENARIOS,NaN,0,0,0,0,null,null,null,null,null,0,0</t>
  </si>
  <si>
    <t>../../../asm_examples/examples/simple_example/while.asm,while,5,4,0,5,17,evoavalla,NO_VALID_SCENARIOS,NaN,0,0,0,0,null,null,null,null,null,0,0</t>
  </si>
  <si>
    <t>../../../asm_examples/unibgstudents/Contatore_U_DA_H.asm,Contatore_U_DA_H,5,4,0,4,15,evoavalla,OK,66183.0,2,2,1,0,0.4,0.25,NaN,0.375,0.33333334,0,0</t>
  </si>
  <si>
    <t>../../../asm_examples/examples/roulette/roulette.asm,roulette,4,4,0,4,14,evoavalla,NO_VALID_SCENARIOS,NaN,0,0,0,0,null,null,null,null,null,0,0</t>
  </si>
  <si>
    <t>../../../asm_examples/stereoacuity/modelReview/certifierGroundWrongGuard.asm,certifierGroundWrongGuard,12,12,0,8,37,evoavalla,NO_VALID_SCENARIOS,NaN,0,0,0,0,null,null,null,null,null,0,0</t>
  </si>
  <si>
    <t>../../../asm_examples/DAS/TrafficMonitoringSystem/validation/mainForModelCheckingR2.asm,mainForModelCheckingR2,31,42,9,59,199,evoavalla,NO_VALID_SCENARIOS,NaN,0,0,0,0,null,null,null,null,null,0,0</t>
  </si>
  <si>
    <t>../../../asm_examples/examples/coffeeVendingMachine/coffeeVendingMachine.asm,coffeeVendingMachine,2,2,0,4,9,evoavalla,OK,66330.0,1,1,1,8,1.0,1.0,NaN,0.625,1.0,1,0</t>
  </si>
  <si>
    <t>../../../asm_examples/examples/agents/producerConsumerGround.asm,producerConsumerGround,7,5,0,2,18,evoavalla,NO_VALID_SCENARIOS,NaN,0,0,0,0,null,null,null,null,null,0,0</t>
  </si>
  <si>
    <t>../../../asm_examples/examples/simple_example/MorraCinese/withActors/MorraCinese_withActors_raff2.asm,MorraCinese_withActors_raff2,1,7,0,2,13,evoavalla,NO_VALID_SCENARIOS,NaN,0,0,0,0,null,null,null,null,null,0,0</t>
  </si>
  <si>
    <t>../../../asm_examples/examples/NeedhamSchroeder/NeedhamSchroederLoweWithSpy.asm,NeedhamSchroederLoweWithSpy,13,20,1,11,81,evoavalla,NO_VALID_SCENARIOS,NaN,0,0,0,0,null,null,null,null,null,0,0</t>
  </si>
  <si>
    <t>../../../asm_examples/systemc/orgate/main.asm,main,1,0,0,0,1,evoavalla,NO_VALID_SCENARIOS,NaN,0,0,0,0,null,null,null,null,null,0,0</t>
  </si>
  <si>
    <t>../../../asm_examples/examples/traffic_light/oneWayTrafficLightOnlyPassedFlat.asm,oneWayTrafficLightOnlyPassedFlat,5,12,0,5,26,evoavalla,OK,66190.0,1,4,1,25,1.0,1.0,NaN,0.9,1.0,0,1</t>
  </si>
  <si>
    <t>../../../asm_examples/examples/fsmsemantics/meta_hooking/FSM_spec.asm,FSM_spec,3,2,0,1,7,evoavalla,NO_VALID_SCENARIOS,NaN,0,0,0,0,null,null,null,null,null,0,0</t>
  </si>
  <si>
    <t>../../../asm_examples/examples/hemodialysisDevice/ABZ2016/Hemodialysis_ref3_forMC.asm,Hemodialysis_ref3_forMC,102,111,0,127,381,evoavalla,OK,83632.0,2,10,3,300,0.12745099,0.08108108,NaN,0.11811024,0.112860896,0,0</t>
  </si>
  <si>
    <t>../../../asm_examples/examples/agents/populationAgent.asm,populationAgent,4,7,1,8,20,evoavalla,NO_VALID_SCENARIOS,NaN,0,0,0,0,null,null,null,null,null,0,0</t>
  </si>
  <si>
    <t>../../../asm_examples/examples/petriNets/forAsmetaSMV/petriNet_forNuSMV_withDeadlock.asm,petriNet_forNuSMV_withDeadlock,2,1,1,2,4,evoavalla,NO_VALID_SCENARIOS,NaN,0,0,0,0,null,null,null,null,null,0,0</t>
  </si>
  <si>
    <t>../../../asm_examples/examples/simple_example/Invariants.asm,Invariants,1,1,0,1,2,evoavalla,NO_VALID_SCENARIOS,65672.0,0,0,0,0,null,null,null,null,null,0,0</t>
  </si>
  <si>
    <t>../../../asm_examples/examples/ermts_etcs/models/ertms_hl3_integer_disco_lostint_lengthchanged.asm,ertms_hl3_integer_disco_lostint_lengthchanged,19,64,19,49,158,evoavalla,NO_VALID_SCENARIOS,NaN,0,0,0,0,null,null,null,null,null,0,0</t>
  </si>
  <si>
    <t>../../../asm_examples/examples/traffic_light/Timer/oneWayTrafficLight_refinedMillisec.asm,oneWayTrafficLight_refinedMillisec,8,9,1,11,44,evoavalla,NO_VALID_SCENARIOS,NaN,0,0,0,0,null,null,null,null,null,0,0</t>
  </si>
  <si>
    <t>../../../asm_examples/stereoacuity/certifier_nochoose_noundef.asm,certifier_nochoose_noundef,17,28,0,17,74,evoavalla,OK,70598.0,12,37,12,344,1.0,0.89285713,NaN,0.9411765,1.0,0,0</t>
  </si>
  <si>
    <t>../../../asm_examples/examples/TrafficLightYakindu/TrafficLight4/TrafficLight_4.asm,TrafficLight_4,13,11,0,17,60,evoavalla,OK,68171.0,4,14,12,108,1.0,0.90909094,NaN,0.8235294,1.0,0,0</t>
  </si>
  <si>
    <t>../../../asm_examples/examples/ermts_etcs/models/ertms_hl3_integer_train.asm,ertms_hl3_integer_train,10,26,6,18,66,evoavalla,NO_VALID_SCENARIOS,NaN,0,0,0,0,null,null,null,null,null,0,0</t>
  </si>
  <si>
    <t>../../../asm_examples/unibgstudents/stufa.asm,stufa,10,18,0,11,42,evoavalla,OK,67412.0,1,1,0,10,0.5,0.11111111,NaN,0.27272728,0.33333334,0,0</t>
  </si>
  <si>
    <t>../../../asm_examples/RTPatternLibrary/Application/VisualServoing.asm,VisualServoing,3,1,0,2,32,evoavalla,NO_VALID_SCENARIOS,NaN,0,0,0,0,null,null,null,null,null,0,0</t>
  </si>
  <si>
    <t>../../../asm_examples/examples/agents/producerConsumerRaff.asm,producerConsumerRaff,7,6,0,2,20,evoavalla,NO_VALID_SCENARIOS,NaN,0,0,0,0,null,null,null,null,null,0,0</t>
  </si>
  <si>
    <t>../../../asm_examples/examples/ferryman/ferrymanSimulator_raff1.asm,ferrymanSimulator_raff1,3,5,0,3,11,evoavalla,NO_VALID_SCENARIOS,66032.0,0,0,0,0,null,null,null,null,null,2,0</t>
  </si>
  <si>
    <t>../../../asm_examples/examples/SemaforiAttraversamentoPedonale.asm,SemaforiAttraversamentoPedonale,2,2,0,3,9,evoavalla,NO_VALID_SCENARIOS,NaN,0,0,0,0,null,null,null,null,null,0,0</t>
  </si>
  <si>
    <t>../../../asm_examples/DAS/TrafficMonitoringSystem/seams2015/trafficMonitoringSystem.asm,trafficMonitoringSystem,32,40,10,68,213,evoavalla,NO_VALID_SCENARIOS,NaN,0,0,0,0,null,null,null,null,null,0,0</t>
  </si>
  <si>
    <t>../../../asm_examples/examples/RushHour/emptyCellAs0/RushHourForAsmetaSMV.asm,RushHourForAsmetaSMV,2,2,1,5,11,evoavalla,NO_VALID_SCENARIOS,NaN,0,0,0,0,null,null,null,null,null,0,0</t>
  </si>
  <si>
    <t>../../../asm_examples/examples/petriNets/petriNetEdgeWeightPlaceCapacity_NoSeq_Matrix.asm,petriNetEdgeWeightPlaceCapacity_NoSeq_Matrix,2,1,1,2,4,evoavalla,NO_VALID_SCENARIOS,NaN,0,0,0,0,null,null,null,null,null,0,0</t>
  </si>
  <si>
    <t>../../../asm_examples/examples/production_cell/robot.asm,robot,13,16,1,13,46,evoavalla,NO_VALID_SCENARIOS,NaN,0,0,0,0,null,null,null,null,null,0,0</t>
  </si>
  <si>
    <t>../../../asm_examples/examples/ermts_etcs/scenarios/ertms_hl3_scenario4.asm,ertms_hl3_scenario4,31,121,32,101,307,evoavalla,NO_VALID_SCENARIOS,NaN,0,0,0,0,null,null,null,null,null,0,0</t>
  </si>
  <si>
    <t>../../../asm_examples/examples/traffic_light/forAsmetaSMV/oneWayTrafficLight.asm,oneWayTrafficLight,7,5,0,8,29,evoavalla,NO_VALID_SCENARIOS,NaN,0,0,0,0,null,null,null,null,null,0,0</t>
  </si>
  <si>
    <t>../../../asm_examples/examples/landingGearSystem/LGS_EV.asm,LGS_EV,4,38,0,3,60,evoavalla,OK,68119.0,5,25,10,210,1.0,1.0,NaN,1.0,1.0,0,0</t>
  </si>
  <si>
    <t>../../../asm_examples/examples/RushHour/RushHourMonSimplForAsmetaSMV.asm,RushHourMonSimplForAsmetaSMV,2,2,1,5,10,evoavalla,NO_VALID_SCENARIOS,NaN,0,0,0,0,null,null,null,null,null,0,0</t>
  </si>
  <si>
    <t>../../../asm_examples/DAS/TrafficMonitoringSystem/validation/mainForModelCheckingNoSelfHealerNoFailures.asm,mainForModelCheckingNoSelfHealerNoFailures,22,28,6,32,129,evoavalla,NO_VALID_SCENARIOS,NaN,0,0,0,0,null,null,null,null,null,0,0</t>
  </si>
  <si>
    <t>../../../asm_examples/examples/sultanSuccessors/sultan.asm,sultan,3,7,0,4,15,evoavalla,NO_VALID_SCENARIOS,NaN,0,0,0,0,null,null,null,null,null,0,0</t>
  </si>
  <si>
    <t>../../../asm_examples/examples/RushHour/RushHourSimplForAsmetaSMV.asm,RushHourSimplForAsmetaSMV,2,2,1,5,9,evoavalla,NO_VALID_SCENARIOS,NaN,0,0,0,0,null,null,null,null,null,0,0</t>
  </si>
  <si>
    <t>../../../asm_examples/examples/ermts_etcs/scenarios/ertms_hl3_scenario2.asm,ertms_hl3_scenario2,30,126,34,108,321,evoavalla,NO_VALID_SCENARIOS,NaN,0,0,0,0,null,null,null,null,null,0,0</t>
  </si>
  <si>
    <t>../../../asm_examples/RTPatternLibrary/Application/CompleteApplication.asm,CompleteApplication,3,1,0,2,51,evoavalla,NO_VALID_SCENARIOS,NaN,0,0,0,0,null,null,null,null,null,0,0</t>
  </si>
  <si>
    <t>../../../asm_examples/erinda/fms_io_for_atgt.asm,fms_io_for_atgt,5,4,0,4,14,evoavalla,NO_VALID_SCENARIOS,NaN,0,0,0,0,null,null,null,null,null,0,0</t>
  </si>
  <si>
    <t>../../../asm_examples/examples/landingGearSystem/LGS_SE_v2.asm,LGS_SE_v2,4,38,0,9,66,evoavalla,OK,68852.0,7,33,29,280,1.0,1.0,NaN,0.6666667,1.0,0,0</t>
  </si>
  <si>
    <t>../../../asm_examples/examples/hemodialysisDevice/ABZ2016/Hemodialysis_ref2_par.asm,Hemodialysis_ref2_par,93,95,0,122,387,evoavalla,OK,92599.0,2,2,2,240,0.043010753,0.010526316,NaN,0.04918033,0.043927647,0,0</t>
  </si>
  <si>
    <t>../../../asm_examples/DAS/TrafficMonitoringSystem/validation/mainForModelCheckingWithPatterns.asm,mainForModelCheckingWithPatterns,32,40,10,68,213,evoavalla,NO_VALID_SCENARIOS,NaN,0,0,0,0,null,null,null,null,null,0,0</t>
  </si>
  <si>
    <t>../../../asm_examples/examples/GilbreathCardTrick/GilbreathCardTrickSimpl.asm,GilbreathCardTrickSimpl,7,11,2,9,39,evoavalla,NO_VALID_SCENARIOS,NaN,0,0,0,0,null,null,null,null,null,0,0</t>
  </si>
  <si>
    <t>../../../asm_examples/examples/models/LIFT.asm,LIFT,9,11,4,8,33,evoavalla,NO_VALID_SCENARIOS,NaN,0,0,0,0,null,null,null,null,null,0,0</t>
  </si>
  <si>
    <t>../../../asm_examples/examples/petriNets/forAsmetaSMV/petriNet_forNuSMV_reversable.asm,petriNet_forNuSMV_reversable,2,1,1,2,4,evoavalla,NO_VALID_SCENARIOS,NaN,0,0,0,0,null,null,null,null,null,0,0</t>
  </si>
  <si>
    <t>../../../asm_examples/examples/landingGearSystem/LGS_GM.asm,LGS_GM,4,15,0,3,22,evoavalla,OK,67269.0,7,33,14,80,1.0,1.0,NaN,1.0,1.0,0,0</t>
  </si>
  <si>
    <t>../../../asm_examples/examples_for_nuXmv/FunctionInt.asm,FunctionInt,1,3,0,2,6,evoavalla,NO_VALID_SCENARIOS,NaN,0,0,0,0,null,null,null,null,null,0,0</t>
  </si>
  <si>
    <t>../../../asm_examples/examples/models/FlipFlop.asm,FlipFlop,3,1,0,1,7,evoavalla,NO_VALID_SCENARIOS,NaN,0,0,0,0,null,null,null,null,null,0,0</t>
  </si>
  <si>
    <t>../../../asm_examples/examples/traffic_light/Timer/oneWayTrafficLight_refinedMillisecSec.asm,oneWayTrafficLight_refinedMillisecSec,8,9,1,11,44,evoavalla,NO_VALID_SCENARIOS,NaN,0,0,0,0,null,null,null,null,null,0,0</t>
  </si>
  <si>
    <t>../../../asm_examples/examples/simple_example/euclideMCD_init.asm,euclideMCD_init,1,2,0,2,4,evoavalla,OK,65722.0,2,4,4,0,1.0,0.5,NaN,0.75,0.75,0,0</t>
  </si>
  <si>
    <t>../../../asm_examples/systemc/counterAG/main_user.asm,main_user,1,0,0,0,1,evoavalla,NO_VALID_SCENARIOS,NaN,0,0,0,0,null,null,null,null,null,0,0</t>
  </si>
  <si>
    <t>../../../asm_examples/unibgstudents/VideotecaASM.asm,VideotecaASM,8,24,0,20,66,evoavalla,NO_VALID_SCENARIOS,73202.0,0,0,0,0,null,null,null,null,null,0,0</t>
  </si>
  <si>
    <t>../../../asm_examples/examples/hemodialysisDevice/ABZ2016/Hemodialysis_ref1_forMC.asm,Hemodialysis_ref1_forMC,58,59,0,70,196,evoavalla,OK,75889.0,3,34,17,333,0.41379312,0.33898306,NaN,0.5714286,0.5408163,0,0</t>
  </si>
  <si>
    <t>../../../asm_examples/examples/sluicegate/Timer/sluiceGateGround.asm,sluiceGateGround,1,2,0,2,9,evoavalla,NO_VALID_SCENARIOS,NaN,0,0,0,0,null,null,null,null,null,0,0</t>
  </si>
  <si>
    <t>../../../asm_examples/erinda/FMS_IO_3.asm,FMS_IO_3,5,46,0,4,59,evoavalla,NO_VALID_SCENARIOS,NaN,0,0,0,0,null,null,null,null,null,0,0</t>
  </si>
  <si>
    <t>../../../asm_examples/examples/sluicegate/sluiceGateMotorCtl.asm,sluiceGateMotorCtl,4,9,0,8,28,evoavalla,OK,66833.0,1,4,4,15,1.0,1.0,NaN,0.75,1.0,0,1</t>
  </si>
  <si>
    <t>../../../asm_examples/examples/fsmsemantics/meta_hooking/FSM.asm,FSM,3,2,1,2,8,evoavalla,NO_VALID_SCENARIOS,NaN,0,0,0,0,null,null,null,null,null,0,0</t>
  </si>
  <si>
    <t>../../../asm_examples/examples/petriNets/forModelAdvisor/petriNet_forModelAdvisor_InconsUpdateViolation2.asm,petriNet_forModelAdvisor_InconsUpdateViolation2,2,2,2,3,7,evoavalla,NO_VALID_SCENARIOS,NaN,0,0,0,0,null,null,null,null,null,0,0</t>
  </si>
  <si>
    <t>../../../asm_examples/examples/parking.asm,parking,2,2,1,5,9,evoavalla,NO_VALID_SCENARIOS,NaN,0,0,0,0,null,null,null,null,null,0,0</t>
  </si>
  <si>
    <t>../../../asm_examples/RTPatternLibrary/Application/RobotController.asm,RobotController,3,1,0,2,42,evoavalla,NO_VALID_SCENARIOS,NaN,0,0,0,0,null,null,null,null,null,0,0</t>
  </si>
  <si>
    <t>../../../asm_examples/examples/hemodialysisDevice/SCP2017/HemodialysisRef2.asm,HemodialysisRef2,143,128,1,207,578,evoavalla,OK,107481.0,1,2,2,234,0.055944055,0.03125,0.0,0.04589372,0.060553633,0,1</t>
  </si>
  <si>
    <t>../../../asm_examples/examples_for_nuXmv/FunctionInt2.asm,FunctionInt2,1,2,0,1,3,evoavalla,NO_VALID_SCENARIOS,NaN,0,0,0,0,null,null,null,null,null,0,0</t>
  </si>
  <si>
    <t>../../../asm_examples/PHD/phd_master_flat2_v1.asm,phd_master_flat2_v1,4,52,0,3,85,evoavalla,OK,70217.0,24,52,51,128,1.0,0.78846157,NaN,1.0,1.0,0,0</t>
  </si>
  <si>
    <t>../../../asm_examples/PillBox/Level1/pillbox_1_elia.asm,pillbox_1_elia,7,21,0,10,45,evoavalla,NO_VALID_SCENARIOS,NaN,0,0,0,0,null,null,null,null,null,0,0</t>
  </si>
  <si>
    <t>../../../asm_examples/examples/GilbreathCardTrick/workingButNotElegant/GilbreathCardTrickWithAuxFunctionSimple.asm,GilbreathCardTrickWithAuxFunctionSimple,4,15,1,8,34,evoavalla,NO_VALID_SCENARIOS,NaN,0,0,0,0,null,null,null,null,null,0,0</t>
  </si>
  <si>
    <t>../../../asm_examples/examples/agents/populationAgent_raff1_twoPersons.asm,populationAgent_raff1_twoPersons,4,7,1,8,20,evoavalla,NO_VALID_SCENARIOS,NaN,0,0,0,0,null,null,null,null,null,0,0</t>
  </si>
  <si>
    <t>../../../asm_examples/examples/simple_example/QuickSort.asm,QuickSort,1,1,0,0,1,evoavalla,NO_VALID_SCENARIOS,NaN,0,0,0,0,null,null,null,null,null,0,0</t>
  </si>
  <si>
    <t>../../../asm_examples/examples/ABZ2020/CarSystemModule/CarSystem002/CarSystem002main.asm,CarSystem002main,2,2,0,0,10,evoavalla,NO_VALID_SCENARIOS,NaN,0,0,0,0,null,null,null,null,null,0,0</t>
  </si>
  <si>
    <t>../../../asm_examples/stereoacuity/certifierGround.asm,certifierGround,12,12,0,7,36,evoavalla,OK,67045.0,4,13,5,70,1.0,0.9166667,NaN,1.0,1.0,0,0</t>
  </si>
  <si>
    <t>../../../asm_examples/examples/philosophers/philosophers3.asm,philosophers3,4,6,0,5,17,evoavalla,NO_VALID_SCENARIOS,NaN,0,0,0,0,null,null,null,null,null,0,0</t>
  </si>
  <si>
    <t>../../../asm_examples/examples/traffic_light/oneWayTrafficLightUsingEnumFlat.asm,oneWayTrafficLightUsingEnumFlat,5,12,0,8,29,evoavalla,OK,66870.0,2,5,4,35,1.0,1.0,NaN,0.8125,1.0,0,0</t>
  </si>
  <si>
    <t>../../../asm_examples/examples/simple_example/euclideMCD.asm,euclideMCD,1,2,0,2,4,evoavalla,OK,65622.0,1,2,0,0,1.0,1.0,NaN,0.75,1.0,0,0</t>
  </si>
  <si>
    <t>../../../asm_examples/examples/hemodialysisDevice/ABZ2016/Hemodialysis_ref2_forMC.asm,Hemodialysis_ref2_forMC,89,95,0,108,324,evoavalla,OK,74524.0,2,2,2,88,0.04494382,0.010526316,NaN,0.055555556,0.052469134,0,0</t>
  </si>
  <si>
    <t>../../../asm_examples/examples/agents/populationAgent_raff1_fourPersons.asm,populationAgent_raff1_fourPersons,4,7,1,8,20,evoavalla,NO_VALID_SCENARIOS,NaN,0,0,0,0,null,null,null,null,null,0,0</t>
  </si>
  <si>
    <t>../../../asm_examples/examples/simple_example/population_raff1_fourPersons.asm,population_raff1_fourPersons,4,7,1,8,21,evoavalla,NO_VALID_SCENARIOS,NaN,0,0,0,0,null,null,null,null,null,0,0</t>
  </si>
  <si>
    <t>../../../asm_examples/examples/swapBoard.asm,swapBoard,3,4,1,3,11,evoavalla,NO_VALID_SCENARIOS,NaN,0,0,0,0,null,null,null,null,null,0,0</t>
  </si>
  <si>
    <t>../../../asm_examples/examples/simple_example/IncosistentUpdate.asm,IncosistentUpdate,1,2,0,2,5,evoavalla,NO_VALID_SCENARIOS,NaN,0,0,0,0,null,null,null,null,null,0,0</t>
  </si>
  <si>
    <t>../../../asm_examples/examples/agents/SeqSelf.asm,SeqSelf,4,2,0,0,5,evoavalla,NO_VALID_SCENARIOS,NaN,0,0,0,0,null,null,null,null,null,0,0</t>
  </si>
  <si>
    <t>../../../asm_examples/systemc/clock/main.asm,main,1,0,0,0,1,evoavalla,NO_VALID_SCENARIOS,NaN,0,0,0,0,null,null,null,null,null,0,0</t>
  </si>
  <si>
    <t>../../../asm_examples/examples/ABZ2020/CarSystemModule/CarSystem003/CarSystem003main.asm,CarSystem003main,2,2,0,0,11,evoavalla,NO_VALID_SCENARIOS,NaN,0,0,0,0,null,null,null,null,null,0,0</t>
  </si>
  <si>
    <t>../../../asm_examples/examples/petriNets/petriNetNoEdgeWeightNoPlaceCapacity_seq.asm,petriNetNoEdgeWeightNoPlaceCapacity_seq,2,2,2,3,7,evoavalla,NO_VALID_SCENARIOS,NaN,0,0,0,0,null,null,null,null,null,0,0</t>
  </si>
  <si>
    <t>../../../asm_examples/examples/ermts_etcs/scenarios/ertms_hl3_scenario3.asm,ertms_hl3_scenario3,30,126,34,108,321,evoavalla,NO_VALID_SCENARIOS,NaN,0,0,0,0,null,null,null,null,null,0,0</t>
  </si>
  <si>
    <t>../../../asm_examples/examples/Yahalom/FlawedYahalom.asm,FlawedYahalom,11,29,2,20,97,evoavalla,NO_VALID_SCENARIOS,NaN,0,0,0,0,null,null,null,null,null,0,0</t>
  </si>
  <si>
    <t>../../../asm_examples/examples/simple_example/population.asm,population,3,7,1,8,20,evoavalla,NO_VALID_SCENARIOS,NaN,0,0,0,0,null,null,null,null,null,0,0</t>
  </si>
  <si>
    <t>../../../asm_examples/examples/fsmsemantics/meta_hooking/myFSM.asm,myFSM,3,2,0,1,7,evoavalla,NO_VALID_SCENARIOS,NaN,0,0,0,0,null,null,null,null,null,0,0</t>
  </si>
  <si>
    <t>../../../asm_examples/examples/ABZ2020/CarSystemModule/CarSystem008/CarSystem008main.asm,CarSystem008main,2,4,0,0,19,evoavalla,NO_VALID_SCENARIOS,NaN,0,0,0,0,null,null,null,null,null,0,0</t>
  </si>
  <si>
    <t>../../../asm_examples/examples/testRanges.asm,testRanges,1,0,0,0,1,evoavalla,OK,65640.0,1,1,0,0,1.0,NaN,NaN,NaN,1.0,0,0</t>
  </si>
  <si>
    <t>../../../asm_examples/examples/traffic_light/oneWayTrafficLight_refined_with_agents_problem.asm,oneWayTrafficLight_refined_with_agents_problem,13,8,1,11,50,evoavalla,NO_VALID_SCENARIOS,NaN,0,0,0,0,null,null,null,null,null,0,0</t>
  </si>
  <si>
    <t>../../../asm_examples/examples/landingGearSystem/LGS_HM.asm,LGS_HM,5,46,0,18,86,evoavalla,NO_VALID_SCENARIOS,68625.0,0,0,0,0,null,null,null,null,null,0,2</t>
  </si>
  <si>
    <t>../../../asm_examples/PillBox/Level2/pillbox_2_elia.asm,pillbox_2_elia,7,31,1,20,66,evoavalla,NO_VALID_SCENARIOS,NaN,0,0,0,0,null,null,null,null,null,0,0</t>
  </si>
  <si>
    <t>../../../asm_examples/stereoacuity/certifierRaff5.asm,certifierRaff5,14,20,0,11,53,evoavalla,OK,67925.0,4,17,4,149,1.0,0.75,NaN,1.0,1.0,0,0</t>
  </si>
  <si>
    <t>../../../asm_examples/examples/simple_example/MorraCinese/MorraCinese_raff1.asm,MorraCinese_raff1,1,6,0,1,10,evoavalla,NO_VALID_SCENARIOS,NaN,0,0,0,0,null,null,null,null,null,0,0</t>
  </si>
  <si>
    <t>../../../asm_examples/examples/landingGearSystem/LGS_3L.asm,LGS_3L,4,38,0,9,66,evoavalla,OK,68717.0,3,6,7,63,1.0,0.28947368,NaN,0.2777778,0.34848484,0,1</t>
  </si>
  <si>
    <t>../../../asm_examples/examples/agents/FileSystem.asm,FileSystem,3,4,1,3,10,evoavalla,NO_VALID_SCENARIOS,NaN,0,0,0,0,null,null,null,null,null,0,0</t>
  </si>
  <si>
    <t>../../../asm_examples/examples/trafficLightCoSim/trafficlightA.asm,trafficlightA,2,5,0,6,14,evoavalla,NO_VALID_SCENARIOS,NaN,0,0,0,0,null,null,null,null,null,0,0</t>
  </si>
  <si>
    <t>../../../asm_examples/examples/NeedhamSchroeder/NeedhamSchroeder.asm,NeedhamSchroeder,8,16,1,8,56,evoavalla,NO_VALID_SCENARIOS,NaN,0,0,0,0,null,null,null,null,null,0,0</t>
  </si>
  <si>
    <t>../../../asm_examples/examples/simple_example/fattoriale.asm,fattoriale,2,6,0,3,13,evoavalla,OK,65854.0,2,2,2,0,1.0,1.0,NaN,0.8333333,1.0,0,0</t>
  </si>
  <si>
    <t>../../../asm_examples/examples/smartHome/smartHomeNoMultiChannel.asm,smartHomeNoMultiChannel,24,25,0,34,95,evoavalla,NO_VALID_SCENARIOS,NaN,0,0,0,0,null,null,null,null,null,0,0</t>
  </si>
  <si>
    <t>../../../asm_examples/examples/hemodialysisDevice/ABZ2016/Hemodialysis_GM.asm,Hemodialysis_GM,5,2,0,3,11,evoavalla,OK,65567.0,1,3,0,4,1.0,1.0,NaN,1.0,1.0,0,0</t>
  </si>
  <si>
    <t>../../../asm_examples/examples/trafficLightCoSim/emptyModel.asm,emptyModel,1,0,0,0,1,evoavalla,OK,65794.0,1,1,0,0,1.0,NaN,NaN,NaN,1.0,0,0</t>
  </si>
  <si>
    <t>../../../asm_examples/examples/RushHour/emptyCellAs0/RushHour.asm,RushHour,2,2,1,5,9,evoavalla,NO_VALID_SCENARIOS,NaN,0,0,0,0,null,null,null,null,null,0,0</t>
  </si>
  <si>
    <t>../../../asm_examples/examples/parkingSimple.asm,parkingSimple,1,2,0,2,4,evoavalla,OK,65642.0,2,3,4,0,1.0,1.0,NaN,1.0,1.0,0,0</t>
  </si>
  <si>
    <t>../../../asm_examples/examples/RushHour/RushHour.asm,RushHour,2,2,1,5,9,evoavalla,NO_VALID_SCENARIOS,NaN,0,0,0,0,null,null,null,null,null,0,0</t>
  </si>
  <si>
    <t>../../../asm_examples/examples/RushHour/emptyCellAs0/RushHourSimplForAsmetaSMV.asm,RushHourSimplForAsmetaSMV,2,2,1,5,11,evoavalla,NO_VALID_SCENARIOS,NaN,0,0,0,0,null,null,null,null,null,0,0</t>
  </si>
  <si>
    <t>../../../asm_examples/unibgstudents/Prova.asm,Prova,3,2,0,4,9,evoavalla,OK,65664.0,2,3,2,5,1.0,1.0,NaN,0.875,1.0,0,0</t>
  </si>
  <si>
    <t>../../../asm_examples/examples/petriNets/forModelAdvisor/petriNet_forModelAdvisor_InconsUpdateViolation3.asm,petriNet_forModelAdvisor_InconsUpdateViolation3,2,2,2,3,7,evoavalla,NO_VALID_SCENARIOS,NaN,0,0,0,0,null,null,null,null,null,0,0</t>
  </si>
  <si>
    <t>../../../asm_examples/examples/railRoadGate/railroadGate.asm,railroadGate,1,4,0,2,7,evoavalla,OK,66394.0,1,1,1,5,1.0,0.75,NaN,1.0,1.0,2,0</t>
  </si>
  <si>
    <t>../../../asm_examples/examples/simple_example/AdvancedClock.asm,AdvancedClock,2,3,0,2,8,evoavalla,OK,65747.0,1,1,0,0,0.5,0.33333334,NaN,0.25,0.375,0,0</t>
  </si>
  <si>
    <t>../../../asm_examples/examples/fsmsemantics/FSM_map0.asm,FSM_map0,5,8,0,4,21,evoavalla,NO_VALID_SCENARIOS,NaN,0,0,0,0,null,null,null,null,null,0,0</t>
  </si>
  <si>
    <t>../../../asm_examples/examples/simple_example/population_raff1_twoPersons.asm,population_raff1_twoPersons,3,7,1,8,20,evoavalla,NO_VALID_SCENARIOS,NaN,0,0,0,0,null,null,null,null,null,0,0</t>
  </si>
  <si>
    <t>../../../asm_examples/examples/TrafficLightYakindu/TrafficLight2/TrafficLight_2.asm,TrafficLight_2,14,23,0,23,76,evoavalla,OK,68787.0,4,14,12,108,1.0,0.95652175,NaN,0.7826087,1.0,0,0</t>
  </si>
  <si>
    <t>../../../asm_examples/PHD/phd_master_flat2_v6.asm,phd_master_flat2_v6,6,152,0,14,253,evoavalla,OK,78974.0,62,148,148,358,1.0,0.6513158,NaN,0.96428573,0.8577075,0,0</t>
  </si>
  <si>
    <t>../../../asm_examples/examples/ermts_etcs/scenarios/ertms_hl3_scenario8.asm,ertms_hl3_scenario8,30,126,34,109,322,evoavalla,NO_VALID_SCENARIOS,NaN,0,0,0,0,null,null,null,null,null,0,0</t>
  </si>
  <si>
    <t>../../../asm_examples/examples/models/wiper_abs2.asm,wiper_abs2,14,82,0,42,165,evoavalla,NO_VALID_SCENARIOS,NaN,0,0,0,0,null,null,null,null,null,0,0</t>
  </si>
  <si>
    <t>../../../asm_examples/examples/RushHour/emptyCellAs0/RushHourMonSimplForAsmetaSMV.asm,RushHourMonSimplForAsmetaSMV,2,2,1,5,12,evoavalla,NO_VALID_SCENARIOS,NaN,0,0,0,0,null,null,null,null,null,0,0</t>
  </si>
  <si>
    <t>../../../asm_examples/examples/petriNets/petriNetEdgeWeightNoPlaceCapacity_NoSeq_Matrix.asm,petriNetEdgeWeightNoPlaceCapacity_NoSeq_Matrix,2,1,1,2,4,evoavalla,NO_VALID_SCENARIOS,NaN,0,0,0,0,null,null,null,null,null,0,0</t>
  </si>
  <si>
    <t>../../../asm_examples/examples/models/SwapSortMon.asm,SwapSortMon,3,2,0,1,6,evoavalla,NO_VALID_SCENARIOS,NaN,0,0,0,0,null,null,null,null,null,0,0</t>
  </si>
  <si>
    <t>../../../asm_examples/PillBox/Level3/pillbox_FULL.asm,pillbox_FULL,9,29,1,20,69,evoavalla,NO_VALID_SCENARIOS,NaN,0,0,0,0,null,null,null,null,null,0,0</t>
  </si>
  <si>
    <t>../../../asm_examples/examples/production_cell/Production_Cell_with_agents.asm,Production_Cell_with_agents,42,45,0,35,130,evoavalla,NO_VALID_SCENARIOS,NaN,0,0,0,0,null,null,null,null,null,0,0</t>
  </si>
  <si>
    <t>../../../asm_examples/unibgstudents/Rubrica.asm,Rubrica,4,6,0,4,17,evoavalla,OK,66195.0,2,2,2,4,1.0,1.0,NaN,0.875,1.0,0,0</t>
  </si>
  <si>
    <t>../../../asm_examples/examples/Yahalom/Yahalom.asm,Yahalom,11,29,2,20,97,evoavalla,NO_VALID_SCENARIOS,NaN,0,0,0,0,null,null,null,null,null,0,0</t>
  </si>
  <si>
    <t>../../../asm_examples/examples/NeedhamSchroeder/NeedhamSchroederWithSpy.asm,NeedhamSchroederWithSpy,13,20,1,11,82,evoavalla,NO_VALID_SCENARIOS,NaN,0,0,0,0,null,null,null,null,null,0,0</t>
  </si>
  <si>
    <t>../../../asm_examples/examples/filosofiEciliegie/filosofiEciliegie.asm,filosofiEciliegie,2,5,0,4,12,evoavalla,NO_VALID_SCENARIOS,NaN,0,0,0,0,null,null,null,null,null,0,0</t>
  </si>
  <si>
    <t>../../../asm_examples/examples/simple_example/MorraCinese/withActors/MorraCinese_withActors_raff3.asm,MorraCinese_withActors_raff3,1,7,0,2,13,evoavalla,NO_VALID_SCENARIOS,NaN,0,0,0,0,null,null,null,null,null,0,0</t>
  </si>
  <si>
    <t>../../../asm_examples/examples/sensorVotingSimpleVersion.asm,sensorVotingSimpleVersion,2,5,0,4,12,evoavalla,OK,65996.0,3,3,3,0,1.0,1.0,NaN,0.75,1.0,0,0</t>
  </si>
  <si>
    <t>../../../asm_examples/DAS/TrafficMonitoringSystem/validation/mainForModelCheckingTwoCameras.asm,mainForModelCheckingTwoCameras,31,42,9,59,199,evoavalla,NO_VALID_SCENARIOS,NaN,0,0,0,0,null,null,null,null,null,0,0</t>
  </si>
  <si>
    <t>../../../asm_examples/examples/simple_example/fibonacci.asm,fibonacci,3,3,0,2,9,evoavalla,NO_VALID_SCENARIOS,NaN,0,0,0,0,null,null,null,null,null,0,0</t>
  </si>
  <si>
    <t>../../../asm_examples/examples/simple_example/swapSortOnSeq.asm,swapSortOnSeq,1,1,0,1,2,evoavalla,NO_VALID_SCENARIOS,NaN,0,0,0,0,null,null,null,null,null,0,0</t>
  </si>
  <si>
    <t>../../../asm_examples/examples/giocoDelleTreScatole.asm,giocoDelleTreScatole,2,6,0,4,14,evoavalla,NO_VALID_SCENARIOS,NaN,0,0,0,0,null,null,null,null,null,0,0</t>
  </si>
  <si>
    <t>../../../asm_examples/examples/sluicegate/sluiceGate_with_agents.asm,sluiceGate_with_agents,7,13,0,12,47,evoavalla,NO_VALID_SCENARIOS,NaN,0,0,0,0,null,null,null,null,null,0,0</t>
  </si>
  <si>
    <t>../../../asm_examples/examples/darts.asm,darts,2,2,0,4,10,evoavalla,NO_VALID_SCENARIOS,NaN,0,0,0,0,null,null,null,null,null,0,0</t>
  </si>
  <si>
    <t>../../../asm_examples/stereoacuity/certifierRaff5ForSMTproof.asm,certifierRaff5ForSMTproof,15,24,0,13,61,evoavalla,OK,68914.0,6,25,12,279,1.0,0.7916667,NaN,0.96153843,1.0,0,0</t>
  </si>
  <si>
    <t>../../../asm_examples/examples/fsmsemantics/FSM_hooking3.asm,FSM_hooking3,3,2,1,2,8,evoavalla,NO_VALID_SCENARIOS,NaN,0,0,0,0,null,null,null,null,null,0,0</t>
  </si>
  <si>
    <t>../../../asm_examples/examples/traffic_light/oneWayTrafficLightOnlyPassed.asm,oneWayTrafficLightOnlyPassed,5,12,0,5,26,evoavalla,OK,66406.0,1,4,1,25,1.0,1.0,NaN,0.9,1.0,0,1</t>
  </si>
  <si>
    <t>../../../asm_examples/examples/authenticationProtocols/groundModel_v2.asm,groundModel_v2,8,14,3,12,50,evoavalla,NO_VALID_SCENARIOS,NaN,0,0,0,0,null,null,null,null,null,0,0</t>
  </si>
  <si>
    <t>../../../asm_examples/examples/sultanSuccessors/sultanGreedy.asm,sultanGreedy,3,3,0,2,8,evoavalla,NO_VALID_SCENARIOS,NaN,0,0,0,0,null,null,null,null,null,0,0</t>
  </si>
  <si>
    <t>../../../asm_examples/examples/diceKnuthYao.asm,diceKnuthYao,1,10,0,7,17,evoavalla,NO_VALID_SCENARIOS,NaN,0,0,0,0,null,null,null,null,null,0,0</t>
  </si>
  <si>
    <t>../../../asm_examples/examples/production_cell/crane.asm,crane,7,8,1,7,24,evoavalla,NO_VALID_SCENARIOS,NaN,0,0,0,0,null,null,null,null,null,0,0</t>
  </si>
  <si>
    <t>../../../asm_examples/PillBox/Level2/pillbox_2_for_RefProv.asm,pillbox_2_for_RefProv,9,40,1,30,91,evoavalla,NO_VALID_SCENARIOS,NaN,0,0,0,0,null,null,null,null,null,0,0</t>
  </si>
  <si>
    <t>../../../asm_examples/stereoacuity/certifierRaff2.asm,certifierRaff2,14,18,0,10,50,atgt,OK,148.0,6,28,23,85,1.0,0.9444444,NaN,0.95,0.98,0,0</t>
  </si>
  <si>
    <t>../../../asm_examples/examples/RushHour/RushHourForAsmetaSMV.asm,RushHourForAsmetaSMV,2,2,1,5,9,atgt,NO_VALID_SCENARIOS,NaN,0,0,0,0,null,null,null,null,null,0,0</t>
  </si>
  <si>
    <t>../../../asm_examples/examples/GilbreathCardTrick/GilbreathCardTrick.asm,GilbreathCardTrick,5,17,2,12,45,atgt,NO_VALID_SCENARIOS,NaN,0,0,0,0,null,null,null,null,null,0,0</t>
  </si>
  <si>
    <t>../../../asm_examples/examples/hemodialysisDevice/ABZ2016/Hemodialysis_ref3_par.asm,Hemodialysis_ref3_par,107,110,0,142,444,atgt,NO_VALID_SCENARIOS,NaN,0,0,0,0,null,null,null,null,null,0,0</t>
  </si>
  <si>
    <t>../../../asm_examples/examples/simple_example/FLIP_FLOP_0.asm,FLIP_FLOP_0,2,2,0,1,6,atgt,NO_VALID_SCENARIOS,NaN,0,0,0,0,null,null,null,null,null,0,0</t>
  </si>
  <si>
    <t>../../../asm_examples/examples/RushHour/RushHourMonForAsmetaSMV.asm,RushHourMonForAsmetaSMV,2,2,1,5,10,atgt,NO_VALID_SCENARIOS,NaN,0,0,0,0,null,null,null,null,null,0,0</t>
  </si>
  <si>
    <t>../../../asm_examples/examples/battleship.asm,battleship,1,4,0,4,10,atgt,NO_VALID_SCENARIOS,NaN,0,0,0,0,null,null,null,null,null,0,0</t>
  </si>
  <si>
    <t>../../../asm_examples/examples/flashProtocol/flashProtocol_N2_L1_Q1.asm,flashProtocol_N2_L1_Q1,27,91,22,91,275,atgt,NO_VALID_SCENARIOS,NaN,0,0,0,0,null,null,null,null,null,0,0</t>
  </si>
  <si>
    <t>../../../asm_examples/examples/production_cell/ert.asm,ert,5,4,1,5,14,atgt,NO_VALID_SCENARIOS,NaN,0,0,0,0,null,null,null,null,null,0,0</t>
  </si>
  <si>
    <t>../../../asm_examples/examples/ermts_etcs/scenarios/ertms_hl3_scenario7.asm,ertms_hl3_scenario7,24,98,31,100,274,atgt,NO_VALID_SCENARIOS,NaN,0,0,0,0,null,null,null,null,null,0,0</t>
  </si>
  <si>
    <t>../../../asm_examples/examples/simpleMinesweeper.asm,simpleMinesweeper,2,3,0,3,7,atgt,NO_VALID_SCENARIOS,NaN,0,0,0,0,null,null,null,null,null,0,0</t>
  </si>
  <si>
    <t>../../../asm_examples/examples/ticTacToe/ticTacToe_simulator.asm,ticTacToe_simulator,3,4,0,4,12,atgt,NO_VALID_SCENARIOS,NaN,0,0,0,0,null,null,null,null,null,0,0</t>
  </si>
  <si>
    <t>../../../asm_examples/examples/fsmsemantics/Sle/ASM_even.asm,ASM_even,3,2,1,2,7,atgt,NO_VALID_SCENARIOS,NaN,0,0,0,0,null,null,null,null,null,0,0</t>
  </si>
  <si>
    <t>../../../asm_examples/examples/GilbreathCardTrick/GilbreathCardTrickForAsmetaSMV.asm,GilbreathCardTrickForAsmetaSMV,5,15,2,12,41,atgt,NO_VALID_SCENARIOS,NaN,0,0,0,0,null,null,null,null,null,0,0</t>
  </si>
  <si>
    <t>../../../asm_examples/examples/petriNets/forAsmetaSMV/petriNet_forNuSMV.asm,petriNet_forNuSMV,2,1,1,2,4,atgt,NO_VALID_SCENARIOS,NaN,0,0,0,0,null,null,null,null,null,0,0</t>
  </si>
  <si>
    <t>../../../asm_examples/examples/hemodialysisDevice/SCP2017/HemodialysisRef1.asm,HemodialysisRef1,68,42,1,90,242,atgt,NO_VALID_SCENARIOS,NaN,0,0,0,0,null,null,null,null,null,0,0</t>
  </si>
  <si>
    <t>../../../asm_examples/examples/hemodialysisDevice/ABZ2016/Hemodialysis_ref4.asm,Hemodialysis_ref4,162,188,1,245,740,atgt,NO_VALID_SCENARIOS,NaN,0,0,0,0,null,null,null,null,null,0,0</t>
  </si>
  <si>
    <t>../../../asm_examples/examples/sleepingBarber/sleepingBarber.asm,sleepingBarber,3,4,0,6,13,atgt,NO_VALID_SCENARIOS,NaN,0,0,0,0,null,null,null,null,null,0,0</t>
  </si>
  <si>
    <t>../../../asm_examples/examples/fsmsemantics/FSM_hooking2.asm,FSM_hooking2,3,2,0,1,7,atgt,NO_VALID_SCENARIOS,NaN,0,0,0,0,null,null,null,null,null,0,0</t>
  </si>
  <si>
    <t>../../../asm_examples/examples/sluicegate/Timer/sluiceGateMotorCtl.asm,sluiceGateMotorCtl,4,9,0,8,30,atgt,NO_VALID_SCENARIOS,NaN,0,0,0,0,null,null,null,null,null,0,0</t>
  </si>
  <si>
    <t>../../../asm_examples/examples/simple_example/ExtendRule1.asm,ExtendRule1,1,0,0,0,2,atgt,NO_VALID_SCENARIOS,NaN,0,0,0,0,null,null,null,null,null,0,0</t>
  </si>
  <si>
    <t>../../../asm_examples/examples/dice/diceWithProbability.asm,diceWithProbability,2,4,0,3,10,atgt,NO_VALID_SCENARIOS,NaN,0,0,0,0,null,null,null,null,null,0,0</t>
  </si>
  <si>
    <t>../../../asm_examples/examples/sluicegate/Timer/sluiceGateMotorCtl2.asm,sluiceGateMotorCtl2,4,9,0,8,30,atgt,NO_VALID_SCENARIOS,NaN,0,0,0,0,null,null,null,null,null,0,0</t>
  </si>
  <si>
    <t>../../../asm_examples/examples/conwayGameOfLife/gameOfLifeAgents.asm,gameOfLifeAgents,2,2,1,4,6,atgt,NO_VALID_SCENARIOS,NaN,0,0,0,0,null,null,null,null,null,0,0</t>
  </si>
  <si>
    <t>../../../asm_examples/examples/filosofiEciliegie/filosofiEciliegieAgentsJustLeft.asm,filosofiEciliegieAgentsJustLeft,2,3,0,3,7,atgt,NO_VALID_SCENARIOS,NaN,0,0,0,0,null,null,null,null,null,0,0</t>
  </si>
  <si>
    <t>../../../asm_examples/examples/production_cell/TRANSPORTBELT.asm,TRANSPORTBELT,5,6,1,5,17,atgt,NO_VALID_SCENARIOS,NaN,0,0,0,0,null,null,null,null,null,0,0</t>
  </si>
  <si>
    <t>../../../asm_examples/examples/models/ordersystem.asm,ordersystem,7,6,5,13,35,atgt,NO_VALID_SCENARIOS,NaN,0,0,0,0,null,null,null,null,null,0,0</t>
  </si>
  <si>
    <t>../../../asm_examples/DAS/TrafficMonitoringSystem/validation/mainForModelChecking.asm,mainForModelChecking,31,44,10,62,206,atgt,NO_VALID_SCENARIOS,NaN,0,0,0,0,null,null,null,null,null,0,0</t>
  </si>
  <si>
    <t>../../../asm_examples/stereoacuity/certifierRaff4ForSMTproof.asm,certifierRaff4ForSMTproof,15,21,0,14,59,atgt,NO_VALID_SCENARIOS,NaN,0,0,0,0,null,null,null,null,null,0,0</t>
  </si>
  <si>
    <t>../../../asm_examples/examples/ermts_etcs/models/ertms_hl3_integer_disco_lostint_lengthchanged_reco.asm,ertms_hl3_integer_disco_lostint_lengthchanged_reco,21,72,20,58,185,atgt,NO_VALID_SCENARIOS,NaN,0,0,0,0,null,null,null,null,null,0,0</t>
  </si>
  <si>
    <t>../../../asm_examples/examples/ermts_etcs/models/ertms_hl3_integer_disco_lostint_lengthchanged_reco_sweep_timer.asm,ertms_hl3_integer_disco_lostint_lengthchanged_reco_sweep_timer,29,118,28,101,301,atgt,NO_VALID_SCENARIOS,NaN,0,0,0,0,null,null,null,null,null,0,0</t>
  </si>
  <si>
    <t>../../../asm_examples/examples/simple_example/MorraCinese/MorraCinese_raff3.asm,MorraCinese_raff3,1,9,0,3,16,atgt,NO_VALID_SCENARIOS,NaN,0,0,0,0,null,null,null,null,null,0,0</t>
  </si>
  <si>
    <t>../../../asm_examples/stereoacuity/certifierRaff4_noundef.asm,certifierRaff4_noundef,15,21,0,14,59,atgt,NO_VALID_SCENARIOS,NaN,0,0,0,0,null,null,null,null,null,0,0</t>
  </si>
  <si>
    <t>../../../asm_examples/examples/filosofiEciliegie/filosofiEciliegieAgents.asm,filosofiEciliegieAgents,2,5,0,4,11,atgt,NO_VALID_SCENARIOS,NaN,0,0,0,0,null,null,null,null,null,0,0</t>
  </si>
  <si>
    <t>../../../asm_examples/examples/traffic_light/Timer/oneWayTrafficLight_refinedSec.asm,oneWayTrafficLight_refinedSec,8,9,1,11,44,atgt,NO_VALID_SCENARIOS,NaN,0,0,0,0,null,null,null,null,null,0,0</t>
  </si>
  <si>
    <t>../../../asm_examples/examples/models/LIFTDC.asm,LIFTDC,8,4,1,4,22,atgt,NO_VALID_SCENARIOS,NaN,0,0,0,0,null,null,null,null,null,0,0</t>
  </si>
  <si>
    <t>../../../asm_examples/examples/NeedhamSchroeder/NeedhamSchroederLowe.asm,NeedhamSchroederLowe,8,16,1,8,55,atgt,NO_VALID_SCENARIOS,NaN,0,0,0,0,null,null,null,null,null,0,0</t>
  </si>
  <si>
    <t>../../../asm_examples/examples/hemodialysisDevice/ABZ2016/Hemodialysis_ref1_par.asm,Hemodialysis_ref1_par,62,50,0,80,240,atgt,NO_VALID_SCENARIOS,NaN,0,0,0,0,null,null,null,null,null,0,0</t>
  </si>
  <si>
    <t>../../../asm_examples/examples/models/ordersystem_april2010.asm,ordersystem_april2010,7,6,5,14,36,atgt,NO_VALID_SCENARIOS,NaN,0,0,0,0,null,null,null,null,null,0,0</t>
  </si>
  <si>
    <t>../../../asm_examples/examples/tombola.asm,tombola,1,3,0,4,8,atgt,NO_VALID_SCENARIOS,NaN,0,0,0,0,null,null,null,null,null,0,0</t>
  </si>
  <si>
    <t>../../../asm_examples/examples/traffic_light/forAsmetaSMV/oneWayTrafficLight_refined.asm,oneWayTrafficLight_refined,9,13,1,15,50,atgt,NO_VALID_SCENARIOS,NaN,0,0,0,0,null,null,null,null,null,0,0</t>
  </si>
  <si>
    <t>../../../asm_examples/examples_for_nuXmv/provaint.asm,provaint,1,1,0,0,1,atgt,OK,14.0,1,2,0,2,1.0,1.0,NaN,NaN,1.0,0,0</t>
  </si>
  <si>
    <t>../../../asm_examples/examples/traffic_light/oneWayTrafficLightUsingEnum.asm,oneWayTrafficLightUsingEnum,5,12,0,8,29,atgt,OK,234.0,10,38,38,128,1.0,1.0,NaN,1.0,1.0,0,0</t>
  </si>
  <si>
    <t>../../../asm_examples/erinda/FMS_IO_2.asm,FMS_IO_2,5,45,0,4,58,atgt,NO_VALID_SCENARIOS,NaN,0,0,0,0,null,null,null,null,null,0,0</t>
  </si>
  <si>
    <t>../../../asm_examples/PillBox/Level1/pillbox_1.asm,pillbox_1,9,30,0,19,69,atgt,OK,2487.0,18,30,28,134,0.8888889,0.8666667,NaN,0.8947368,0.9130435,0,0</t>
  </si>
  <si>
    <t>../../../asm_examples/RTPatternLibrary/Test/Test_Sem_Async.asm,Test_Sem_Async,2,2,1,6,16,atgt,NO_VALID_SCENARIOS,NaN,0,0,0,0,null,null,null,null,null,0,0</t>
  </si>
  <si>
    <t>../../../asm_examples/examples/traffic_light/oneWayTrafficLight_refined_with_agents_seq.asm,oneWayTrafficLight_refined_with_agents_seq,11,8,1,11,42,atgt,NO_VALID_SCENARIOS,NaN,0,0,0,0,null,null,null,null,null,0,0</t>
  </si>
  <si>
    <t>../../../asm_examples/examples/petriNets/petriNetEdgeWeightNoPlaceCapacity_NoSeq_Matrix_v3.asm,petriNetEdgeWeightNoPlaceCapacity_NoSeq_Matrix_v3,2,1,1,2,4,atgt,NO_VALID_SCENARIOS,NaN,0,0,0,0,null,null,null,null,null,0,0</t>
  </si>
  <si>
    <t>../../../asm_examples/examples/ermts_etcs/scenarios/ertms_hl3_scenario6.asm,ertms_hl3_scenario6,25,98,28,85,252,atgt,NO_VALID_SCENARIOS,NaN,0,0,0,0,null,null,null,null,null,0,0</t>
  </si>
  <si>
    <t>../../../asm_examples/examples/dice/diceNoProbability.asm,diceNoProbability,2,4,0,3,10,atgt,NO_VALID_SCENARIOS,NaN,0,0,0,0,null,null,null,null,null,0,0</t>
  </si>
  <si>
    <t>../../../asm_examples/examples/ermts_etcs/scenarios/ertms_hl3_scenario5.asm,ertms_hl3_scenario5,30,126,34,108,321,atgt,NO_VALID_SCENARIOS,NaN,0,0,0,0,null,null,null,null,null,0,0</t>
  </si>
  <si>
    <t>../../../asm_examples/examples/traffic_light/forAsmetaSMV/oneWayTrafficLight_refined_with_agents.asm,oneWayTrafficLight_refined_with_agents,14,12,1,15,60,atgt,NO_VALID_SCENARIOS,NaN,0,0,0,0,null,null,null,null,null,0,0</t>
  </si>
  <si>
    <t>../../../asm_examples/examples/fsmsemantics/FSM_hooking.asm,FSM_hooking,3,2,0,1,7,atgt,NO_VALID_SCENARIOS,NaN,0,0,0,0,null,null,null,null,null,0,0</t>
  </si>
  <si>
    <t>../../../asm_examples/PillBox/Level2/pillbox_2.asm,pillbox_2,9,40,1,30,91,atgt,NO_VALID_SCENARIOS,NaN,0,0,0,0,null,null,null,null,null,0,0</t>
  </si>
  <si>
    <t>../../../asm_examples/examples/whatTimeIsIt.asm,whatTimeIsIt,1,1,0,0,1,atgt,NO_VALID_SCENARIOS,NaN,0,0,0,0,null,null,null,null,null,0,0</t>
  </si>
  <si>
    <t>../../../asm_examples/stereoacuity/certifierRaff3.asm,certifierRaff3,14,20,0,11,53,atgt,OK,182.0,7,39,34,118,1.0,0.95,NaN,0.95454544,0.9811321,0,0</t>
  </si>
  <si>
    <t>../../../asm_examples/PHD/phd_master_flat2_v3.asm,phd_master_flat2_v3,66,148,0,69,348,atgt,OK,4775.0,101,308,308,689,1.0,0.7905405,NaN,0.98550725,1.0,0,0</t>
  </si>
  <si>
    <t>../../../asm_examples/DAS/TrafficMonitoringSystem/validation/mainForModelCheckingThreeCameras.asm,mainForModelCheckingThreeCameras,31,42,9,59,199,atgt,NO_VALID_SCENARIOS,NaN,0,0,0,0,null,null,null,null,null,0,0</t>
  </si>
  <si>
    <t>../../../asm_examples/examples/RushHour/emptyCellAs0/RushHourMonForAsmetaSMV.asm,RushHourMonForAsmetaSMV,2,2,1,5,12,atgt,NO_VALID_SCENARIOS,NaN,0,0,0,0,null,null,null,null,null,0,0</t>
  </si>
  <si>
    <t>../../../asm_examples/PillBox/Level0/pillbox_0.asm,pillbox_0,9,18,0,15,53,atgt,OK,205.0,9,35,89,79,1.0,1.0,NaN,1.0,1.0,0,0</t>
  </si>
  <si>
    <t>../../../asm_examples/PHD/phd_master_flat2_v7.asm,phd_master_flat2_v7,7,184,0,18,307,atgt,OK,7555.0,138,523,562,789,1.0,0.79347825,NaN,1.0,0.990228,0,0</t>
  </si>
  <si>
    <t>../../../asm_examples/examples/models/SIS.asm,SIS,10,14,0,11,36,atgt,OK,450.0,7,27,81,86,0.9,0.85714287,NaN,0.90909094,0.9444444,0,0</t>
  </si>
  <si>
    <t>../../../asm_examples/examples/RushHour/emptyCellAs0/RushHourMon.asm,RushHourMon,2,2,1,5,9,atgt,NO_VALID_SCENARIOS,NaN,0,0,0,0,null,null,null,null,null,0,0</t>
  </si>
  <si>
    <t>../../../asm_examples/DAS/TrafficMonitoringSystem/validation/mainForModelCheckingR1.asm,mainForModelCheckingR1,31,44,10,61,205,atgt,NO_VALID_SCENARIOS,NaN,0,0,0,0,null,null,null,null,null,0,0</t>
  </si>
  <si>
    <t>../../../asm_examples/examples/ermts_etcs/models/ertms_hl3_integer_disco_lostint_lengthchanged_reco_sweep.asm,ertms_hl3_integer_disco_lostint_lengthchanged_reco_sweep,22,79,20,61,198,atgt,NO_VALID_SCENARIOS,NaN,0,0,0,0,null,null,null,null,null,0,0</t>
  </si>
  <si>
    <t>../../../asm_examples/examples/slotMachine.asm,slotMachine,2,4,0,3,10,atgt,NO_VALID_SCENARIOS,NaN,0,0,0,0,null,null,null,null,null,0,0</t>
  </si>
  <si>
    <t>../../../asm_examples/examples/cards.asm,cards,2,3,1,3,9,atgt,NO_VALID_SCENARIOS,NaN,0,0,0,0,null,null,null,null,null,0,0</t>
  </si>
  <si>
    <t>../../../asm_examples/examples/philosophers/philosophers1.asm,philosophers1,4,6,0,5,16,atgt,NO_VALID_SCENARIOS,NaN,0,0,0,0,null,null,null,null,null,0,0</t>
  </si>
  <si>
    <t>../../../asm_examples/stereoacuity/certifier_nochoose.asm,certifier_nochoose,16,24,0,15,66,atgt,OK,1652.0,5,25,44,95,1.0,0.875,NaN,0.93333334,0.90909094,18,0</t>
  </si>
  <si>
    <t>../../../asm_examples/examples/ABZ2020/CarSystemModule/CarSystem007/CarSystem007main.asm,CarSystem007main,2,2,0,0,11,atgt,NO_VALID_SCENARIOS,NaN,0,0,0,0,null,null,null,null,null,0,0</t>
  </si>
  <si>
    <t>../../../asm_examples/DAS/TrafficMonitoringSystem/main.asm,main,2,0,1,1,2,atgt,NO_VALID_SCENARIOS,NaN,0,0,0,0,null,null,null,null,null,0,0</t>
  </si>
  <si>
    <t>../../../asm_examples/examples/carController.asm,carController,1,5,0,2,7,atgt,OK,40.0,3,12,23,9,1.0,1.0,NaN,1.0,1.0,0,0</t>
  </si>
  <si>
    <t>../../../asm_examples/examples/simple_example/MorraCinese/MorraCinese_raff2.asm,MorraCinese_raff2,1,8,0,2,14,atgt,NO_VALID_SCENARIOS,NaN,0,0,0,0,null,null,null,null,null,0,0</t>
  </si>
  <si>
    <t>../../../asm_examples/examples/TrafficLightYakindu/TrafficLight0/TrafficLight_0.asm,TrafficLight_0,7,10,0,7,33,atgt,OK,65.0,3,13,13,30,1.0,1.0,NaN,1.0,1.0,0,0</t>
  </si>
  <si>
    <t>../../../asm_examples/examples/trafficLightCoSim/trafficlightB.asm,trafficlightB,2,5,0,6,14,atgt,OK,60.0,4,13,16,0,1.0,1.0,NaN,1.0,1.0,0,0</t>
  </si>
  <si>
    <t>../../../asm_examples/examples/models/lift3.asm,lift3,8,7,0,6,30,atgt,NO_VALID_SCENARIOS,NaN,0,0,0,0,null,null,null,null,null,0,0</t>
  </si>
  <si>
    <t>../../../asm_examples/stereoacuity/certifierRaff4.asm,certifierRaff4,15,21,0,13,58,atgt,NO_VALID_SCENARIOS,NaN,0,0,0,0,null,null,null,null,null,0,0</t>
  </si>
  <si>
    <t>../../../asm_examples/examples/TrafficLightYakindu/TrafficLight1/TrafficLight_1.asm,TrafficLight_1,11,17,0,15,56,atgt,OK,189.0,8,33,38,81,1.0,1.0,NaN,0.93333334,1.0,0,0</t>
  </si>
  <si>
    <t>../../../asm_examples/examples/RushHour/RushHourMon.asm,RushHourMon,2,2,1,5,9,atgt,NO_VALID_SCENARIOS,NaN,0,0,0,0,null,null,null,null,null,0,0</t>
  </si>
  <si>
    <t>../../../asm_examples/examples/fsmsemantics/FSM_map0_2.asm,FSM_map0_2,5,8,0,4,21,atgt,OK,102.0,7,19,19,11,1.0,0.75,NaN,1.0,1.0,0,0</t>
  </si>
  <si>
    <t>../../../asm_examples/examples/library/Library.asm,Library,3,7,0,6,21,atgt,NO_VALID_SCENARIOS,NaN,0,0,0,0,null,null,null,null,null,0,0</t>
  </si>
  <si>
    <t>../../../asm_examples/DAS/TrafficMonitoringSystem/mainUnique.asm,mainUnique,31,44,11,62,175,atgt,NO_VALID_SCENARIOS,NaN,0,0,0,0,null,null,null,null,null,0,0</t>
  </si>
  <si>
    <t>../../../asm_examples/examples/ermts_etcs/scenarios/ertms_hl3_scenario1.asm,ertms_hl3_scenario1,29,116,27,98,295,atgt,NO_VALID_SCENARIOS,NaN,0,0,0,0,null,null,null,null,null,0,0</t>
  </si>
  <si>
    <t>../../../asm_examples/examples/simple_example/MorraCinese/withActors/MorraCinese_withActors_raff1.asm,MorraCinese_withActors_raff1,1,6,0,1,10,atgt,NO_VALID_SCENARIOS,NaN,0,0,0,0,null,null,null,null,null,0,0</t>
  </si>
  <si>
    <t>../../../asm_examples/examples/flashProtocol/flashProtocol_N2_L1_Q1_C.asm,flashProtocol_N2_L1_Q1_C,27,91,22,92,276,atgt,NO_VALID_SCENARIOS,NaN,0,0,0,0,null,null,null,null,null,0,0</t>
  </si>
  <si>
    <t>../../../asm_examples/RTPatternLibrary/Application/Test_SB.asm,Test_SB,3,1,0,2,23,atgt,NO_VALID_SCENARIOS,NaN,0,0,0,0,null,null,null,null,null,0,0</t>
  </si>
  <si>
    <t>../../../asm_examples/examples/landingGearSystem/LGS_GM_withError.asm,LGS_GM_withError,4,15,0,3,22,atgt,OK,332.0,12,77,77,77,1.0,1.0,NaN,1.0,1.0,0,0</t>
  </si>
  <si>
    <t>../../../asm_examples/examples/simple_example/iterativeWhile.asm,iterativeWhile,null,null,null,null,null,atgt,MODEL_DATA_ERR,NaN,0,null,null,null,null,null,null,null,null,0,0</t>
  </si>
  <si>
    <t>../../../asm_examples/DAS/TrafficMonitoringSystem/journal/trafficMonitoringForExperiments.asm,trafficMonitoringForExperiments,43,40,14,67,217,atgt,NO_VALID_SCENARIOS,NaN,0,0,0,0,null,null,null,null,null,0,0</t>
  </si>
  <si>
    <t>../../../asm_examples/examples/hemodialysisDevice/SCP2017/HemodialysisGround.asm,HemodialysisGround,5,2,0,3,11,atgt,OK,31.0,2,5,0,5,1.0,1.0,NaN,1.0,1.0,0,0</t>
  </si>
  <si>
    <t>../../../asm_examples/examples/petriNets/petriNetNoEdgeWeightNoPlaceCapacity_NoSeq_Matrix.asm,petriNetNoEdgeWeightNoPlaceCapacity_NoSeq_Matrix,2,2,2,3,7,atgt,NO_VALID_SCENARIOS,NaN,0,0,0,0,null,null,null,null,null,0,0</t>
  </si>
  <si>
    <t>../../../asm_examples/examples/authenticationProtocols/groundModel.asm,groundModel,8,14,3,11,50,atgt,NO_VALID_SCENARIOS,NaN,0,0,0,0,null,null,null,null,null,0,0</t>
  </si>
  <si>
    <t>../../../asm_examples/examples/traffic_light/oneWayTrafficLight_refined.asm,oneWayTrafficLight_refined,13,12,1,15,60,atgt,NO_VALID_SCENARIOS,NaN,0,0,0,0,null,null,null,null,null,0,0</t>
  </si>
  <si>
    <t>../../../asm_examples/PHD/phd_master_flat2_v0.asm,phd_master_flat2_v0,27,52,0,26,131,atgt,OK,923.0,33,95,95,156,1.0,0.78846157,NaN,1.0,1.0,0,0</t>
  </si>
  <si>
    <t>../../../asm_examples/examples/GilbreathCardTrick/workingButNotElegant/GilbreathCardTrickWithAuxFunctionSimpleForAsmetaSMV.asm,GilbreathCardTrickWithAuxFunctionSimpleForAsmetaSMV,4,13,2,9,33,atgt,NO_VALID_SCENARIOS,NaN,0,0,0,0,null,null,null,null,null,0,0</t>
  </si>
  <si>
    <t>../../../asm_examples/examples/sluicegate/sluiceGateGround.asm,sluiceGateGround,3,2,0,4,13,atgt,NO_VALID_SCENARIOS,NaN,0,0,0,0,null,null,null,null,null,0,0</t>
  </si>
  <si>
    <t>../../../asm_examples/erinda/for_atgt.asm,for_atgt,5,23,0,13,52,atgt,OK,75867.0,12,184,273,381,1.0,1.0,NaN,1.0,1.0,0,0</t>
  </si>
  <si>
    <t>../../../asm_examples/examples/traffic_light/oneWayTrafficLight.asm,oneWayTrafficLight,10,5,0,8,38,atgt,NO_VALID_SCENARIOS,NaN,0,0,0,0,null,null,null,null,null,0,0</t>
  </si>
  <si>
    <t>../../../asm_examples/examples/flashProtocol/flashProtocol_N2_L2_Q1.asm,flashProtocol_N2_L2_Q1,27,91,23,96,286,atgt,NO_VALID_SCENARIOS,NaN,0,0,0,0,null,null,null,null,null,0,0</t>
  </si>
  <si>
    <t>../../../asm_examples/examples_for_nuXmv/EuclideInt.asm,EuclideInt,1,2,0,2,4,atgt,OK,378.0,3,7,0,9,1.0,0.5,NaN,0.75,0.75,0,0</t>
  </si>
  <si>
    <t>../../../asm_examples/examples/ABZ2020/CarSystemModule/CarSystem005/CarSystem005main.asm,CarSystem005main,2,2,0,0,7,atgt,NO_VALID_SCENARIOS,NaN,0,0,0,0,null,null,null,null,null,0,0</t>
  </si>
  <si>
    <t>../../../asm_examples/examples/simple_example/AdvancedClockDeciSecond.asm,AdvancedClockDeciSecond,2,4,0,3,11,atgt,OK,388596.0,2,36003,0,39670,1.0,1.0,NaN,1.0,1.0,0,0</t>
  </si>
  <si>
    <t>../../../asm_examples/examples/landingGearSystem/LGS_EV_v2.asm,LGS_EV_v2,4,38,0,3,60,atgt,OK,425.0,12,75,75,284,1.0,1.0,NaN,1.0,1.0,0,0</t>
  </si>
  <si>
    <t>../../../asm_examples/examples/models/OrderSystem2.asm,OrderSystem2,6,7,3,4,22,atgt,NO_VALID_SCENARIOS,NaN,0,0,0,0,null,null,null,null,null,0,0</t>
  </si>
  <si>
    <t>../../../asm_examples/examples/conwayGameOfLife/gameOfLife.asm,gameOfLife,2,2,1,4,7,atgt,NO_VALID_SCENARIOS,NaN,0,0,0,0,null,null,null,null,null,0,0</t>
  </si>
  <si>
    <t>../../../asm_examples/DAS/TrafficMonitoringSystem/validation/mainForModelCheckingR4.asm,mainForModelCheckingR4,31,42,9,59,199,atgt,NO_VALID_SCENARIOS,NaN,0,0,0,0,null,null,null,null,null,0,0</t>
  </si>
  <si>
    <t>../../../asm_examples/examples/ABZ2020/CarSystemModule/CarSystem001/CarSystem001main.asm,CarSystem001main,1,0,0,0,1,atgt,NO_VALID_SCENARIOS,NaN,0,0,0,0,null,null,null,null,null,0,0</t>
  </si>
  <si>
    <t>../../../asm_examples/examples/ermts_etcs/scenarios/ertms_hl3_scenario9.asm,ertms_hl3_scenario9,30,105,35,101,290,atgt,NO_VALID_SCENARIOS,NaN,0,0,0,0,null,null,null,null,null,0,0</t>
  </si>
  <si>
    <t>../../../asm_examples/examples/GilbreathCardTrick/GilbreathCardTrickFasterShuffleForAsmetaSMV.asm,GilbreathCardTrickFasterShuffleForAsmetaSMV,5,15,2,13,42,atgt,NO_VALID_SCENARIOS,NaN,0,0,0,0,null,null,null,null,null,0,0</t>
  </si>
  <si>
    <t>../../../asm_examples/examples/ABZ2020/CarSystemModule/CarSystem004/CarSystem004main.asm,CarSystem004main,2,2,0,0,11,atgt,NO_VALID_SCENARIOS,NaN,0,0,0,0,null,null,null,null,null,0,0</t>
  </si>
  <si>
    <t>../../../asm_examples/examples/hemodialysisDevice/ABZ2016/Hemodialysis_ref4_forMC.asm,Hemodialysis_ref4_forMC,154,169,1,217,629,atgt,NO_VALID_SCENARIOS,NaN,0,0,0,0,null,null,null,null,null,0,0</t>
  </si>
  <si>
    <t>../../../asm_examples/examples/traffic_light/oneWayTrafficLight_refined_with_agents.asm,oneWayTrafficLight_refined_with_agents,14,12,1,15,60,atgt,NO_VALID_SCENARIOS,NaN,0,0,0,0,null,null,null,null,null,0,0</t>
  </si>
  <si>
    <t>../../../asm_examples/examples/simple_example/ATM3.asm,ATM3,10,33,0,23,82,atgt,NO_VALID_SCENARIOS,NaN,0,0,0,0,null,null,null,null,null,0,0</t>
  </si>
  <si>
    <t>../../../asm_examples/examples/ABZ2020/CarSystemModule/CarSystem009/CarSystem009main.asm,CarSystem009main,2,4,0,0,19,atgt,NO_VALID_SCENARIOS,NaN,0,0,0,0,null,null,null,null,null,0,0</t>
  </si>
  <si>
    <t>../../../asm_examples/examples/trafficLightCoSim/controller.asm,controller,2,11,0,17,45,atgt,NO_VALID_SCENARIOS,NaN,0,0,0,0,null,null,null,null,null,0,0</t>
  </si>
  <si>
    <t>../../../asm_examples/erinda/FMS_IO.asm,FMS_IO,5,167,0,13,197,atgt,NO_VALID_SCENARIOS,NaN,0,0,0,0,null,null,null,null,null,0,0</t>
  </si>
  <si>
    <t>../../../asm_examples/examples/petriNets/petriNetNoEdgeWeightNoPlaceCapacity_NoSeq.asm,petriNetNoEdgeWeightNoPlaceCapacity_NoSeq,2,2,2,3,7,atgt,NO_VALID_SCENARIOS,NaN,0,0,0,0,null,null,null,null,null,0,0</t>
  </si>
  <si>
    <t>../../../asm_examples/examples/simple_example/MorraCinese/MorraCinese.asm,MorraCinese,1,4,0,1,6,atgt,NO_VALID_SCENARIOS,NaN,0,0,0,0,null,null,null,null,null,0,0</t>
  </si>
  <si>
    <t>../../../asm_examples/examples/traffic_light/oneWayTrafficLight2.asm,oneWayTrafficLight2,8,5,0,8,30,atgt,NO_VALID_SCENARIOS,NaN,0,0,0,0,null,null,null,null,null,0,0</t>
  </si>
  <si>
    <t>../../../asm_examples/systemc/counter/main.asm,main,1,0,0,0,1,atgt,NO_VALID_SCENARIOS,NaN,0,0,0,0,null,null,null,null,null,0,0</t>
  </si>
  <si>
    <t>../../../asm_examples/examples/petriNets/petriNetEdgeWeightNoPlaceCapacity_NoSeq_Matrix_Murata17a.asm,petriNetEdgeWeightNoPlaceCapacity_NoSeq_Matrix_Murata17a,2,1,1,2,4,atgt,NO_VALID_SCENARIOS,NaN,0,0,0,0,null,null,null,null,null,0,0</t>
  </si>
  <si>
    <t>../../../asm_examples/examples/landingGearSystem/LGS_SE.asm,LGS_SE,4,38,0,9,66,atgt,OK,766.0,19,119,166,426,1.0,1.0,NaN,1.0,1.0,0,0</t>
  </si>
  <si>
    <t>../../../asm_examples/examples/filosofiEciliegie/filosofiEciliegieJustLeft.asm,filosofiEciliegieJustLeft,2,3,0,3,8,atgt,NO_VALID_SCENARIOS,NaN,0,0,0,0,null,null,null,null,null,0,0</t>
  </si>
  <si>
    <t>../../../asm_examples/examples/traffic_light/oneWayTrafficLight_inline.asm,oneWayTrafficLight_inline,6,5,0,8,34,atgt,NO_VALID_SCENARIOS,NaN,0,0,0,0,null,null,null,null,null,0,0</t>
  </si>
  <si>
    <t>../../../asm_examples/examples/simple_example/MorraCinese/MorraCineseWithAgents.asm,MorraCineseWithAgents,2,4,0,1,7,atgt,NO_VALID_SCENARIOS,NaN,0,0,0,0,null,null,null,null,null,0,0</t>
  </si>
  <si>
    <t>../../../asm_examples/DAS/TrafficMonitoringSystem/journal/trafficMonitoring.asm,trafficMonitoring,43,40,14,67,217,atgt,NO_VALID_SCENARIOS,NaN,0,0,0,0,null,null,null,null,null,0,0</t>
  </si>
  <si>
    <t>../../../asm_examples/PillBox/Level1/pillbox_1_for_RefProv.asm,pillbox_1_for_RefProv,9,30,0,19,69,atgt,OK,1790.0,15,43,41,220,1.0,1.0,NaN,0.94736844,1.0,0,0</t>
  </si>
  <si>
    <t>../../../asm_examples/PHD/phd_master_flat2_v2.asm,phd_master_flat2_v2,64,144,0,67,338,atgt,OK,4598.0,97,302,302,677,1.0,0.7986111,NaN,0.98507464,1.0,0,0</t>
  </si>
  <si>
    <t>../../../asm_examples/examples/ermts_etcs/models/ertms_hl3_integer_disconnected_train.asm,ertms_hl3_integer_disconnected_train,15,54,16,42,134,atgt,NO_VALID_SCENARIOS,NaN,0,0,0,0,null,null,null,null,null,0,0</t>
  </si>
  <si>
    <t>../../../asm_examples/examples/simple_example/AdvancedClock2.asm,AdvancedClock2,2,3,0,3,9,atgt,OK,19.0,1,11,11,16,1.0,1.0,NaN,1.0,1.0,0,0</t>
  </si>
  <si>
    <t>../../../asm_examples/examples/smartHome/smartHome.asm,smartHome,24,25,0,34,95,atgt,NO_VALID_SCENARIOS,NaN,0,0,0,0,null,null,null,null,null,0,0</t>
  </si>
  <si>
    <t>../../../asm_examples/RTPatternLibrary/Test/Test_Sem_Sync.asm,Test_Sem_Sync,2,2,1,9,21,atgt,NO_VALID_SCENARIOS,NaN,0,0,0,0,null,null,null,null,null,0,0</t>
  </si>
  <si>
    <t>../../../asm_examples/examples/fsmsemantics/meta_hooking/FSM_spec0.asm,FSM_spec0,3,2,0,1,7,atgt,NO_VALID_SCENARIOS,NaN,0,0,0,0,null,null,null,null,null,0,0</t>
  </si>
  <si>
    <t>../../../asm_examples/stereoacuity/certifierRaff1.asm,certifierRaff1,13,15,0,9,43,atgt,OK,102.0,5,19,14,57,1.0,0.93333334,NaN,0.9444444,0.9767442,0,0</t>
  </si>
  <si>
    <t>../../../asm_examples/examples/petriNets/petriNetEdgeWeightNoPlaceCapacity_NoSeq_Matrix_v2.asm,petriNetEdgeWeightNoPlaceCapacity_NoSeq_Matrix_v2,2,1,1,2,4,atgt,NO_VALID_SCENARIOS,NaN,0,0,0,0,null,null,null,null,null,0,0</t>
  </si>
  <si>
    <t>../../../asm_examples/examples/hemodialysisDevice/SCP2017/HemodialysisRef3.asm,HemodialysisRef3,159,146,1,229,648,atgt,NO_VALID_SCENARIOS,NaN,0,0,0,0,null,null,null,null,null,0,0</t>
  </si>
  <si>
    <t>../../../asm_examples/examples/traffic_light/Timer/oneWayTrafficLight.asm,oneWayTrafficLight,5,4,0,4,13,atgt,OK,92.0,5,19,38,15,1.0,1.0,NaN,1.0,1.0,0,0</t>
  </si>
  <si>
    <t>../../../asm_examples/examples/petriNets/forModelAdvisor/petriNet_forModelAdvisor_InconsUpdateViolation.asm,petriNet_forModelAdvisor_InconsUpdateViolation,2,2,2,3,7,atgt,NO_VALID_SCENARIOS,NaN,0,0,0,0,null,null,null,null,null,0,0</t>
  </si>
  <si>
    <t>../../../asm_examples/PillBox/Level3/pillbox_FULL_elia.asm,pillbox_FULL_elia,7,19,1,10,43,atgt,NO_VALID_SCENARIOS,NaN,0,0,0,0,null,null,null,null,null,0,0</t>
  </si>
  <si>
    <t>../../../asm_examples/SystemCUMLProfile_metahooking/main.asm,main,1,0,0,0,1,atgt,NO_VALID_SCENARIOS,NaN,0,0,0,0,null,null,null,null,null,0,0</t>
  </si>
  <si>
    <t>../../../asm_examples/examples/production_cell/press.asm,press,7,6,1,7,20,atgt,NO_VALID_SCENARIOS,NaN,0,0,0,0,null,null,null,null,null,0,0</t>
  </si>
  <si>
    <t>../../../asm_examples/systemc/counter2/main.asm,main,1,0,0,0,1,atgt,NO_VALID_SCENARIOS,NaN,0,0,0,0,null,null,null,null,null,0,0</t>
  </si>
  <si>
    <t>../../../asm_examples/examples/ABZ2020/CarSystemModule/CarSystem006/CarSystem006main.asm,CarSystem006main,2,2,0,0,9,atgt,NO_VALID_SCENARIOS,NaN,0,0,0,0,null,null,null,null,null,0,0</t>
  </si>
  <si>
    <t>../../../asm_examples/examples/philosophers/philosophers2.asm,philosophers2,4,6,1,5,16,atgt,NO_VALID_SCENARIOS,NaN,0,0,0,0,null,null,null,null,null,0,0</t>
  </si>
  <si>
    <t>../../../asm_examples/examples/models/lift2.asm,lift2,8,7,0,6,29,atgt,NO_VALID_SCENARIOS,NaN,0,0,0,0,null,null,null,null,null,0,0</t>
  </si>
  <si>
    <t>../../../asm_examples/unibgstudents/RegistroDiCassa.asm,RegistroDiCassa,8,23,0,12,58,atgt,NO_VALID_SCENARIOS,NaN,0,0,0,0,null,null,null,null,null,0,0</t>
  </si>
  <si>
    <t>../../../asm_examples/DAS/TrafficMonitoringSystem/validation/mainForModelCheckingNoSelfHealer.asm,mainForModelCheckingNoSelfHealer,24,30,6,38,147,atgt,NO_VALID_SCENARIOS,NaN,0,0,0,0,null,null,null,null,null,0,0</t>
  </si>
  <si>
    <t>../../../asm_examples/examples/agents/processesSchedulerShortestJobNext.asm,processesSchedulerShortestJobNext,4,7,1,8,21,atgt,NO_VALID_SCENARIOS,NaN,0,0,0,0,null,null,null,null,null,0,0</t>
  </si>
  <si>
    <t>../../../asm_examples/examples/production_cell/DEPOSITBELT.asm,DEPOSITBELT,4,5,1,4,14,atgt,NO_VALID_SCENARIOS,NaN,0,0,0,0,null,null,null,null,null,0,0</t>
  </si>
  <si>
    <t>../../../asm_examples/examples/petriNets/forAsmetaSMV/petriNet_forNuSMV_notLive_bound1_deadlockFree.asm,petriNet_forNuSMV_notLive_bound1_deadlockFree,2,1,1,2,4,atgt,NO_VALID_SCENARIOS,NaN,0,0,0,0,null,null,null,null,null,0,0</t>
  </si>
  <si>
    <t>../../../asm_examples/examples/TrafficLightYakindu/TrafficLight3/TrafficLight_3.asm,TrafficLight_3,14,35,0,23,88,atgt,OK,428.0,13,60,76,221,1.0,1.0,NaN,0.9130435,1.0,0,0</t>
  </si>
  <si>
    <t>../../../asm_examples/examples/ermts_etcs/models/integer_train.asm,integer_train,7,17,4,13,44,atgt,NO_VALID_SCENARIOS,NaN,0,0,0,0,null,null,null,null,null,0,0</t>
  </si>
  <si>
    <t>../../../asm_examples/examples/simple_example/SwapSort.asm,SwapSort,3,2,0,1,6,atgt,NO_VALID_SCENARIOS,NaN,0,0,0,0,null,null,null,null,null,0,0</t>
  </si>
  <si>
    <t>../../../asm_examples/examples/ticTacToe/ticTacToe_simulator_with_inv.asm,ticTacToe_simulator_with_inv,3,4,0,4,12,atgt,NO_VALID_SCENARIOS,NaN,0,0,0,0,null,null,null,null,null,0,0</t>
  </si>
  <si>
    <t>../../../asm_examples/examples/ferryman/ferrymanSimulator.asm,ferrymanSimulator,3,4,0,2,9,atgt,NO_VALID_SCENARIOS,NaN,0,0,0,0,null,null,null,null,null,0,0</t>
  </si>
  <si>
    <t>../../../asm_examples/examples/TrafficLightYakindu/TrafficLight_NOREF/TrafficLight_4.asm,TrafficLight_4,10,25,0,18,80,atgt,OK,229.0,4,23,69,90,1.0,0.92,NaN,0.8055556,0.975,0,0</t>
  </si>
  <si>
    <t>../../../asm_examples/examples/flashProtocol/flashProtocol_N2_L2_Q1_C.asm,flashProtocol_N2_L2_Q1_C,27,91,23,97,287,atgt,NO_VALID_SCENARIOS,NaN,0,0,0,0,null,null,null,null,null,0,0</t>
  </si>
  <si>
    <t>../../../asm_examples/examples/simple_example/while.asm,while,5,4,0,5,17,atgt,NO_VALID_SCENARIOS,NaN,0,0,0,0,null,null,null,null,null,0,0</t>
  </si>
  <si>
    <t>../../../asm_examples/unibgstudents/Contatore_U_DA_H.asm,Contatore_U_DA_H,5,4,0,4,15,atgt,NO_VALID_SCENARIOS,NaN,0,0,0,0,null,null,null,null,null,0,0</t>
  </si>
  <si>
    <t>../../../asm_examples/examples/roulette/roulette.asm,roulette,4,4,0,4,14,atgt,NO_VALID_SCENARIOS,NaN,0,0,0,0,null,null,null,null,null,0,0</t>
  </si>
  <si>
    <t>../../../asm_examples/stereoacuity/modelReview/certifierGroundWrongGuard.asm,certifierGroundWrongGuard,12,12,0,8,37,atgt,NO_VALID_SCENARIOS,NaN,0,0,0,0,null,null,null,null,null,0,0</t>
  </si>
  <si>
    <t>../../../asm_examples/DAS/TrafficMonitoringSystem/validation/mainForModelCheckingR2.asm,mainForModelCheckingR2,31,42,9,59,199,atgt,NO_VALID_SCENARIOS,NaN,0,0,0,0,null,null,null,null,null,0,0</t>
  </si>
  <si>
    <t>../../../asm_examples/examples/coffeeVendingMachine/coffeeVendingMachine.asm,coffeeVendingMachine,2,2,0,4,9,atgt,NO_VALID_SCENARIOS,NaN,0,0,0,0,null,null,null,null,null,0,0</t>
  </si>
  <si>
    <t>../../../asm_examples/examples/agents/producerConsumerGround.asm,producerConsumerGround,7,5,0,2,18,atgt,NO_VALID_SCENARIOS,NaN,0,0,0,0,null,null,null,null,null,0,0</t>
  </si>
  <si>
    <t>../../../asm_examples/examples/simple_example/MorraCinese/withActors/MorraCinese_withActors_raff2.asm,MorraCinese_withActors_raff2,1,7,0,2,13,atgt,NO_VALID_SCENARIOS,NaN,0,0,0,0,null,null,null,null,null,0,0</t>
  </si>
  <si>
    <t>../../../asm_examples/examples/NeedhamSchroeder/NeedhamSchroederLoweWithSpy.asm,NeedhamSchroederLoweWithSpy,13,20,1,11,81,atgt,NO_VALID_SCENARIOS,NaN,0,0,0,0,null,null,null,null,null,0,0</t>
  </si>
  <si>
    <t>../../../asm_examples/systemc/orgate/main.asm,main,1,0,0,0,1,atgt,NO_VALID_SCENARIOS,NaN,0,0,0,0,null,null,null,null,null,0,0</t>
  </si>
  <si>
    <t>../../../asm_examples/examples/traffic_light/oneWayTrafficLightOnlyPassedFlat.asm,oneWayTrafficLightOnlyPassedFlat,5,12,0,5,26,atgt,OK,181.0,9,39,39,108,1.0,1.0,NaN,1.0,1.0,0,0</t>
  </si>
  <si>
    <t>../../../asm_examples/examples/fsmsemantics/meta_hooking/FSM_spec.asm,FSM_spec,3,2,0,1,7,atgt,NO_VALID_SCENARIOS,NaN,0,0,0,0,null,null,null,null,null,0,0</t>
  </si>
  <si>
    <t>../../../asm_examples/examples/hemodialysisDevice/ABZ2016/Hemodialysis_ref3_forMC.asm,Hemodialysis_ref3_forMC,102,111,0,127,381,atgt,NO_VALID_SCENARIOS,NaN,0,0,0,0,null,null,null,null,null,0,0</t>
  </si>
  <si>
    <t>../../../asm_examples/examples/agents/populationAgent.asm,populationAgent,4,7,1,8,20,atgt,NO_VALID_SCENARIOS,NaN,0,0,0,0,null,null,null,null,null,0,0</t>
  </si>
  <si>
    <t>../../../asm_examples/examples/petriNets/forAsmetaSMV/petriNet_forNuSMV_withDeadlock.asm,petriNet_forNuSMV_withDeadlock,2,1,1,2,4,atgt,NO_VALID_SCENARIOS,NaN,0,0,0,0,null,null,null,null,null,0,0</t>
  </si>
  <si>
    <t>../../../asm_examples/examples/simple_example/Invariants.asm,Invariants,1,1,0,1,2,atgt,NO_VALID_SCENARIOS,NaN,0,0,0,0,null,null,null,null,null,0,0</t>
  </si>
  <si>
    <t>../../../asm_examples/examples/ermts_etcs/models/ertms_hl3_integer_disco_lostint_lengthchanged.asm,ertms_hl3_integer_disco_lostint_lengthchanged,19,64,19,49,158,atgt,NO_VALID_SCENARIOS,NaN,0,0,0,0,null,null,null,null,null,0,0</t>
  </si>
  <si>
    <t>../../../asm_examples/examples/traffic_light/Timer/oneWayTrafficLight_refinedMillisec.asm,oneWayTrafficLight_refinedMillisec,8,9,1,11,44,atgt,NO_VALID_SCENARIOS,NaN,0,0,0,0,null,null,null,null,null,0,0</t>
  </si>
  <si>
    <t>../../../asm_examples/stereoacuity/certifier_nochoose_noundef.asm,certifier_nochoose_noundef,17,28,0,17,74,atgt,OK,2091.0,24,144,270,517,1.0,1.0,NaN,0.9411765,1.0,0,0</t>
  </si>
  <si>
    <t>../../../asm_examples/examples/TrafficLightYakindu/TrafficLight4/TrafficLight_4.asm,TrafficLight_4,13,11,0,17,60,atgt,OK,316.0,9,60,76,221,1.0,1.0,NaN,1.0,1.0,0,0</t>
  </si>
  <si>
    <t>../../../asm_examples/examples/ermts_etcs/models/ertms_hl3_integer_train.asm,ertms_hl3_integer_train,10,26,6,18,66,atgt,NO_VALID_SCENARIOS,NaN,0,0,0,0,null,null,null,null,null,0,0</t>
  </si>
  <si>
    <t>../../../asm_examples/unibgstudents/stufa.asm,stufa,10,18,0,11,42,atgt,NO_VALID_SCENARIOS,NaN,0,0,0,0,null,null,null,null,null,0,0</t>
  </si>
  <si>
    <t>../../../asm_examples/RTPatternLibrary/Application/VisualServoing.asm,VisualServoing,3,1,0,2,32,atgt,NO_VALID_SCENARIOS,NaN,0,0,0,0,null,null,null,null,null,0,0</t>
  </si>
  <si>
    <t>../../../asm_examples/examples/agents/producerConsumerRaff.asm,producerConsumerRaff,7,6,0,2,20,atgt,NO_VALID_SCENARIOS,NaN,0,0,0,0,null,null,null,null,null,0,0</t>
  </si>
  <si>
    <t>../../../asm_examples/examples/ferryman/ferrymanSimulator_raff1.asm,ferrymanSimulator_raff1,3,5,0,3,11,atgt,NO_VALID_SCENARIOS,NaN,0,0,0,0,null,null,null,null,null,0,0</t>
  </si>
  <si>
    <t>../../../asm_examples/examples/SemaforiAttraversamentoPedonale.asm,SemaforiAttraversamentoPedonale,2,2,0,3,9,atgt,NO_VALID_SCENARIOS,NaN,0,0,0,0,null,null,null,null,null,0,0</t>
  </si>
  <si>
    <t>../../../asm_examples/DAS/TrafficMonitoringSystem/seams2015/trafficMonitoringSystem.asm,trafficMonitoringSystem,32,40,10,68,213,atgt,NO_VALID_SCENARIOS,NaN,0,0,0,0,null,null,null,null,null,0,0</t>
  </si>
  <si>
    <t>../../../asm_examples/examples/RushHour/emptyCellAs0/RushHourForAsmetaSMV.asm,RushHourForAsmetaSMV,2,2,1,5,11,atgt,NO_VALID_SCENARIOS,NaN,0,0,0,0,null,null,null,null,null,0,0</t>
  </si>
  <si>
    <t>../../../asm_examples/examples/petriNets/petriNetEdgeWeightPlaceCapacity_NoSeq_Matrix.asm,petriNetEdgeWeightPlaceCapacity_NoSeq_Matrix,2,1,1,2,4,atgt,NO_VALID_SCENARIOS,NaN,0,0,0,0,null,null,null,null,null,0,0</t>
  </si>
  <si>
    <t>../../../asm_examples/examples/production_cell/robot.asm,robot,13,16,1,13,46,atgt,NO_VALID_SCENARIOS,NaN,0,0,0,0,null,null,null,null,null,0,0</t>
  </si>
  <si>
    <t>../../../asm_examples/examples/ermts_etcs/scenarios/ertms_hl3_scenario4.asm,ertms_hl3_scenario4,31,121,32,101,307,atgt,NO_VALID_SCENARIOS,NaN,0,0,0,0,null,null,null,null,null,0,0</t>
  </si>
  <si>
    <t>../../../asm_examples/examples/traffic_light/forAsmetaSMV/oneWayTrafficLight.asm,oneWayTrafficLight,7,5,0,8,29,atgt,NO_VALID_SCENARIOS,NaN,0,0,0,0,null,null,null,null,null,0,0</t>
  </si>
  <si>
    <t>../../../asm_examples/examples/landingGearSystem/LGS_EV.asm,LGS_EV,4,38,0,3,60,atgt,OK,707.0,12,75,75,284,1.0,1.0,NaN,1.0,1.0,0,0</t>
  </si>
  <si>
    <t>../../../asm_examples/examples/RushHour/RushHourMonSimplForAsmetaSMV.asm,RushHourMonSimplForAsmetaSMV,2,2,1,5,10,atgt,NO_VALID_SCENARIOS,NaN,0,0,0,0,null,null,null,null,null,0,0</t>
  </si>
  <si>
    <t>../../../asm_examples/DAS/TrafficMonitoringSystem/validation/mainForModelCheckingNoSelfHealerNoFailures.asm,mainForModelCheckingNoSelfHealerNoFailures,22,28,6,32,129,atgt,NO_VALID_SCENARIOS,NaN,0,0,0,0,null,null,null,null,null,0,0</t>
  </si>
  <si>
    <t>../../../asm_examples/examples/sultanSuccessors/sultan.asm,sultan,3,7,0,4,15,atgt,NO_VALID_SCENARIOS,NaN,0,0,0,0,null,null,null,null,null,0,0</t>
  </si>
  <si>
    <t>../../../asm_examples/examples/RushHour/RushHourSimplForAsmetaSMV.asm,RushHourSimplForAsmetaSMV,2,2,1,5,9,atgt,NO_VALID_SCENARIOS,NaN,0,0,0,0,null,null,null,null,null,0,0</t>
  </si>
  <si>
    <t>../../../asm_examples/examples/ermts_etcs/scenarios/ertms_hl3_scenario2.asm,ertms_hl3_scenario2,30,126,34,108,321,atgt,NO_VALID_SCENARIOS,NaN,0,0,0,0,null,null,null,null,null,0,0</t>
  </si>
  <si>
    <t>../../../asm_examples/RTPatternLibrary/Application/CompleteApplication.asm,CompleteApplication,3,1,0,2,51,atgt,NO_VALID_SCENARIOS,NaN,0,0,0,0,null,null,null,null,null,0,0</t>
  </si>
  <si>
    <t>../../../asm_examples/erinda/fms_io_for_atgt.asm,fms_io_for_atgt,5,4,0,4,14,atgt,NO_VALID_SCENARIOS,NaN,0,0,0,0,null,null,null,null,null,0,0</t>
  </si>
  <si>
    <t>../../../asm_examples/examples/landingGearSystem/LGS_SE_v2.asm,LGS_SE_v2,4,38,0,9,66,atgt,OK,747.0,19,119,166,426,1.0,1.0,NaN,1.0,1.0,0,0</t>
  </si>
  <si>
    <t>../../../asm_examples/examples/hemodialysisDevice/ABZ2016/Hemodialysis_ref2_par.asm,Hemodialysis_ref2_par,93,95,0,122,387,atgt,NO_VALID_SCENARIOS,NaN,0,0,0,0,null,null,null,null,null,0,0</t>
  </si>
  <si>
    <t>../../../asm_examples/DAS/TrafficMonitoringSystem/validation/mainForModelCheckingWithPatterns.asm,mainForModelCheckingWithPatterns,32,40,10,68,213,atgt,NO_VALID_SCENARIOS,NaN,0,0,0,0,null,null,null,null,null,0,0</t>
  </si>
  <si>
    <t>../../../asm_examples/examples/GilbreathCardTrick/GilbreathCardTrickSimpl.asm,GilbreathCardTrickSimpl,7,11,2,9,39,atgt,NO_VALID_SCENARIOS,NaN,0,0,0,0,null,null,null,null,null,0,0</t>
  </si>
  <si>
    <t>../../../asm_examples/examples/models/LIFT.asm,LIFT,9,11,4,8,33,atgt,NO_VALID_SCENARIOS,NaN,0,0,0,0,null,null,null,null,null,0,0</t>
  </si>
  <si>
    <t>../../../asm_examples/examples/petriNets/forAsmetaSMV/petriNet_forNuSMV_reversable.asm,petriNet_forNuSMV_reversable,2,1,1,2,4,atgt,NO_VALID_SCENARIOS,NaN,0,0,0,0,null,null,null,null,null,0,0</t>
  </si>
  <si>
    <t>../../../asm_examples/examples/landingGearSystem/LGS_GM.asm,LGS_GM,4,15,0,3,22,atgt,OK,328.0,12,75,75,75,1.0,1.0,NaN,1.0,1.0,0,0</t>
  </si>
  <si>
    <t>../../../asm_examples/examples_for_nuXmv/FunctionInt.asm,FunctionInt,1,3,0,2,6,atgt,NO_VALID_SCENARIOS,NaN,0,0,0,0,null,null,null,null,null,0,0</t>
  </si>
  <si>
    <t>../../../asm_examples/examples/models/FlipFlop.asm,FlipFlop,3,1,0,1,7,atgt,NO_VALID_SCENARIOS,NaN,0,0,0,0,null,null,null,null,null,0,0</t>
  </si>
  <si>
    <t>../../../asm_examples/examples/traffic_light/Timer/oneWayTrafficLight_refinedMillisecSec.asm,oneWayTrafficLight_refinedMillisecSec,8,9,1,11,44,atgt,NO_VALID_SCENARIOS,NaN,0,0,0,0,null,null,null,null,null,0,0</t>
  </si>
  <si>
    <t>../../../asm_examples/examples/simple_example/euclideMCD_init.asm,euclideMCD_init,1,2,0,2,4,atgt,NO_VALID_SCENARIOS,NaN,0,0,0,0,null,null,null,null,null,0,0</t>
  </si>
  <si>
    <t>../../../asm_examples/systemc/counterAG/main_user.asm,main_user,1,0,0,0,1,atgt,NO_VALID_SCENARIOS,NaN,0,0,0,0,null,null,null,null,null,0,0</t>
  </si>
  <si>
    <t>../../../asm_examples/unibgstudents/VideotecaASM.asm,VideotecaASM,8,24,0,20,66,atgt,NO_VALID_SCENARIOS,NaN,0,0,0,0,null,null,null,null,null,0,0</t>
  </si>
  <si>
    <t>../../../asm_examples/examples/hemodialysisDevice/ABZ2016/Hemodialysis_ref1_forMC.asm,Hemodialysis_ref1_forMC,58,59,0,70,196,atgt,NO_VALID_SCENARIOS,NaN,0,0,0,0,null,null,null,null,null,0,0</t>
  </si>
  <si>
    <t>../../../asm_examples/examples/sluicegate/Timer/sluiceGateGround.asm,sluiceGateGround,1,2,0,2,9,atgt,NO_VALID_SCENARIOS,NaN,0,0,0,0,null,null,null,null,null,0,0</t>
  </si>
  <si>
    <t>../../../asm_examples/erinda/FMS_IO_3.asm,FMS_IO_3,5,46,0,4,59,atgt,NO_VALID_SCENARIOS,NaN,0,0,0,0,null,null,null,null,null,0,0</t>
  </si>
  <si>
    <t>../../../asm_examples/examples/sluicegate/sluiceGateMotorCtl.asm,sluiceGateMotorCtl,4,9,0,8,28,atgt,NO_VALID_SCENARIOS,NaN,0,0,0,0,null,null,null,null,null,0,0</t>
  </si>
  <si>
    <t>../../../asm_examples/examples/fsmsemantics/meta_hooking/FSM.asm,FSM,3,2,1,2,8,atgt,NO_VALID_SCENARIOS,NaN,0,0,0,0,null,null,null,null,null,0,0</t>
  </si>
  <si>
    <t>../../../asm_examples/examples/petriNets/forModelAdvisor/petriNet_forModelAdvisor_InconsUpdateViolation2.asm,petriNet_forModelAdvisor_InconsUpdateViolation2,2,2,2,3,7,atgt,NO_VALID_SCENARIOS,NaN,0,0,0,0,null,null,null,null,null,0,0</t>
  </si>
  <si>
    <t>../../../asm_examples/examples/parking.asm,parking,2,2,1,5,9,atgt,NO_VALID_SCENARIOS,NaN,0,0,0,0,null,null,null,null,null,0,0</t>
  </si>
  <si>
    <t>../../../asm_examples/RTPatternLibrary/Application/RobotController.asm,RobotController,3,1,0,2,42,atgt,NO_VALID_SCENARIOS,NaN,0,0,0,0,null,null,null,null,null,0,0</t>
  </si>
  <si>
    <t>../../../asm_examples/examples/hemodialysisDevice/SCP2017/HemodialysisRef2.asm,HemodialysisRef2,143,128,1,207,578,atgt,NO_VALID_SCENARIOS,NaN,0,0,0,0,null,null,null,null,null,0,0</t>
  </si>
  <si>
    <t>../../../asm_examples/examples_for_nuXmv/FunctionInt2.asm,FunctionInt2,1,2,0,1,3,atgt,NO_VALID_SCENARIOS,NaN,0,0,0,0,null,null,null,null,null,0,0</t>
  </si>
  <si>
    <t>../../../asm_examples/PHD/phd_master_flat2_v1.asm,phd_master_flat2_v1,4,52,0,3,85,atgt,OK,964.0,34,98,98,162,1.0,0.78846157,NaN,1.0,1.0,0,0</t>
  </si>
  <si>
    <t>../../../asm_examples/PillBox/Level1/pillbox_1_elia.asm,pillbox_1_elia,7,21,0,10,45,atgt,OK,862.0,9,90,89,189,1.0,1.0,NaN,0.9,1.0,0,0</t>
  </si>
  <si>
    <t>../../../asm_examples/examples/GilbreathCardTrick/workingButNotElegant/GilbreathCardTrickWithAuxFunctionSimple.asm,GilbreathCardTrickWithAuxFunctionSimple,4,15,1,8,34,atgt,NO_VALID_SCENARIOS,NaN,0,0,0,0,null,null,null,null,null,0,0</t>
  </si>
  <si>
    <t>../../../asm_examples/examples/agents/populationAgent_raff1_twoPersons.asm,populationAgent_raff1_twoPersons,4,7,1,8,20,atgt,NO_VALID_SCENARIOS,NaN,0,0,0,0,null,null,null,null,null,0,0</t>
  </si>
  <si>
    <t>../../../asm_examples/examples/simple_example/QuickSort.asm,QuickSort,1,1,0,0,1,atgt,NO_VALID_SCENARIOS,NaN,0,0,0,0,null,null,null,null,null,0,0</t>
  </si>
  <si>
    <t>../../../asm_examples/examples/ABZ2020/CarSystemModule/CarSystem002/CarSystem002main.asm,CarSystem002main,2,2,0,0,10,atgt,NO_VALID_SCENARIOS,NaN,0,0,0,0,null,null,null,null,null,0,0</t>
  </si>
  <si>
    <t>../../../asm_examples/stereoacuity/certifierGround.asm,certifierGround,12,12,0,7,36,atgt,OK,67.0,3,10,6,28,1.0,0.9166667,NaN,0.85714287,0.9444444,0,0</t>
  </si>
  <si>
    <t>../../../asm_examples/examples/philosophers/philosophers3.asm,philosophers3,4,6,0,5,17,atgt,NO_VALID_SCENARIOS,NaN,0,0,0,0,null,null,null,null,null,0,0</t>
  </si>
  <si>
    <t>../../../asm_examples/examples/traffic_light/oneWayTrafficLightUsingEnumFlat.asm,oneWayTrafficLightUsingEnumFlat,5,12,0,8,29,atgt,OK,237.0,12,46,46,150,1.0,1.0,NaN,1.0,1.0,0,0</t>
  </si>
  <si>
    <t>../../../asm_examples/examples/simple_example/euclideMCD.asm,euclideMCD,1,2,0,2,4,atgt,NO_VALID_SCENARIOS,NaN,0,0,0,0,null,null,null,null,null,0,0</t>
  </si>
  <si>
    <t>../../../asm_examples/examples/hemodialysisDevice/ABZ2016/Hemodialysis_ref2_forMC.asm,Hemodialysis_ref2_forMC,89,95,0,108,324,atgt,NO_VALID_SCENARIOS,NaN,0,0,0,0,null,null,null,null,null,0,0</t>
  </si>
  <si>
    <t>../../../asm_examples/examples/agents/populationAgent_raff1_fourPersons.asm,populationAgent_raff1_fourPersons,4,7,1,8,20,atgt,NO_VALID_SCENARIOS,NaN,0,0,0,0,null,null,null,null,null,0,0</t>
  </si>
  <si>
    <t>../../../asm_examples/examples/simple_example/population_raff1_fourPersons.asm,population_raff1_fourPersons,4,7,1,8,21,atgt,NO_VALID_SCENARIOS,NaN,0,0,0,0,null,null,null,null,null,0,0</t>
  </si>
  <si>
    <t>../../../asm_examples/examples/swapBoard.asm,swapBoard,3,4,1,3,11,atgt,NO_VALID_SCENARIOS,NaN,0,0,0,0,null,null,null,null,null,0,0</t>
  </si>
  <si>
    <t>../../../asm_examples/examples/simple_example/IncosistentUpdate.asm,IncosistentUpdate,1,2,0,2,5,atgt,NO_VALID_SCENARIOS,NaN,0,0,0,0,null,null,null,null,null,0,0</t>
  </si>
  <si>
    <t>../../../asm_examples/examples/agents/SeqSelf.asm,SeqSelf,4,2,0,0,5,atgt,NO_VALID_SCENARIOS,NaN,0,0,0,0,null,null,null,null,null,0,0</t>
  </si>
  <si>
    <t>../../../asm_examples/systemc/clock/main.asm,main,1,0,0,0,1,atgt,NO_VALID_SCENARIOS,NaN,0,0,0,0,null,null,null,null,null,0,0</t>
  </si>
  <si>
    <t>../../../asm_examples/examples/ABZ2020/CarSystemModule/CarSystem003/CarSystem003main.asm,CarSystem003main,2,2,0,0,11,atgt,NO_VALID_SCENARIOS,NaN,0,0,0,0,null,null,null,null,null,0,0</t>
  </si>
  <si>
    <t>../../../asm_examples/examples/petriNets/petriNetNoEdgeWeightNoPlaceCapacity_seq.asm,petriNetNoEdgeWeightNoPlaceCapacity_seq,2,2,2,3,7,atgt,NO_VALID_SCENARIOS,NaN,0,0,0,0,null,null,null,null,null,0,0</t>
  </si>
  <si>
    <t>../../../asm_examples/examples/ermts_etcs/scenarios/ertms_hl3_scenario3.asm,ertms_hl3_scenario3,30,126,34,108,321,atgt,NO_VALID_SCENARIOS,NaN,0,0,0,0,null,null,null,null,null,0,0</t>
  </si>
  <si>
    <t>../../../asm_examples/examples/Yahalom/FlawedYahalom.asm,FlawedYahalom,11,29,2,20,97,atgt,NO_VALID_SCENARIOS,NaN,0,0,0,0,null,null,null,null,null,0,0</t>
  </si>
  <si>
    <t>../../../asm_examples/examples/simple_example/population.asm,population,3,7,1,8,20,atgt,NO_VALID_SCENARIOS,NaN,0,0,0,0,null,null,null,null,null,0,0</t>
  </si>
  <si>
    <t>../../../asm_examples/examples/fsmsemantics/meta_hooking/myFSM.asm,myFSM,3,2,0,1,7,atgt,NO_VALID_SCENARIOS,NaN,0,0,0,0,null,null,null,null,null,0,0</t>
  </si>
  <si>
    <t>../../../asm_examples/examples/ABZ2020/CarSystemModule/CarSystem008/CarSystem008main.asm,CarSystem008main,2,4,0,0,19,atgt,NO_VALID_SCENARIOS,NaN,0,0,0,0,null,null,null,null,null,0,0</t>
  </si>
  <si>
    <t>../../../asm_examples/examples/testRanges.asm,testRanges,1,0,0,0,1,atgt,NO_VALID_SCENARIOS,NaN,0,0,0,0,null,null,null,null,null,0,0</t>
  </si>
  <si>
    <t>../../../asm_examples/examples/traffic_light/oneWayTrafficLight_refined_with_agents_problem.asm,oneWayTrafficLight_refined_with_agents_problem,13,8,1,11,50,atgt,NO_VALID_SCENARIOS,NaN,0,0,0,0,null,null,null,null,null,0,0</t>
  </si>
  <si>
    <t>../../../asm_examples/examples/landingGearSystem/LGS_HM.asm,LGS_HM,5,46,0,18,86,atgt,NO_VALID_SCENARIOS,NaN,0,0,0,0,null,null,null,null,null,0,0</t>
  </si>
  <si>
    <t>../../../asm_examples/PillBox/Level2/pillbox_2_elia.asm,pillbox_2_elia,7,31,1,20,66,atgt,NO_VALID_SCENARIOS,NaN,0,0,0,0,null,null,null,null,null,0,0</t>
  </si>
  <si>
    <t>../../../asm_examples/stereoacuity/certifierRaff5.asm,certifierRaff5,14,20,0,11,53,atgt,OK,200.0,2,7,7,26,1.0,0.85,NaN,0.95454544,0.9811321,4,0</t>
  </si>
  <si>
    <t>../../../asm_examples/examples/simple_example/MorraCinese/MorraCinese_raff1.asm,MorraCinese_raff1,1,6,0,1,10,atgt,NO_VALID_SCENARIOS,NaN,0,0,0,0,null,null,null,null,null,0,0</t>
  </si>
  <si>
    <t>../../../asm_examples/examples/landingGearSystem/LGS_3L.asm,LGS_3L,4,38,0,9,66,atgt,NO_VALID_SCENARIOS,NaN,0,0,0,0,null,null,null,null,null,0,0</t>
  </si>
  <si>
    <t>../../../asm_examples/examples/agents/FileSystem.asm,FileSystem,3,4,1,3,10,atgt,NO_VALID_SCENARIOS,NaN,0,0,0,0,null,null,null,null,null,0,0</t>
  </si>
  <si>
    <t>../../../asm_examples/examples/trafficLightCoSim/trafficlightA.asm,trafficlightA,2,5,0,6,14,atgt,OK,67.0,4,13,16,0,1.0,1.0,NaN,1.0,1.0,0,0</t>
  </si>
  <si>
    <t>../../../asm_examples/examples/NeedhamSchroeder/NeedhamSchroeder.asm,NeedhamSchroeder,8,16,1,8,56,atgt,NO_VALID_SCENARIOS,NaN,0,0,0,0,null,null,null,null,null,0,0</t>
  </si>
  <si>
    <t>../../../asm_examples/examples/simple_example/fattoriale.asm,fattoriale,2,6,0,3,13,atgt,NO_VALID_SCENARIOS,NaN,0,0,0,0,null,null,null,null,null,0,0</t>
  </si>
  <si>
    <t>../../../asm_examples/examples/smartHome/smartHomeNoMultiChannel.asm,smartHomeNoMultiChannel,24,25,0,34,95,atgt,NO_VALID_SCENARIOS,NaN,0,0,0,0,null,null,null,null,null,0,0</t>
  </si>
  <si>
    <t>../../../asm_examples/examples/hemodialysisDevice/ABZ2016/Hemodialysis_GM.asm,Hemodialysis_GM,5,2,0,3,11,atgt,OK,33.0,2,5,0,5,1.0,1.0,NaN,1.0,1.0,0,0</t>
  </si>
  <si>
    <t>../../../asm_examples/examples/trafficLightCoSim/emptyModel.asm,emptyModel,1,0,0,0,1,atgt,NO_VALID_SCENARIOS,0.0,0,0,0,0,null,null,null,null,null,0,0</t>
  </si>
  <si>
    <t>../../../asm_examples/examples/RushHour/emptyCellAs0/RushHour.asm,RushHour,2,2,1,5,9,atgt,NO_VALID_SCENARIOS,NaN,0,0,0,0,null,null,null,null,null,0,0</t>
  </si>
  <si>
    <t>../../../asm_examples/examples/parkingSimple.asm,parkingSimple,1,2,0,2,4,atgt,OK,18.0,1,4,7,3,1.0,1.0,NaN,1.0,1.0,0,0</t>
  </si>
  <si>
    <t>../../../asm_examples/examples/RushHour/RushHour.asm,RushHour,2,2,1,5,9,atgt,NO_VALID_SCENARIOS,NaN,0,0,0,0,null,null,null,null,null,0,0</t>
  </si>
  <si>
    <t>../../../asm_examples/examples/RushHour/emptyCellAs0/RushHourSimplForAsmetaSMV.asm,RushHourSimplForAsmetaSMV,2,2,1,5,11,atgt,NO_VALID_SCENARIOS,NaN,0,0,0,0,null,null,null,null,null,0,0</t>
  </si>
  <si>
    <t>../../../asm_examples/unibgstudents/Prova.asm,Prova,3,2,0,4,9,atgt,OK,35.0,2,7,7,5,1.0,1.0,NaN,1.0,1.0,0,0</t>
  </si>
  <si>
    <t>../../../asm_examples/examples/petriNets/forModelAdvisor/petriNet_forModelAdvisor_InconsUpdateViolation3.asm,petriNet_forModelAdvisor_InconsUpdateViolation3,2,2,2,3,7,atgt,NO_VALID_SCENARIOS,NaN,0,0,0,0,null,null,null,null,null,0,0</t>
  </si>
  <si>
    <t>../../../asm_examples/examples/railRoadGate/railroadGate.asm,railroadGate,1,4,0,2,7,atgt,NO_VALID_SCENARIOS,19.0,0,0,0,0,null,null,null,null,null,1,0</t>
  </si>
  <si>
    <t>../../../asm_examples/examples/simple_example/AdvancedClock.asm,AdvancedClock,2,3,0,2,8,atgt,OK,15902.0,2,3603,0,3668,1.0,1.0,NaN,1.0,1.0,0,0</t>
  </si>
  <si>
    <t>../../../asm_examples/examples/fsmsemantics/FSM_map0.asm,FSM_map0,5,8,0,4,21,atgt,NO_VALID_SCENARIOS,NaN,0,0,0,0,null,null,null,null,null,0,0</t>
  </si>
  <si>
    <t>../../../asm_examples/examples/simple_example/population_raff1_twoPersons.asm,population_raff1_twoPersons,3,7,1,8,20,atgt,NO_VALID_SCENARIOS,NaN,0,0,0,0,null,null,null,null,null,0,0</t>
  </si>
  <si>
    <t>../../../asm_examples/examples/TrafficLightYakindu/TrafficLight2/TrafficLight_2.asm,TrafficLight_2,14,23,0,23,76,atgt,OK,359.0,13,60,76,141,1.0,1.0,NaN,0.9130435,1.0,0,0</t>
  </si>
  <si>
    <t>../../../asm_examples/PHD/phd_master_flat2_v6.asm,phd_master_flat2_v6,6,152,0,14,253,atgt,OK,4968.0,104,316,334,522,1.0,0.78289473,NaN,1.0,0.9881423,0,0</t>
  </si>
  <si>
    <t>../../../asm_examples/examples/ermts_etcs/scenarios/ertms_hl3_scenario8.asm,ertms_hl3_scenario8,30,126,34,109,322,atgt,NO_VALID_SCENARIOS,NaN,0,0,0,0,null,null,null,null,null,0,0</t>
  </si>
  <si>
    <t>../../../asm_examples/examples/models/wiper_abs2.asm,wiper_abs2,14,82,0,42,165,atgt,NO_VALID_SCENARIOS,NaN,0,0,0,0,null,null,null,null,null,0,0</t>
  </si>
  <si>
    <t>../../../asm_examples/examples/RushHour/emptyCellAs0/RushHourMonSimplForAsmetaSMV.asm,RushHourMonSimplForAsmetaSMV,2,2,1,5,12,atgt,NO_VALID_SCENARIOS,NaN,0,0,0,0,null,null,null,null,null,0,0</t>
  </si>
  <si>
    <t>../../../asm_examples/examples/petriNets/petriNetEdgeWeightNoPlaceCapacity_NoSeq_Matrix.asm,petriNetEdgeWeightNoPlaceCapacity_NoSeq_Matrix,2,1,1,2,4,atgt,NO_VALID_SCENARIOS,NaN,0,0,0,0,null,null,null,null,null,0,0</t>
  </si>
  <si>
    <t>../../../asm_examples/examples/models/SwapSortMon.asm,SwapSortMon,3,2,0,1,6,atgt,NO_VALID_SCENARIOS,NaN,0,0,0,0,null,null,null,null,null,0,0</t>
  </si>
  <si>
    <t>../../../asm_examples/PillBox/Level3/pillbox_FULL.asm,pillbox_FULL,9,29,1,20,69,atgt,NO_VALID_SCENARIOS,NaN,0,0,0,0,null,null,null,null,null,0,0</t>
  </si>
  <si>
    <t>../../../asm_examples/examples/production_cell/Production_Cell_with_agents.asm,Production_Cell_with_agents,42,45,0,35,130,atgt,NO_VALID_SCENARIOS,NaN,0,0,0,0,null,null,null,null,null,0,0</t>
  </si>
  <si>
    <t>../../../asm_examples/unibgstudents/Rubrica.asm,Rubrica,4,6,0,4,17,atgt,NO_VALID_SCENARIOS,NaN,0,0,0,0,null,null,null,null,null,0,0</t>
  </si>
  <si>
    <t>../../../asm_examples/examples/Yahalom/Yahalom.asm,Yahalom,11,29,2,20,97,atgt,NO_VALID_SCENARIOS,NaN,0,0,0,0,null,null,null,null,null,0,0</t>
  </si>
  <si>
    <t>../../../asm_examples/examples/NeedhamSchroeder/NeedhamSchroederWithSpy.asm,NeedhamSchroederWithSpy,13,20,1,11,82,atgt,NO_VALID_SCENARIOS,NaN,0,0,0,0,null,null,null,null,null,0,0</t>
  </si>
  <si>
    <t>../../../asm_examples/examples/filosofiEciliegie/filosofiEciliegie.asm,filosofiEciliegie,2,5,0,4,12,atgt,NO_VALID_SCENARIOS,NaN,0,0,0,0,null,null,null,null,null,0,0</t>
  </si>
  <si>
    <t>../../../asm_examples/examples/simple_example/MorraCinese/withActors/MorraCinese_withActors_raff3.asm,MorraCinese_withActors_raff3,1,7,0,2,13,atgt,NO_VALID_SCENARIOS,NaN,0,0,0,0,null,null,null,null,null,0,0</t>
  </si>
  <si>
    <t>../../../asm_examples/examples/sensorVotingSimpleVersion.asm,sensorVotingSimpleVersion,2,5,0,4,12,atgt,OK,80.0,5,23,66,37,1.0,1.0,NaN,1.0,1.0,0,0</t>
  </si>
  <si>
    <t>../../../asm_examples/DAS/TrafficMonitoringSystem/validation/mainForModelCheckingTwoCameras.asm,mainForModelCheckingTwoCameras,31,42,9,59,199,atgt,NO_VALID_SCENARIOS,NaN,0,0,0,0,null,null,null,null,null,0,0</t>
  </si>
  <si>
    <t>../../../asm_examples/examples/simple_example/fibonacci.asm,fibonacci,3,3,0,2,9,atgt,NO_VALID_SCENARIOS,NaN,0,0,0,0,null,null,null,null,null,0,0</t>
  </si>
  <si>
    <t>../../../asm_examples/examples/simple_example/swapSortOnSeq.asm,swapSortOnSeq,1,1,0,1,2,atgt,NO_VALID_SCENARIOS,NaN,0,0,0,0,null,null,null,null,null,0,0</t>
  </si>
  <si>
    <t>../../../asm_examples/examples/giocoDelleTreScatole.asm,giocoDelleTreScatole,2,6,0,4,14,atgt,NO_VALID_SCENARIOS,NaN,0,0,0,0,null,null,null,null,null,0,0</t>
  </si>
  <si>
    <t>../../../asm_examples/examples/sluicegate/sluiceGate_with_agents.asm,sluiceGate_with_agents,7,13,0,12,47,atgt,NO_VALID_SCENARIOS,NaN,0,0,0,0,null,null,null,null,null,0,0</t>
  </si>
  <si>
    <t>../../../asm_examples/examples/darts.asm,darts,2,2,0,4,10,atgt,NO_VALID_SCENARIOS,NaN,0,0,0,0,null,null,null,null,null,0,0</t>
  </si>
  <si>
    <t>../../../asm_examples/stereoacuity/certifierRaff5ForSMTproof.asm,certifierRaff5ForSMTproof,15,24,0,13,61,atgt,OK,575.0,11,51,81,181,1.0,0.9166667,NaN,0.96153843,0.9836066,0,0</t>
  </si>
  <si>
    <t>../../../asm_examples/examples/fsmsemantics/FSM_hooking3.asm,FSM_hooking3,3,2,1,2,8,atgt,NO_VALID_SCENARIOS,NaN,0,0,0,0,null,null,null,null,null,0,0</t>
  </si>
  <si>
    <t>../../../asm_examples/examples/traffic_light/oneWayTrafficLightOnlyPassed.asm,oneWayTrafficLightOnlyPassed,5,12,0,5,26,atgt,OK,184.0,10,43,43,119,1.0,1.0,NaN,1.0,1.0,0,0</t>
  </si>
  <si>
    <t>../../../asm_examples/examples/authenticationProtocols/groundModel_v2.asm,groundModel_v2,8,14,3,12,50,atgt,NO_VALID_SCENARIOS,NaN,0,0,0,0,null,null,null,null,null,0,0</t>
  </si>
  <si>
    <t>../../../asm_examples/examples/sultanSuccessors/sultanGreedy.asm,sultanGreedy,3,3,0,2,8,atgt,NO_VALID_SCENARIOS,NaN,0,0,0,0,null,null,null,null,null,0,0</t>
  </si>
  <si>
    <t>../../../asm_examples/examples/diceKnuthYao.asm,diceKnuthYao,1,10,0,7,17,atgt,OK,126.0,8,31,26,39,1.0,1.0,NaN,1.0,1.0,0,0</t>
  </si>
  <si>
    <t>../../../asm_examples/examples/production_cell/crane.asm,crane,7,8,1,7,24,atgt,NO_VALID_SCENARIOS,NaN,0,0,0,0,null,null,null,null,null,0,0</t>
  </si>
  <si>
    <t>../../../asm_examples/PillBox/Level2/pillbox_2_for_RefProv.asm,pillbox_2_for_RefProv,9,40,1,30,91,atgt,NO_VALID_SCENARIOS,NaN,0,0,0,0,null,null,null,null,null,0,0</t>
  </si>
  <si>
    <t>asm_path</t>
  </si>
  <si>
    <t>asm_name</t>
  </si>
  <si>
    <t>n_macro</t>
  </si>
  <si>
    <t>n_update</t>
  </si>
  <si>
    <t>n_forall</t>
  </si>
  <si>
    <t>n_branch</t>
  </si>
  <si>
    <t>n_rule</t>
  </si>
  <si>
    <t>approach</t>
  </si>
  <si>
    <t>status</t>
  </si>
  <si>
    <t>exec_time_ms</t>
  </si>
  <si>
    <t>n_scenarios</t>
  </si>
  <si>
    <t>n_step</t>
  </si>
  <si>
    <t>n_set</t>
  </si>
  <si>
    <t>n_check</t>
  </si>
  <si>
    <t>macro_coverage</t>
  </si>
  <si>
    <t>update_rule_coverage</t>
  </si>
  <si>
    <t>forall_rule_coverage</t>
  </si>
  <si>
    <t>branch_coverage</t>
  </si>
  <si>
    <t>rule_coverage</t>
  </si>
  <si>
    <t>n_failing_scenarios</t>
  </si>
  <si>
    <t>n_val_error_scenarios</t>
  </si>
  <si>
    <t>../../../asm_examples/stereoacuity/certifierRaff2.asm</t>
  </si>
  <si>
    <t>certifierRaff2</t>
  </si>
  <si>
    <t>14</t>
  </si>
  <si>
    <t>18</t>
  </si>
  <si>
    <t>0</t>
  </si>
  <si>
    <t>10</t>
  </si>
  <si>
    <t>50</t>
  </si>
  <si>
    <t>evoavalla</t>
  </si>
  <si>
    <t>OK</t>
  </si>
  <si>
    <t>67510.0</t>
  </si>
  <si>
    <t>5</t>
  </si>
  <si>
    <t>16</t>
  </si>
  <si>
    <t>6</t>
  </si>
  <si>
    <t>128</t>
  </si>
  <si>
    <t>1.0</t>
  </si>
  <si>
    <t>0.7777778</t>
  </si>
  <si>
    <t>NaN</t>
  </si>
  <si>
    <t>../../../asm_examples/examples/RushHour/RushHourForAsmetaSMV.asm</t>
  </si>
  <si>
    <t>RushHourForAsmetaSMV</t>
  </si>
  <si>
    <t>2</t>
  </si>
  <si>
    <t>1</t>
  </si>
  <si>
    <t>9</t>
  </si>
  <si>
    <t>NO_VALID_SCENARIOS</t>
  </si>
  <si>
    <t>null</t>
  </si>
  <si>
    <t>../../../asm_examples/examples/GilbreathCardTrick/GilbreathCardTrick.asm</t>
  </si>
  <si>
    <t>GilbreathCardTrick</t>
  </si>
  <si>
    <t>17</t>
  </si>
  <si>
    <t>12</t>
  </si>
  <si>
    <t>45</t>
  </si>
  <si>
    <t>../../../asm_examples/examples/hemodialysisDevice/ABZ2016/Hemodialysis_ref3_par.asm</t>
  </si>
  <si>
    <t>Hemodialysis_ref3_par</t>
  </si>
  <si>
    <t>107</t>
  </si>
  <si>
    <t>110</t>
  </si>
  <si>
    <t>142</t>
  </si>
  <si>
    <t>444</t>
  </si>
  <si>
    <t>96762.0</t>
  </si>
  <si>
    <t>244</t>
  </si>
  <si>
    <t>0.037383176</t>
  </si>
  <si>
    <t>0.009090909</t>
  </si>
  <si>
    <t>0.04225352</t>
  </si>
  <si>
    <t>0.038288288</t>
  </si>
  <si>
    <t>../../../asm_examples/examples/simple_example/FLIP_FLOP_0.asm</t>
  </si>
  <si>
    <t>FLIP_FLOP_0</t>
  </si>
  <si>
    <t>65403.0</t>
  </si>
  <si>
    <t>../../../asm_examples/examples/RushHour/RushHourMonForAsmetaSMV.asm</t>
  </si>
  <si>
    <t>RushHourMonForAsmetaSMV</t>
  </si>
  <si>
    <t>../../../asm_examples/examples/battleship.asm</t>
  </si>
  <si>
    <t>battleship</t>
  </si>
  <si>
    <t>4</t>
  </si>
  <si>
    <t>../../../asm_examples/examples/flashProtocol/flashProtocol_N2_L1_Q1.asm</t>
  </si>
  <si>
    <t>flashProtocol_N2_L1_Q1</t>
  </si>
  <si>
    <t>27</t>
  </si>
  <si>
    <t>91</t>
  </si>
  <si>
    <t>22</t>
  </si>
  <si>
    <t>275</t>
  </si>
  <si>
    <t>../../../asm_examples/examples/production_cell/ert.asm</t>
  </si>
  <si>
    <t>ert</t>
  </si>
  <si>
    <t>../../../asm_examples/examples/ermts_etcs/scenarios/ertms_hl3_scenario7.asm</t>
  </si>
  <si>
    <t>ertms_hl3_scenario7</t>
  </si>
  <si>
    <t>24</t>
  </si>
  <si>
    <t>98</t>
  </si>
  <si>
    <t>31</t>
  </si>
  <si>
    <t>100</t>
  </si>
  <si>
    <t>274</t>
  </si>
  <si>
    <t>../../../asm_examples/examples/simpleMinesweeper.asm</t>
  </si>
  <si>
    <t>simpleMinesweeper</t>
  </si>
  <si>
    <t>3</t>
  </si>
  <si>
    <t>7</t>
  </si>
  <si>
    <t>../../../asm_examples/examples/ticTacToe/ticTacToe_simulator.asm</t>
  </si>
  <si>
    <t>ticTacToe_simulator</t>
  </si>
  <si>
    <t>../../../asm_examples/examples/fsmsemantics/Sle/ASM_even.asm</t>
  </si>
  <si>
    <t>ASM_even</t>
  </si>
  <si>
    <t>../../../asm_examples/examples/GilbreathCardTrick/GilbreathCardTrickForAsmetaSMV.asm</t>
  </si>
  <si>
    <t>GilbreathCardTrickForAsmetaSMV</t>
  </si>
  <si>
    <t>15</t>
  </si>
  <si>
    <t>41</t>
  </si>
  <si>
    <t>../../../asm_examples/examples/petriNets/forAsmetaSMV/petriNet_forNuSMV.asm</t>
  </si>
  <si>
    <t>petriNet_forNuSMV</t>
  </si>
  <si>
    <t>../../../asm_examples/examples/hemodialysisDevice/SCP2017/HemodialysisRef1.asm</t>
  </si>
  <si>
    <t>HemodialysisRef1</t>
  </si>
  <si>
    <t>68</t>
  </si>
  <si>
    <t>42</t>
  </si>
  <si>
    <t>90</t>
  </si>
  <si>
    <t>242</t>
  </si>
  <si>
    <t>78365.0</t>
  </si>
  <si>
    <t>../../../asm_examples/examples/hemodialysisDevice/ABZ2016/Hemodialysis_ref4.asm</t>
  </si>
  <si>
    <t>Hemodialysis_ref4</t>
  </si>
  <si>
    <t>162</t>
  </si>
  <si>
    <t>188</t>
  </si>
  <si>
    <t>245</t>
  </si>
  <si>
    <t>740</t>
  </si>
  <si>
    <t>131685.0</t>
  </si>
  <si>
    <t>../../../asm_examples/examples/sleepingBarber/sleepingBarber.asm</t>
  </si>
  <si>
    <t>sleepingBarber</t>
  </si>
  <si>
    <t>13</t>
  </si>
  <si>
    <t>72190.0</t>
  </si>
  <si>
    <t>../../../asm_examples/examples/fsmsemantics/FSM_hooking2.asm</t>
  </si>
  <si>
    <t>FSM_hooking2</t>
  </si>
  <si>
    <t>../../../asm_examples/examples/sluicegate/Timer/sluiceGateMotorCtl.asm</t>
  </si>
  <si>
    <t>sluiceGateMotorCtl</t>
  </si>
  <si>
    <t>8</t>
  </si>
  <si>
    <t>30</t>
  </si>
  <si>
    <t>../../../asm_examples/examples/simple_example/ExtendRule1.asm</t>
  </si>
  <si>
    <t>ExtendRule1</t>
  </si>
  <si>
    <t>../../../asm_examples/examples/dice/diceWithProbability.asm</t>
  </si>
  <si>
    <t>diceWithProbability</t>
  </si>
  <si>
    <t>../../../asm_examples/examples/sluicegate/Timer/sluiceGateMotorCtl2.asm</t>
  </si>
  <si>
    <t>sluiceGateMotorCtl2</t>
  </si>
  <si>
    <t>../../../asm_examples/examples/conwayGameOfLife/gameOfLifeAgents.asm</t>
  </si>
  <si>
    <t>gameOfLifeAgents</t>
  </si>
  <si>
    <t>../../../asm_examples/examples/filosofiEciliegie/filosofiEciliegieAgentsJustLeft.asm</t>
  </si>
  <si>
    <t>filosofiEciliegieAgentsJustLeft</t>
  </si>
  <si>
    <t>../../../asm_examples/examples/production_cell/TRANSPORTBELT.asm</t>
  </si>
  <si>
    <t>TRANSPORTBELT</t>
  </si>
  <si>
    <t>../../../asm_examples/examples/models/ordersystem.asm</t>
  </si>
  <si>
    <t>ordersystem</t>
  </si>
  <si>
    <t>35</t>
  </si>
  <si>
    <t>../../../asm_examples/DAS/TrafficMonitoringSystem/validation/mainForModelChecking.asm</t>
  </si>
  <si>
    <t>mainForModelChecking</t>
  </si>
  <si>
    <t>44</t>
  </si>
  <si>
    <t>62</t>
  </si>
  <si>
    <t>206</t>
  </si>
  <si>
    <t>../../../asm_examples/stereoacuity/certifierRaff4ForSMTproof.asm</t>
  </si>
  <si>
    <t>certifierRaff4ForSMTproof</t>
  </si>
  <si>
    <t>21</t>
  </si>
  <si>
    <t>59</t>
  </si>
  <si>
    <t>../../../asm_examples/examples/ermts_etcs/models/ertms_hl3_integer_disco_lostint_lengthchanged_reco.asm</t>
  </si>
  <si>
    <t>ertms_hl3_integer_disco_lostint_lengthchanged_reco</t>
  </si>
  <si>
    <t>72</t>
  </si>
  <si>
    <t>20</t>
  </si>
  <si>
    <t>58</t>
  </si>
  <si>
    <t>185</t>
  </si>
  <si>
    <t>../../../asm_examples/examples/ermts_etcs/models/ertms_hl3_integer_disco_lostint_lengthchanged_reco_sweep_timer.asm</t>
  </si>
  <si>
    <t>ertms_hl3_integer_disco_lostint_lengthchanged_reco_sweep_timer</t>
  </si>
  <si>
    <t>29</t>
  </si>
  <si>
    <t>118</t>
  </si>
  <si>
    <t>28</t>
  </si>
  <si>
    <t>101</t>
  </si>
  <si>
    <t>301</t>
  </si>
  <si>
    <t>../../../asm_examples/examples/simple_example/MorraCinese/MorraCinese_raff3.asm</t>
  </si>
  <si>
    <t>MorraCinese_raff3</t>
  </si>
  <si>
    <t>../../../asm_examples/stereoacuity/certifierRaff4_noundef.asm</t>
  </si>
  <si>
    <t>certifierRaff4_noundef</t>
  </si>
  <si>
    <t>../../../asm_examples/examples/filosofiEciliegie/filosofiEciliegieAgents.asm</t>
  </si>
  <si>
    <t>filosofiEciliegieAgents</t>
  </si>
  <si>
    <t>11</t>
  </si>
  <si>
    <t>../../../asm_examples/examples/traffic_light/Timer/oneWayTrafficLight_refinedSec.asm</t>
  </si>
  <si>
    <t>oneWayTrafficLight_refinedSec</t>
  </si>
  <si>
    <t>../../../asm_examples/examples/models/LIFTDC.asm</t>
  </si>
  <si>
    <t>LIFTDC</t>
  </si>
  <si>
    <t>../../../asm_examples/examples/NeedhamSchroeder/NeedhamSchroederLowe.asm</t>
  </si>
  <si>
    <t>NeedhamSchroederLowe</t>
  </si>
  <si>
    <t>55</t>
  </si>
  <si>
    <t>../../../asm_examples/examples/hemodialysisDevice/ABZ2016/Hemodialysis_ref1_par.asm</t>
  </si>
  <si>
    <t>Hemodialysis_ref1_par</t>
  </si>
  <si>
    <t>80</t>
  </si>
  <si>
    <t>240</t>
  </si>
  <si>
    <t>80886.0</t>
  </si>
  <si>
    <t>84</t>
  </si>
  <si>
    <t>0.12903225</t>
  </si>
  <si>
    <t>0.08</t>
  </si>
  <si>
    <t>0.15</t>
  </si>
  <si>
    <t>0.14583333</t>
  </si>
  <si>
    <t>../../../asm_examples/examples/models/ordersystem_april2010.asm</t>
  </si>
  <si>
    <t>ordersystem_april2010</t>
  </si>
  <si>
    <t>36</t>
  </si>
  <si>
    <t>../../../asm_examples/examples/tombola.asm</t>
  </si>
  <si>
    <t>tombola</t>
  </si>
  <si>
    <t>73093.0</t>
  </si>
  <si>
    <t>../../../asm_examples/examples/traffic_light/forAsmetaSMV/oneWayTrafficLight_refined.asm</t>
  </si>
  <si>
    <t>oneWayTrafficLight_refined</t>
  </si>
  <si>
    <t>../../../asm_examples/examples_for_nuXmv/provaint.asm</t>
  </si>
  <si>
    <t>provaint</t>
  </si>
  <si>
    <t>65384.0</t>
  </si>
  <si>
    <t>../../../asm_examples/examples/traffic_light/oneWayTrafficLightUsingEnum.asm</t>
  </si>
  <si>
    <t>oneWayTrafficLightUsingEnum</t>
  </si>
  <si>
    <t>67347.0</t>
  </si>
  <si>
    <t>0.8125</t>
  </si>
  <si>
    <t>../../../asm_examples/erinda/FMS_IO_2.asm</t>
  </si>
  <si>
    <t>FMS_IO_2</t>
  </si>
  <si>
    <t>../../../asm_examples/PillBox/Level1/pillbox_1.asm</t>
  </si>
  <si>
    <t>pillbox_1</t>
  </si>
  <si>
    <t>19</t>
  </si>
  <si>
    <t>69</t>
  </si>
  <si>
    <t>../../../asm_examples/RTPatternLibrary/Test/Test_Sem_Async.asm</t>
  </si>
  <si>
    <t>Test_Sem_Async</t>
  </si>
  <si>
    <t>../../../asm_examples/examples/traffic_light/oneWayTrafficLight_refined_with_agents_seq.asm</t>
  </si>
  <si>
    <t>oneWayTrafficLight_refined_with_agents_seq</t>
  </si>
  <si>
    <t>../../../asm_examples/examples/petriNets/petriNetEdgeWeightNoPlaceCapacity_NoSeq_Matrix_v3.asm</t>
  </si>
  <si>
    <t>petriNetEdgeWeightNoPlaceCapacity_NoSeq_Matrix_v3</t>
  </si>
  <si>
    <t>../../../asm_examples/examples/ermts_etcs/scenarios/ertms_hl3_scenario6.asm</t>
  </si>
  <si>
    <t>ertms_hl3_scenario6</t>
  </si>
  <si>
    <t>25</t>
  </si>
  <si>
    <t>85</t>
  </si>
  <si>
    <t>252</t>
  </si>
  <si>
    <t>../../../asm_examples/examples/dice/diceNoProbability.asm</t>
  </si>
  <si>
    <t>diceNoProbability</t>
  </si>
  <si>
    <t>../../../asm_examples/examples/ermts_etcs/scenarios/ertms_hl3_scenario5.asm</t>
  </si>
  <si>
    <t>ertms_hl3_scenario5</t>
  </si>
  <si>
    <t>126</t>
  </si>
  <si>
    <t>34</t>
  </si>
  <si>
    <t>108</t>
  </si>
  <si>
    <t>321</t>
  </si>
  <si>
    <t>../../../asm_examples/examples/traffic_light/forAsmetaSMV/oneWayTrafficLight_refined_with_agents.asm</t>
  </si>
  <si>
    <t>oneWayTrafficLight_refined_with_agents</t>
  </si>
  <si>
    <t>60</t>
  </si>
  <si>
    <t>../../../asm_examples/examples/fsmsemantics/FSM_hooking.asm</t>
  </si>
  <si>
    <t>FSM_hooking</t>
  </si>
  <si>
    <t>../../../asm_examples/PillBox/Level2/pillbox_2.asm</t>
  </si>
  <si>
    <t>pillbox_2</t>
  </si>
  <si>
    <t>40</t>
  </si>
  <si>
    <t>../../../asm_examples/examples/whatTimeIsIt.asm</t>
  </si>
  <si>
    <t>whatTimeIsIt</t>
  </si>
  <si>
    <t>../../../asm_examples/stereoacuity/certifierRaff3.asm</t>
  </si>
  <si>
    <t>certifierRaff3</t>
  </si>
  <si>
    <t>53</t>
  </si>
  <si>
    <t>67528.0</t>
  </si>
  <si>
    <t>149</t>
  </si>
  <si>
    <t>0.75</t>
  </si>
  <si>
    <t>../../../asm_examples/PHD/phd_master_flat2_v3.asm</t>
  </si>
  <si>
    <t>phd_master_flat2_v3</t>
  </si>
  <si>
    <t>66</t>
  </si>
  <si>
    <t>148</t>
  </si>
  <si>
    <t>348</t>
  </si>
  <si>
    <t>87430.0</t>
  </si>
  <si>
    <t>47</t>
  </si>
  <si>
    <t>97</t>
  </si>
  <si>
    <t>541</t>
  </si>
  <si>
    <t>0.5743243</t>
  </si>
  <si>
    <t>0.8768116</t>
  </si>
  <si>
    <t>0.8678161</t>
  </si>
  <si>
    <t>../../../asm_examples/DAS/TrafficMonitoringSystem/validation/mainForModelCheckingThreeCameras.asm</t>
  </si>
  <si>
    <t>mainForModelCheckingThreeCameras</t>
  </si>
  <si>
    <t>199</t>
  </si>
  <si>
    <t>../../../asm_examples/examples/RushHour/emptyCellAs0/RushHourMonForAsmetaSMV.asm</t>
  </si>
  <si>
    <t>../../../asm_examples/PillBox/Level0/pillbox_0.asm</t>
  </si>
  <si>
    <t>pillbox_0</t>
  </si>
  <si>
    <t>67229.0</t>
  </si>
  <si>
    <t>0.93333334</t>
  </si>
  <si>
    <t>../../../asm_examples/PHD/phd_master_flat2_v7.asm</t>
  </si>
  <si>
    <t>phd_master_flat2_v7</t>
  </si>
  <si>
    <t>184</t>
  </si>
  <si>
    <t>307</t>
  </si>
  <si>
    <t>83929.0</t>
  </si>
  <si>
    <t>209</t>
  </si>
  <si>
    <t>480</t>
  </si>
  <si>
    <t>0.48369566</t>
  </si>
  <si>
    <t>0.8333333</t>
  </si>
  <si>
    <t>0.742671</t>
  </si>
  <si>
    <t>../../../asm_examples/examples/models/SIS.asm</t>
  </si>
  <si>
    <t>SIS</t>
  </si>
  <si>
    <t>../../../asm_examples/examples/RushHour/emptyCellAs0/RushHourMon.asm</t>
  </si>
  <si>
    <t>RushHourMon</t>
  </si>
  <si>
    <t>../../../asm_examples/DAS/TrafficMonitoringSystem/validation/mainForModelCheckingR1.asm</t>
  </si>
  <si>
    <t>mainForModelCheckingR1</t>
  </si>
  <si>
    <t>61</t>
  </si>
  <si>
    <t>205</t>
  </si>
  <si>
    <t>../../../asm_examples/examples/ermts_etcs/models/ertms_hl3_integer_disco_lostint_lengthchanged_reco_sweep.asm</t>
  </si>
  <si>
    <t>ertms_hl3_integer_disco_lostint_lengthchanged_reco_sweep</t>
  </si>
  <si>
    <t>79</t>
  </si>
  <si>
    <t>198</t>
  </si>
  <si>
    <t>../../../asm_examples/examples/slotMachine.asm</t>
  </si>
  <si>
    <t>slotMachine</t>
  </si>
  <si>
    <t>../../../asm_examples/examples/cards.asm</t>
  </si>
  <si>
    <t>cards</t>
  </si>
  <si>
    <t>../../../asm_examples/examples/philosophers/philosophers1.asm</t>
  </si>
  <si>
    <t>philosophers1</t>
  </si>
  <si>
    <t>../../../asm_examples/stereoacuity/certifier_nochoose.asm</t>
  </si>
  <si>
    <t>certifier_nochoose</t>
  </si>
  <si>
    <t>68882.0</t>
  </si>
  <si>
    <t>32</t>
  </si>
  <si>
    <t>278</t>
  </si>
  <si>
    <t>0.875</t>
  </si>
  <si>
    <t>../../../asm_examples/examples/ABZ2020/CarSystemModule/CarSystem007/CarSystem007main.asm</t>
  </si>
  <si>
    <t>CarSystem007main</t>
  </si>
  <si>
    <t>../../../asm_examples/DAS/TrafficMonitoringSystem/main.asm</t>
  </si>
  <si>
    <t>main</t>
  </si>
  <si>
    <t>../../../asm_examples/examples/carController.asm</t>
  </si>
  <si>
    <t>carController</t>
  </si>
  <si>
    <t>65913.0</t>
  </si>
  <si>
    <t>0.0</t>
  </si>
  <si>
    <t>0.25</t>
  </si>
  <si>
    <t>0.2857143</t>
  </si>
  <si>
    <t>../../../asm_examples/examples/simple_example/MorraCinese/MorraCinese_raff2.asm</t>
  </si>
  <si>
    <t>MorraCinese_raff2</t>
  </si>
  <si>
    <t>../../../asm_examples/examples/TrafficLightYakindu/TrafficLight0/TrafficLight_0.asm</t>
  </si>
  <si>
    <t>TrafficLight_0</t>
  </si>
  <si>
    <t>33</t>
  </si>
  <si>
    <t>66943.0</t>
  </si>
  <si>
    <t>0.9285714</t>
  </si>
  <si>
    <t>../../../asm_examples/examples/trafficLightCoSim/trafficlightB.asm</t>
  </si>
  <si>
    <t>trafficlightB</t>
  </si>
  <si>
    <t>../../../asm_examples/examples/models/lift3.asm</t>
  </si>
  <si>
    <t>lift3</t>
  </si>
  <si>
    <t>../../../asm_examples/stereoacuity/certifierRaff4.asm</t>
  </si>
  <si>
    <t>certifierRaff4</t>
  </si>
  <si>
    <t>68667.0</t>
  </si>
  <si>
    <t>229</t>
  </si>
  <si>
    <t>0.7619048</t>
  </si>
  <si>
    <t>0.96153843</t>
  </si>
  <si>
    <t>../../../asm_examples/examples/TrafficLightYakindu/TrafficLight1/TrafficLight_1.asm</t>
  </si>
  <si>
    <t>TrafficLight_1</t>
  </si>
  <si>
    <t>56</t>
  </si>
  <si>
    <t>67892.0</t>
  </si>
  <si>
    <t>0.9411765</t>
  </si>
  <si>
    <t>../../../asm_examples/examples/RushHour/RushHourMon.asm</t>
  </si>
  <si>
    <t>../../../asm_examples/examples/fsmsemantics/FSM_map0_2.asm</t>
  </si>
  <si>
    <t>FSM_map0_2</t>
  </si>
  <si>
    <t>../../../asm_examples/examples/library/Library.asm</t>
  </si>
  <si>
    <t>Library</t>
  </si>
  <si>
    <t>../../../asm_examples/DAS/TrafficMonitoringSystem/mainUnique.asm</t>
  </si>
  <si>
    <t>mainUnique</t>
  </si>
  <si>
    <t>175</t>
  </si>
  <si>
    <t>../../../asm_examples/examples/ermts_etcs/scenarios/ertms_hl3_scenario1.asm</t>
  </si>
  <si>
    <t>ertms_hl3_scenario1</t>
  </si>
  <si>
    <t>116</t>
  </si>
  <si>
    <t>295</t>
  </si>
  <si>
    <t>../../../asm_examples/examples/simple_example/MorraCinese/withActors/MorraCinese_withActors_raff1.asm</t>
  </si>
  <si>
    <t>MorraCinese_withActors_raff1</t>
  </si>
  <si>
    <t>../../../asm_examples/examples/flashProtocol/flashProtocol_N2_L1_Q1_C.asm</t>
  </si>
  <si>
    <t>flashProtocol_N2_L1_Q1_C</t>
  </si>
  <si>
    <t>92</t>
  </si>
  <si>
    <t>276</t>
  </si>
  <si>
    <t>../../../asm_examples/RTPatternLibrary/Application/Test_SB.asm</t>
  </si>
  <si>
    <t>Test_SB</t>
  </si>
  <si>
    <t>23</t>
  </si>
  <si>
    <t>../../../asm_examples/examples/landingGearSystem/LGS_GM_withError.asm</t>
  </si>
  <si>
    <t>LGS_GM_withError</t>
  </si>
  <si>
    <t>67012.0</t>
  </si>
  <si>
    <t>82</t>
  </si>
  <si>
    <t>../../../asm_examples/examples/simple_example/iterativeWhile.asm</t>
  </si>
  <si>
    <t>iterativeWhile</t>
  </si>
  <si>
    <t>MODEL_DATA_ERR</t>
  </si>
  <si>
    <t>../../../asm_examples/DAS/TrafficMonitoringSystem/journal/trafficMonitoringForExperiments.asm</t>
  </si>
  <si>
    <t>trafficMonitoringForExperiments</t>
  </si>
  <si>
    <t>43</t>
  </si>
  <si>
    <t>67</t>
  </si>
  <si>
    <t>217</t>
  </si>
  <si>
    <t>../../../asm_examples/examples/hemodialysisDevice/SCP2017/HemodialysisGround.asm</t>
  </si>
  <si>
    <t>HemodialysisGround</t>
  </si>
  <si>
    <t>65577.0</t>
  </si>
  <si>
    <t>../../../asm_examples/examples/petriNets/petriNetNoEdgeWeightNoPlaceCapacity_NoSeq_Matrix.asm</t>
  </si>
  <si>
    <t>petriNetNoEdgeWeightNoPlaceCapacity_NoSeq_Matrix</t>
  </si>
  <si>
    <t>../../../asm_examples/examples/authenticationProtocols/groundModel.asm</t>
  </si>
  <si>
    <t>groundModel</t>
  </si>
  <si>
    <t>../../../asm_examples/examples/traffic_light/oneWayTrafficLight_refined.asm</t>
  </si>
  <si>
    <t>66831.0</t>
  </si>
  <si>
    <t>../../../asm_examples/PHD/phd_master_flat2_v0.asm</t>
  </si>
  <si>
    <t>phd_master_flat2_v0</t>
  </si>
  <si>
    <t>52</t>
  </si>
  <si>
    <t>26</t>
  </si>
  <si>
    <t>131</t>
  </si>
  <si>
    <t>72086.0</t>
  </si>
  <si>
    <t>51</t>
  </si>
  <si>
    <t>0.78846157</t>
  </si>
  <si>
    <t>../../../asm_examples/examples/GilbreathCardTrick/workingButNotElegant/GilbreathCardTrickWithAuxFunctionSimpleForAsmetaSMV.asm</t>
  </si>
  <si>
    <t>GilbreathCardTrickWithAuxFunctionSimpleForAsmetaSMV</t>
  </si>
  <si>
    <t>../../../asm_examples/examples/sluicegate/sluiceGateGround.asm</t>
  </si>
  <si>
    <t>sluiceGateGround</t>
  </si>
  <si>
    <t>65835.0</t>
  </si>
  <si>
    <t>../../../asm_examples/erinda/for_atgt.asm</t>
  </si>
  <si>
    <t>for_atgt</t>
  </si>
  <si>
    <t>../../../asm_examples/examples/traffic_light/oneWayTrafficLight.asm</t>
  </si>
  <si>
    <t>oneWayTrafficLight</t>
  </si>
  <si>
    <t>38</t>
  </si>
  <si>
    <t>65910.0</t>
  </si>
  <si>
    <t>../../../asm_examples/examples/flashProtocol/flashProtocol_N2_L2_Q1.asm</t>
  </si>
  <si>
    <t>flashProtocol_N2_L2_Q1</t>
  </si>
  <si>
    <t>96</t>
  </si>
  <si>
    <t>286</t>
  </si>
  <si>
    <t>../../../asm_examples/examples_for_nuXmv/EuclideInt.asm</t>
  </si>
  <si>
    <t>EuclideInt</t>
  </si>
  <si>
    <t>../../../asm_examples/examples/ABZ2020/CarSystemModule/CarSystem005/CarSystem005main.asm</t>
  </si>
  <si>
    <t>CarSystem005main</t>
  </si>
  <si>
    <t>../../../asm_examples/examples/simple_example/AdvancedClockDeciSecond.asm</t>
  </si>
  <si>
    <t>AdvancedClockDeciSecond</t>
  </si>
  <si>
    <t>66115.0</t>
  </si>
  <si>
    <t>0.5</t>
  </si>
  <si>
    <t>0.54545456</t>
  </si>
  <si>
    <t>../../../asm_examples/examples/landingGearSystem/LGS_EV_v2.asm</t>
  </si>
  <si>
    <t>LGS_EV_v2</t>
  </si>
  <si>
    <t>67819.0</t>
  </si>
  <si>
    <t>../../../asm_examples/examples/models/OrderSystem2.asm</t>
  </si>
  <si>
    <t>OrderSystem2</t>
  </si>
  <si>
    <t>../../../asm_examples/examples/conwayGameOfLife/gameOfLife.asm</t>
  </si>
  <si>
    <t>gameOfLife</t>
  </si>
  <si>
    <t>../../../asm_examples/DAS/TrafficMonitoringSystem/validation/mainForModelCheckingR4.asm</t>
  </si>
  <si>
    <t>mainForModelCheckingR4</t>
  </si>
  <si>
    <t>../../../asm_examples/examples/ABZ2020/CarSystemModule/CarSystem001/CarSystem001main.asm</t>
  </si>
  <si>
    <t>CarSystem001main</t>
  </si>
  <si>
    <t>../../../asm_examples/examples/ermts_etcs/scenarios/ertms_hl3_scenario9.asm</t>
  </si>
  <si>
    <t>ertms_hl3_scenario9</t>
  </si>
  <si>
    <t>105</t>
  </si>
  <si>
    <t>290</t>
  </si>
  <si>
    <t>../../../asm_examples/examples/GilbreathCardTrick/GilbreathCardTrickFasterShuffleForAsmetaSMV.asm</t>
  </si>
  <si>
    <t>GilbreathCardTrickFasterShuffleForAsmetaSMV</t>
  </si>
  <si>
    <t>../../../asm_examples/examples/ABZ2020/CarSystemModule/CarSystem004/CarSystem004main.asm</t>
  </si>
  <si>
    <t>CarSystem004main</t>
  </si>
  <si>
    <t>../../../asm_examples/examples/hemodialysisDevice/ABZ2016/Hemodialysis_ref4_forMC.asm</t>
  </si>
  <si>
    <t>Hemodialysis_ref4_forMC</t>
  </si>
  <si>
    <t>154</t>
  </si>
  <si>
    <t>169</t>
  </si>
  <si>
    <t>629</t>
  </si>
  <si>
    <t>104824.0</t>
  </si>
  <si>
    <t>340</t>
  </si>
  <si>
    <t>0.025974026</t>
  </si>
  <si>
    <t>0.00591716</t>
  </si>
  <si>
    <t>0.032258064</t>
  </si>
  <si>
    <t>0.031796504</t>
  </si>
  <si>
    <t>../../../asm_examples/examples/traffic_light/oneWayTrafficLight_refined_with_agents.asm</t>
  </si>
  <si>
    <t>../../../asm_examples/examples/simple_example/ATM3.asm</t>
  </si>
  <si>
    <t>ATM3</t>
  </si>
  <si>
    <t>80712.0</t>
  </si>
  <si>
    <t>../../../asm_examples/examples/ABZ2020/CarSystemModule/CarSystem009/CarSystem009main.asm</t>
  </si>
  <si>
    <t>CarSystem009main</t>
  </si>
  <si>
    <t>../../../asm_examples/examples/trafficLightCoSim/controller.asm</t>
  </si>
  <si>
    <t>controller</t>
  </si>
  <si>
    <t>../../../asm_examples/erinda/FMS_IO.asm</t>
  </si>
  <si>
    <t>FMS_IO</t>
  </si>
  <si>
    <t>167</t>
  </si>
  <si>
    <t>197</t>
  </si>
  <si>
    <t>../../../asm_examples/examples/petriNets/petriNetNoEdgeWeightNoPlaceCapacity_NoSeq.asm</t>
  </si>
  <si>
    <t>petriNetNoEdgeWeightNoPlaceCapacity_NoSeq</t>
  </si>
  <si>
    <t>../../../asm_examples/examples/simple_example/MorraCinese/MorraCinese.asm</t>
  </si>
  <si>
    <t>MorraCinese</t>
  </si>
  <si>
    <t>../../../asm_examples/examples/traffic_light/oneWayTrafficLight2.asm</t>
  </si>
  <si>
    <t>oneWayTrafficLight2</t>
  </si>
  <si>
    <t>65966.0</t>
  </si>
  <si>
    <t>../../../asm_examples/systemc/counter/main.asm</t>
  </si>
  <si>
    <t>../../../asm_examples/examples/petriNets/petriNetEdgeWeightNoPlaceCapacity_NoSeq_Matrix_Murata17a.asm</t>
  </si>
  <si>
    <t>petriNetEdgeWeightNoPlaceCapacity_NoSeq_Matrix_Murata17a</t>
  </si>
  <si>
    <t>../../../asm_examples/examples/landingGearSystem/LGS_SE.asm</t>
  </si>
  <si>
    <t>LGS_SE</t>
  </si>
  <si>
    <t>69482.0</t>
  </si>
  <si>
    <t>280</t>
  </si>
  <si>
    <t>0.6666667</t>
  </si>
  <si>
    <t>../../../asm_examples/examples/filosofiEciliegie/filosofiEciliegieJustLeft.asm</t>
  </si>
  <si>
    <t>filosofiEciliegieJustLeft</t>
  </si>
  <si>
    <t>../../../asm_examples/examples/traffic_light/oneWayTrafficLight_inline.asm</t>
  </si>
  <si>
    <t>oneWayTrafficLight_inline</t>
  </si>
  <si>
    <t>66035.0</t>
  </si>
  <si>
    <t>../../../asm_examples/examples/simple_example/MorraCinese/MorraCineseWithAgents.asm</t>
  </si>
  <si>
    <t>MorraCineseWithAgents</t>
  </si>
  <si>
    <t>../../../asm_examples/DAS/TrafficMonitoringSystem/journal/trafficMonitoring.asm</t>
  </si>
  <si>
    <t>trafficMonitoring</t>
  </si>
  <si>
    <t>../../../asm_examples/PillBox/Level1/pillbox_1_for_RefProv.asm</t>
  </si>
  <si>
    <t>pillbox_1_for_RefProv</t>
  </si>
  <si>
    <t>../../../asm_examples/PHD/phd_master_flat2_v2.asm</t>
  </si>
  <si>
    <t>phd_master_flat2_v2</t>
  </si>
  <si>
    <t>64</t>
  </si>
  <si>
    <t>144</t>
  </si>
  <si>
    <t>338</t>
  </si>
  <si>
    <t>86541.0</t>
  </si>
  <si>
    <t>49</t>
  </si>
  <si>
    <t>587</t>
  </si>
  <si>
    <t>0.6388889</t>
  </si>
  <si>
    <t>0.9104478</t>
  </si>
  <si>
    <t>0.908284</t>
  </si>
  <si>
    <t>../../../asm_examples/examples/ermts_etcs/models/ertms_hl3_integer_disconnected_train.asm</t>
  </si>
  <si>
    <t>ertms_hl3_integer_disconnected_train</t>
  </si>
  <si>
    <t>54</t>
  </si>
  <si>
    <t>134</t>
  </si>
  <si>
    <t>../../../asm_examples/examples/simple_example/AdvancedClock2.asm</t>
  </si>
  <si>
    <t>AdvancedClock2</t>
  </si>
  <si>
    <t>66059.0</t>
  </si>
  <si>
    <t>0.8888889</t>
  </si>
  <si>
    <t>../../../asm_examples/examples/smartHome/smartHome.asm</t>
  </si>
  <si>
    <t>smartHome</t>
  </si>
  <si>
    <t>95</t>
  </si>
  <si>
    <t>../../../asm_examples/RTPatternLibrary/Test/Test_Sem_Sync.asm</t>
  </si>
  <si>
    <t>Test_Sem_Sync</t>
  </si>
  <si>
    <t>../../../asm_examples/examples/fsmsemantics/meta_hooking/FSM_spec0.asm</t>
  </si>
  <si>
    <t>FSM_spec0</t>
  </si>
  <si>
    <t>../../../asm_examples/stereoacuity/certifierRaff1.asm</t>
  </si>
  <si>
    <t>certifierRaff1</t>
  </si>
  <si>
    <t>67795.0</t>
  </si>
  <si>
    <t>102</t>
  </si>
  <si>
    <t>0.8666667</t>
  </si>
  <si>
    <t>../../../asm_examples/examples/petriNets/petriNetEdgeWeightNoPlaceCapacity_NoSeq_Matrix_v2.asm</t>
  </si>
  <si>
    <t>petriNetEdgeWeightNoPlaceCapacity_NoSeq_Matrix_v2</t>
  </si>
  <si>
    <t>../../../asm_examples/examples/hemodialysisDevice/SCP2017/HemodialysisRef3.asm</t>
  </si>
  <si>
    <t>HemodialysisRef3</t>
  </si>
  <si>
    <t>159</t>
  </si>
  <si>
    <t>146</t>
  </si>
  <si>
    <t>648</t>
  </si>
  <si>
    <t>118330.0</t>
  </si>
  <si>
    <t>../../../asm_examples/examples/traffic_light/Timer/oneWayTrafficLight.asm</t>
  </si>
  <si>
    <t>../../../asm_examples/examples/petriNets/forModelAdvisor/petriNet_forModelAdvisor_InconsUpdateViolation.asm</t>
  </si>
  <si>
    <t>petriNet_forModelAdvisor_InconsUpdateViolation</t>
  </si>
  <si>
    <t>../../../asm_examples/PillBox/Level3/pillbox_FULL_elia.asm</t>
  </si>
  <si>
    <t>pillbox_FULL_elia</t>
  </si>
  <si>
    <t>../../../asm_examples/SystemCUMLProfile_metahooking/main.asm</t>
  </si>
  <si>
    <t>../../../asm_examples/examples/production_cell/press.asm</t>
  </si>
  <si>
    <t>press</t>
  </si>
  <si>
    <t>../../../asm_examples/systemc/counter2/main.asm</t>
  </si>
  <si>
    <t>../../../asm_examples/examples/ABZ2020/CarSystemModule/CarSystem006/CarSystem006main.asm</t>
  </si>
  <si>
    <t>CarSystem006main</t>
  </si>
  <si>
    <t>../../../asm_examples/examples/philosophers/philosophers2.asm</t>
  </si>
  <si>
    <t>philosophers2</t>
  </si>
  <si>
    <t>../../../asm_examples/examples/models/lift2.asm</t>
  </si>
  <si>
    <t>lift2</t>
  </si>
  <si>
    <t>../../../asm_examples/unibgstudents/RegistroDiCassa.asm</t>
  </si>
  <si>
    <t>RegistroDiCassa</t>
  </si>
  <si>
    <t>67219.0</t>
  </si>
  <si>
    <t>0.6086956</t>
  </si>
  <si>
    <t>0.79310346</t>
  </si>
  <si>
    <t>../../../asm_examples/DAS/TrafficMonitoringSystem/validation/mainForModelCheckingNoSelfHealer.asm</t>
  </si>
  <si>
    <t>mainForModelCheckingNoSelfHealer</t>
  </si>
  <si>
    <t>147</t>
  </si>
  <si>
    <t>../../../asm_examples/examples/agents/processesSchedulerShortestJobNext.asm</t>
  </si>
  <si>
    <t>processesSchedulerShortestJobNext</t>
  </si>
  <si>
    <t>../../../asm_examples/examples/production_cell/DEPOSITBELT.asm</t>
  </si>
  <si>
    <t>DEPOSITBELT</t>
  </si>
  <si>
    <t>65664.0</t>
  </si>
  <si>
    <t>0.33333334</t>
  </si>
  <si>
    <t>0.125</t>
  </si>
  <si>
    <t>0.071428575</t>
  </si>
  <si>
    <t>../../../asm_examples/examples/petriNets/forAsmetaSMV/petriNet_forNuSMV_notLive_bound1_deadlockFree.asm</t>
  </si>
  <si>
    <t>petriNet_forNuSMV_notLive_bound1_deadlockFree</t>
  </si>
  <si>
    <t>../../../asm_examples/examples/TrafficLightYakindu/TrafficLight3/TrafficLight_3.asm</t>
  </si>
  <si>
    <t>TrafficLight_3</t>
  </si>
  <si>
    <t>88</t>
  </si>
  <si>
    <t>69488.0</t>
  </si>
  <si>
    <t>0.9714286</t>
  </si>
  <si>
    <t>0.7826087</t>
  </si>
  <si>
    <t>../../../asm_examples/examples/ermts_etcs/models/integer_train.asm</t>
  </si>
  <si>
    <t>integer_train</t>
  </si>
  <si>
    <t>../../../asm_examples/examples/simple_example/SwapSort.asm</t>
  </si>
  <si>
    <t>SwapSort</t>
  </si>
  <si>
    <t>65225.0</t>
  </si>
  <si>
    <t>../../../asm_examples/examples/ticTacToe/ticTacToe_simulator_with_inv.asm</t>
  </si>
  <si>
    <t>ticTacToe_simulator_with_inv</t>
  </si>
  <si>
    <t>../../../asm_examples/examples/ferryman/ferrymanSimulator.asm</t>
  </si>
  <si>
    <t>ferrymanSimulator</t>
  </si>
  <si>
    <t>66131.0</t>
  </si>
  <si>
    <t>../../../asm_examples/examples/TrafficLightYakindu/TrafficLight_NOREF/TrafficLight_4.asm</t>
  </si>
  <si>
    <t>TrafficLight_4</t>
  </si>
  <si>
    <t>67666.0</t>
  </si>
  <si>
    <t>0.8</t>
  </si>
  <si>
    <t>0.36</t>
  </si>
  <si>
    <t>0.44444445</t>
  </si>
  <si>
    <t>0.5625</t>
  </si>
  <si>
    <t>../../../asm_examples/examples/flashProtocol/flashProtocol_N2_L2_Q1_C.asm</t>
  </si>
  <si>
    <t>flashProtocol_N2_L2_Q1_C</t>
  </si>
  <si>
    <t>287</t>
  </si>
  <si>
    <t>../../../asm_examples/examples/simple_example/while.asm</t>
  </si>
  <si>
    <t>while</t>
  </si>
  <si>
    <t>../../../asm_examples/unibgstudents/Contatore_U_DA_H.asm</t>
  </si>
  <si>
    <t>Contatore_U_DA_H</t>
  </si>
  <si>
    <t>66183.0</t>
  </si>
  <si>
    <t>0.4</t>
  </si>
  <si>
    <t>0.375</t>
  </si>
  <si>
    <t>../../../asm_examples/examples/roulette/roulette.asm</t>
  </si>
  <si>
    <t>roulette</t>
  </si>
  <si>
    <t>../../../asm_examples/stereoacuity/modelReview/certifierGroundWrongGuard.asm</t>
  </si>
  <si>
    <t>certifierGroundWrongGuard</t>
  </si>
  <si>
    <t>37</t>
  </si>
  <si>
    <t>../../../asm_examples/DAS/TrafficMonitoringSystem/validation/mainForModelCheckingR2.asm</t>
  </si>
  <si>
    <t>mainForModelCheckingR2</t>
  </si>
  <si>
    <t>../../../asm_examples/examples/coffeeVendingMachine/coffeeVendingMachine.asm</t>
  </si>
  <si>
    <t>coffeeVendingMachine</t>
  </si>
  <si>
    <t>66330.0</t>
  </si>
  <si>
    <t>0.625</t>
  </si>
  <si>
    <t>../../../asm_examples/examples/agents/producerConsumerGround.asm</t>
  </si>
  <si>
    <t>producerConsumerGround</t>
  </si>
  <si>
    <t>../../../asm_examples/examples/simple_example/MorraCinese/withActors/MorraCinese_withActors_raff2.asm</t>
  </si>
  <si>
    <t>MorraCinese_withActors_raff2</t>
  </si>
  <si>
    <t>../../../asm_examples/examples/NeedhamSchroeder/NeedhamSchroederLoweWithSpy.asm</t>
  </si>
  <si>
    <t>NeedhamSchroederLoweWithSpy</t>
  </si>
  <si>
    <t>81</t>
  </si>
  <si>
    <t>../../../asm_examples/systemc/orgate/main.asm</t>
  </si>
  <si>
    <t>../../../asm_examples/examples/traffic_light/oneWayTrafficLightOnlyPassedFlat.asm</t>
  </si>
  <si>
    <t>oneWayTrafficLightOnlyPassedFlat</t>
  </si>
  <si>
    <t>66190.0</t>
  </si>
  <si>
    <t>0.9</t>
  </si>
  <si>
    <t>../../../asm_examples/examples/fsmsemantics/meta_hooking/FSM_spec.asm</t>
  </si>
  <si>
    <t>FSM_spec</t>
  </si>
  <si>
    <t>../../../asm_examples/examples/hemodialysisDevice/ABZ2016/Hemodialysis_ref3_forMC.asm</t>
  </si>
  <si>
    <t>Hemodialysis_ref3_forMC</t>
  </si>
  <si>
    <t>111</t>
  </si>
  <si>
    <t>127</t>
  </si>
  <si>
    <t>381</t>
  </si>
  <si>
    <t>83632.0</t>
  </si>
  <si>
    <t>300</t>
  </si>
  <si>
    <t>0.12745099</t>
  </si>
  <si>
    <t>0.08108108</t>
  </si>
  <si>
    <t>0.11811024</t>
  </si>
  <si>
    <t>0.112860896</t>
  </si>
  <si>
    <t>../../../asm_examples/examples/agents/populationAgent.asm</t>
  </si>
  <si>
    <t>populationAgent</t>
  </si>
  <si>
    <t>../../../asm_examples/examples/petriNets/forAsmetaSMV/petriNet_forNuSMV_withDeadlock.asm</t>
  </si>
  <si>
    <t>petriNet_forNuSMV_withDeadlock</t>
  </si>
  <si>
    <t>../../../asm_examples/examples/simple_example/Invariants.asm</t>
  </si>
  <si>
    <t>Invariants</t>
  </si>
  <si>
    <t>65672.0</t>
  </si>
  <si>
    <t>../../../asm_examples/examples/ermts_etcs/models/ertms_hl3_integer_disco_lostint_lengthchanged.asm</t>
  </si>
  <si>
    <t>ertms_hl3_integer_disco_lostint_lengthchanged</t>
  </si>
  <si>
    <t>158</t>
  </si>
  <si>
    <t>../../../asm_examples/examples/traffic_light/Timer/oneWayTrafficLight_refinedMillisec.asm</t>
  </si>
  <si>
    <t>oneWayTrafficLight_refinedMillisec</t>
  </si>
  <si>
    <t>../../../asm_examples/stereoacuity/certifier_nochoose_noundef.asm</t>
  </si>
  <si>
    <t>certifier_nochoose_noundef</t>
  </si>
  <si>
    <t>74</t>
  </si>
  <si>
    <t>70598.0</t>
  </si>
  <si>
    <t>344</t>
  </si>
  <si>
    <t>0.89285713</t>
  </si>
  <si>
    <t>../../../asm_examples/examples/TrafficLightYakindu/TrafficLight4/TrafficLight_4.asm</t>
  </si>
  <si>
    <t>68171.0</t>
  </si>
  <si>
    <t>0.90909094</t>
  </si>
  <si>
    <t>0.8235294</t>
  </si>
  <si>
    <t>../../../asm_examples/examples/ermts_etcs/models/ertms_hl3_integer_train.asm</t>
  </si>
  <si>
    <t>ertms_hl3_integer_train</t>
  </si>
  <si>
    <t>../../../asm_examples/unibgstudents/stufa.asm</t>
  </si>
  <si>
    <t>stufa</t>
  </si>
  <si>
    <t>67412.0</t>
  </si>
  <si>
    <t>0.11111111</t>
  </si>
  <si>
    <t>0.27272728</t>
  </si>
  <si>
    <t>../../../asm_examples/RTPatternLibrary/Application/VisualServoing.asm</t>
  </si>
  <si>
    <t>VisualServoing</t>
  </si>
  <si>
    <t>../../../asm_examples/examples/agents/producerConsumerRaff.asm</t>
  </si>
  <si>
    <t>producerConsumerRaff</t>
  </si>
  <si>
    <t>../../../asm_examples/examples/ferryman/ferrymanSimulator_raff1.asm</t>
  </si>
  <si>
    <t>ferrymanSimulator_raff1</t>
  </si>
  <si>
    <t>66032.0</t>
  </si>
  <si>
    <t>../../../asm_examples/examples/SemaforiAttraversamentoPedonale.asm</t>
  </si>
  <si>
    <t>SemaforiAttraversamentoPedonale</t>
  </si>
  <si>
    <t>../../../asm_examples/DAS/TrafficMonitoringSystem/seams2015/trafficMonitoringSystem.asm</t>
  </si>
  <si>
    <t>trafficMonitoringSystem</t>
  </si>
  <si>
    <t>213</t>
  </si>
  <si>
    <t>../../../asm_examples/examples/RushHour/emptyCellAs0/RushHourForAsmetaSMV.asm</t>
  </si>
  <si>
    <t>../../../asm_examples/examples/petriNets/petriNetEdgeWeightPlaceCapacity_NoSeq_Matrix.asm</t>
  </si>
  <si>
    <t>petriNetEdgeWeightPlaceCapacity_NoSeq_Matrix</t>
  </si>
  <si>
    <t>../../../asm_examples/examples/production_cell/robot.asm</t>
  </si>
  <si>
    <t>robot</t>
  </si>
  <si>
    <t>46</t>
  </si>
  <si>
    <t>../../../asm_examples/examples/ermts_etcs/scenarios/ertms_hl3_scenario4.asm</t>
  </si>
  <si>
    <t>ertms_hl3_scenario4</t>
  </si>
  <si>
    <t>121</t>
  </si>
  <si>
    <t>../../../asm_examples/examples/traffic_light/forAsmetaSMV/oneWayTrafficLight.asm</t>
  </si>
  <si>
    <t>../../../asm_examples/examples/landingGearSystem/LGS_EV.asm</t>
  </si>
  <si>
    <t>LGS_EV</t>
  </si>
  <si>
    <t>68119.0</t>
  </si>
  <si>
    <t>210</t>
  </si>
  <si>
    <t>../../../asm_examples/examples/RushHour/RushHourMonSimplForAsmetaSMV.asm</t>
  </si>
  <si>
    <t>RushHourMonSimplForAsmetaSMV</t>
  </si>
  <si>
    <t>../../../asm_examples/DAS/TrafficMonitoringSystem/validation/mainForModelCheckingNoSelfHealerNoFailures.asm</t>
  </si>
  <si>
    <t>mainForModelCheckingNoSelfHealerNoFailures</t>
  </si>
  <si>
    <t>129</t>
  </si>
  <si>
    <t>../../../asm_examples/examples/sultanSuccessors/sultan.asm</t>
  </si>
  <si>
    <t>sultan</t>
  </si>
  <si>
    <t>../../../asm_examples/examples/RushHour/RushHourSimplForAsmetaSMV.asm</t>
  </si>
  <si>
    <t>RushHourSimplForAsmetaSMV</t>
  </si>
  <si>
    <t>../../../asm_examples/examples/ermts_etcs/scenarios/ertms_hl3_scenario2.asm</t>
  </si>
  <si>
    <t>ertms_hl3_scenario2</t>
  </si>
  <si>
    <t>../../../asm_examples/RTPatternLibrary/Application/CompleteApplication.asm</t>
  </si>
  <si>
    <t>CompleteApplication</t>
  </si>
  <si>
    <t>../../../asm_examples/erinda/fms_io_for_atgt.asm</t>
  </si>
  <si>
    <t>fms_io_for_atgt</t>
  </si>
  <si>
    <t>../../../asm_examples/examples/landingGearSystem/LGS_SE_v2.asm</t>
  </si>
  <si>
    <t>LGS_SE_v2</t>
  </si>
  <si>
    <t>68852.0</t>
  </si>
  <si>
    <t>../../../asm_examples/examples/hemodialysisDevice/ABZ2016/Hemodialysis_ref2_par.asm</t>
  </si>
  <si>
    <t>Hemodialysis_ref2_par</t>
  </si>
  <si>
    <t>93</t>
  </si>
  <si>
    <t>122</t>
  </si>
  <si>
    <t>387</t>
  </si>
  <si>
    <t>92599.0</t>
  </si>
  <si>
    <t>0.043010753</t>
  </si>
  <si>
    <t>0.010526316</t>
  </si>
  <si>
    <t>0.04918033</t>
  </si>
  <si>
    <t>0.043927647</t>
  </si>
  <si>
    <t>../../../asm_examples/DAS/TrafficMonitoringSystem/validation/mainForModelCheckingWithPatterns.asm</t>
  </si>
  <si>
    <t>mainForModelCheckingWithPatterns</t>
  </si>
  <si>
    <t>../../../asm_examples/examples/GilbreathCardTrick/GilbreathCardTrickSimpl.asm</t>
  </si>
  <si>
    <t>GilbreathCardTrickSimpl</t>
  </si>
  <si>
    <t>39</t>
  </si>
  <si>
    <t>../../../asm_examples/examples/models/LIFT.asm</t>
  </si>
  <si>
    <t>LIFT</t>
  </si>
  <si>
    <t>../../../asm_examples/examples/petriNets/forAsmetaSMV/petriNet_forNuSMV_reversable.asm</t>
  </si>
  <si>
    <t>petriNet_forNuSMV_reversable</t>
  </si>
  <si>
    <t>../../../asm_examples/examples/landingGearSystem/LGS_GM.asm</t>
  </si>
  <si>
    <t>LGS_GM</t>
  </si>
  <si>
    <t>67269.0</t>
  </si>
  <si>
    <t>../../../asm_examples/examples_for_nuXmv/FunctionInt.asm</t>
  </si>
  <si>
    <t>FunctionInt</t>
  </si>
  <si>
    <t>../../../asm_examples/examples/models/FlipFlop.asm</t>
  </si>
  <si>
    <t>FlipFlop</t>
  </si>
  <si>
    <t>../../../asm_examples/examples/traffic_light/Timer/oneWayTrafficLight_refinedMillisecSec.asm</t>
  </si>
  <si>
    <t>oneWayTrafficLight_refinedMillisecSec</t>
  </si>
  <si>
    <t>../../../asm_examples/examples/simple_example/euclideMCD_init.asm</t>
  </si>
  <si>
    <t>euclideMCD_init</t>
  </si>
  <si>
    <t>65722.0</t>
  </si>
  <si>
    <t>../../../asm_examples/systemc/counterAG/main_user.asm</t>
  </si>
  <si>
    <t>main_user</t>
  </si>
  <si>
    <t>../../../asm_examples/unibgstudents/VideotecaASM.asm</t>
  </si>
  <si>
    <t>VideotecaASM</t>
  </si>
  <si>
    <t>73202.0</t>
  </si>
  <si>
    <t>../../../asm_examples/examples/hemodialysisDevice/ABZ2016/Hemodialysis_ref1_forMC.asm</t>
  </si>
  <si>
    <t>Hemodialysis_ref1_forMC</t>
  </si>
  <si>
    <t>70</t>
  </si>
  <si>
    <t>196</t>
  </si>
  <si>
    <t>75889.0</t>
  </si>
  <si>
    <t>333</t>
  </si>
  <si>
    <t>0.41379312</t>
  </si>
  <si>
    <t>0.33898306</t>
  </si>
  <si>
    <t>0.5714286</t>
  </si>
  <si>
    <t>0.5408163</t>
  </si>
  <si>
    <t>../../../asm_examples/examples/sluicegate/Timer/sluiceGateGround.asm</t>
  </si>
  <si>
    <t>../../../asm_examples/erinda/FMS_IO_3.asm</t>
  </si>
  <si>
    <t>FMS_IO_3</t>
  </si>
  <si>
    <t>../../../asm_examples/examples/sluicegate/sluiceGateMotorCtl.asm</t>
  </si>
  <si>
    <t>66833.0</t>
  </si>
  <si>
    <t>../../../asm_examples/examples/fsmsemantics/meta_hooking/FSM.asm</t>
  </si>
  <si>
    <t>FSM</t>
  </si>
  <si>
    <t>../../../asm_examples/examples/petriNets/forModelAdvisor/petriNet_forModelAdvisor_InconsUpdateViolation2.asm</t>
  </si>
  <si>
    <t>petriNet_forModelAdvisor_InconsUpdateViolation2</t>
  </si>
  <si>
    <t>../../../asm_examples/examples/parking.asm</t>
  </si>
  <si>
    <t>parking</t>
  </si>
  <si>
    <t>../../../asm_examples/RTPatternLibrary/Application/RobotController.asm</t>
  </si>
  <si>
    <t>RobotController</t>
  </si>
  <si>
    <t>../../../asm_examples/examples/hemodialysisDevice/SCP2017/HemodialysisRef2.asm</t>
  </si>
  <si>
    <t>HemodialysisRef2</t>
  </si>
  <si>
    <t>143</t>
  </si>
  <si>
    <t>207</t>
  </si>
  <si>
    <t>578</t>
  </si>
  <si>
    <t>107481.0</t>
  </si>
  <si>
    <t>234</t>
  </si>
  <si>
    <t>0.055944055</t>
  </si>
  <si>
    <t>0.03125</t>
  </si>
  <si>
    <t>0.04589372</t>
  </si>
  <si>
    <t>0.060553633</t>
  </si>
  <si>
    <t>../../../asm_examples/examples_for_nuXmv/FunctionInt2.asm</t>
  </si>
  <si>
    <t>FunctionInt2</t>
  </si>
  <si>
    <t>../../../asm_examples/PHD/phd_master_flat2_v1.asm</t>
  </si>
  <si>
    <t>phd_master_flat2_v1</t>
  </si>
  <si>
    <t>70217.0</t>
  </si>
  <si>
    <t>../../../asm_examples/PillBox/Level1/pillbox_1_elia.asm</t>
  </si>
  <si>
    <t>pillbox_1_elia</t>
  </si>
  <si>
    <t>../../../asm_examples/examples/GilbreathCardTrick/workingButNotElegant/GilbreathCardTrickWithAuxFunctionSimple.asm</t>
  </si>
  <si>
    <t>GilbreathCardTrickWithAuxFunctionSimple</t>
  </si>
  <si>
    <t>../../../asm_examples/examples/agents/populationAgent_raff1_twoPersons.asm</t>
  </si>
  <si>
    <t>populationAgent_raff1_twoPersons</t>
  </si>
  <si>
    <t>../../../asm_examples/examples/simple_example/QuickSort.asm</t>
  </si>
  <si>
    <t>QuickSort</t>
  </si>
  <si>
    <t>../../../asm_examples/examples/ABZ2020/CarSystemModule/CarSystem002/CarSystem002main.asm</t>
  </si>
  <si>
    <t>CarSystem002main</t>
  </si>
  <si>
    <t>../../../asm_examples/stereoacuity/certifierGround.asm</t>
  </si>
  <si>
    <t>certifierGround</t>
  </si>
  <si>
    <t>67045.0</t>
  </si>
  <si>
    <t>0.9166667</t>
  </si>
  <si>
    <t>../../../asm_examples/examples/philosophers/philosophers3.asm</t>
  </si>
  <si>
    <t>philosophers3</t>
  </si>
  <si>
    <t>../../../asm_examples/examples/traffic_light/oneWayTrafficLightUsingEnumFlat.asm</t>
  </si>
  <si>
    <t>oneWayTrafficLightUsingEnumFlat</t>
  </si>
  <si>
    <t>66870.0</t>
  </si>
  <si>
    <t>../../../asm_examples/examples/simple_example/euclideMCD.asm</t>
  </si>
  <si>
    <t>euclideMCD</t>
  </si>
  <si>
    <t>65622.0</t>
  </si>
  <si>
    <t>../../../asm_examples/examples/hemodialysisDevice/ABZ2016/Hemodialysis_ref2_forMC.asm</t>
  </si>
  <si>
    <t>Hemodialysis_ref2_forMC</t>
  </si>
  <si>
    <t>89</t>
  </si>
  <si>
    <t>324</t>
  </si>
  <si>
    <t>74524.0</t>
  </si>
  <si>
    <t>0.04494382</t>
  </si>
  <si>
    <t>0.055555556</t>
  </si>
  <si>
    <t>0.052469134</t>
  </si>
  <si>
    <t>../../../asm_examples/examples/agents/populationAgent_raff1_fourPersons.asm</t>
  </si>
  <si>
    <t>populationAgent_raff1_fourPersons</t>
  </si>
  <si>
    <t>../../../asm_examples/examples/simple_example/population_raff1_fourPersons.asm</t>
  </si>
  <si>
    <t>population_raff1_fourPersons</t>
  </si>
  <si>
    <t>../../../asm_examples/examples/swapBoard.asm</t>
  </si>
  <si>
    <t>swapBoard</t>
  </si>
  <si>
    <t>../../../asm_examples/examples/simple_example/IncosistentUpdate.asm</t>
  </si>
  <si>
    <t>IncosistentUpdate</t>
  </si>
  <si>
    <t>../../../asm_examples/examples/agents/SeqSelf.asm</t>
  </si>
  <si>
    <t>SeqSelf</t>
  </si>
  <si>
    <t>../../../asm_examples/systemc/clock/main.asm</t>
  </si>
  <si>
    <t>../../../asm_examples/examples/ABZ2020/CarSystemModule/CarSystem003/CarSystem003main.asm</t>
  </si>
  <si>
    <t>CarSystem003main</t>
  </si>
  <si>
    <t>../../../asm_examples/examples/petriNets/petriNetNoEdgeWeightNoPlaceCapacity_seq.asm</t>
  </si>
  <si>
    <t>petriNetNoEdgeWeightNoPlaceCapacity_seq</t>
  </si>
  <si>
    <t>../../../asm_examples/examples/ermts_etcs/scenarios/ertms_hl3_scenario3.asm</t>
  </si>
  <si>
    <t>ertms_hl3_scenario3</t>
  </si>
  <si>
    <t>../../../asm_examples/examples/Yahalom/FlawedYahalom.asm</t>
  </si>
  <si>
    <t>FlawedYahalom</t>
  </si>
  <si>
    <t>../../../asm_examples/examples/simple_example/population.asm</t>
  </si>
  <si>
    <t>population</t>
  </si>
  <si>
    <t>../../../asm_examples/examples/fsmsemantics/meta_hooking/myFSM.asm</t>
  </si>
  <si>
    <t>myFSM</t>
  </si>
  <si>
    <t>../../../asm_examples/examples/ABZ2020/CarSystemModule/CarSystem008/CarSystem008main.asm</t>
  </si>
  <si>
    <t>CarSystem008main</t>
  </si>
  <si>
    <t>../../../asm_examples/examples/testRanges.asm</t>
  </si>
  <si>
    <t>testRanges</t>
  </si>
  <si>
    <t>65640.0</t>
  </si>
  <si>
    <t>../../../asm_examples/examples/traffic_light/oneWayTrafficLight_refined_with_agents_problem.asm</t>
  </si>
  <si>
    <t>oneWayTrafficLight_refined_with_agents_problem</t>
  </si>
  <si>
    <t>../../../asm_examples/examples/landingGearSystem/LGS_HM.asm</t>
  </si>
  <si>
    <t>LGS_HM</t>
  </si>
  <si>
    <t>86</t>
  </si>
  <si>
    <t>68625.0</t>
  </si>
  <si>
    <t>../../../asm_examples/PillBox/Level2/pillbox_2_elia.asm</t>
  </si>
  <si>
    <t>pillbox_2_elia</t>
  </si>
  <si>
    <t>../../../asm_examples/stereoacuity/certifierRaff5.asm</t>
  </si>
  <si>
    <t>certifierRaff5</t>
  </si>
  <si>
    <t>67925.0</t>
  </si>
  <si>
    <t>../../../asm_examples/examples/simple_example/MorraCinese/MorraCinese_raff1.asm</t>
  </si>
  <si>
    <t>MorraCinese_raff1</t>
  </si>
  <si>
    <t>../../../asm_examples/examples/landingGearSystem/LGS_3L.asm</t>
  </si>
  <si>
    <t>LGS_3L</t>
  </si>
  <si>
    <t>68717.0</t>
  </si>
  <si>
    <t>63</t>
  </si>
  <si>
    <t>0.28947368</t>
  </si>
  <si>
    <t>0.2777778</t>
  </si>
  <si>
    <t>0.34848484</t>
  </si>
  <si>
    <t>../../../asm_examples/examples/agents/FileSystem.asm</t>
  </si>
  <si>
    <t>FileSystem</t>
  </si>
  <si>
    <t>../../../asm_examples/examples/trafficLightCoSim/trafficlightA.asm</t>
  </si>
  <si>
    <t>trafficlightA</t>
  </si>
  <si>
    <t>../../../asm_examples/examples/NeedhamSchroeder/NeedhamSchroeder.asm</t>
  </si>
  <si>
    <t>NeedhamSchroeder</t>
  </si>
  <si>
    <t>../../../asm_examples/examples/simple_example/fattoriale.asm</t>
  </si>
  <si>
    <t>fattoriale</t>
  </si>
  <si>
    <t>65854.0</t>
  </si>
  <si>
    <t>../../../asm_examples/examples/smartHome/smartHomeNoMultiChannel.asm</t>
  </si>
  <si>
    <t>smartHomeNoMultiChannel</t>
  </si>
  <si>
    <t>../../../asm_examples/examples/hemodialysisDevice/ABZ2016/Hemodialysis_GM.asm</t>
  </si>
  <si>
    <t>Hemodialysis_GM</t>
  </si>
  <si>
    <t>65567.0</t>
  </si>
  <si>
    <t>../../../asm_examples/examples/trafficLightCoSim/emptyModel.asm</t>
  </si>
  <si>
    <t>emptyModel</t>
  </si>
  <si>
    <t>65794.0</t>
  </si>
  <si>
    <t>../../../asm_examples/examples/RushHour/emptyCellAs0/RushHour.asm</t>
  </si>
  <si>
    <t>RushHour</t>
  </si>
  <si>
    <t>../../../asm_examples/examples/parkingSimple.asm</t>
  </si>
  <si>
    <t>parkingSimple</t>
  </si>
  <si>
    <t>65642.0</t>
  </si>
  <si>
    <t>../../../asm_examples/examples/RushHour/RushHour.asm</t>
  </si>
  <si>
    <t>../../../asm_examples/examples/RushHour/emptyCellAs0/RushHourSimplForAsmetaSMV.asm</t>
  </si>
  <si>
    <t>../../../asm_examples/unibgstudents/Prova.asm</t>
  </si>
  <si>
    <t>Prova</t>
  </si>
  <si>
    <t>../../../asm_examples/examples/petriNets/forModelAdvisor/petriNet_forModelAdvisor_InconsUpdateViolation3.asm</t>
  </si>
  <si>
    <t>petriNet_forModelAdvisor_InconsUpdateViolation3</t>
  </si>
  <si>
    <t>../../../asm_examples/examples/railRoadGate/railroadGate.asm</t>
  </si>
  <si>
    <t>railroadGate</t>
  </si>
  <si>
    <t>66394.0</t>
  </si>
  <si>
    <t>../../../asm_examples/examples/simple_example/AdvancedClock.asm</t>
  </si>
  <si>
    <t>AdvancedClock</t>
  </si>
  <si>
    <t>65747.0</t>
  </si>
  <si>
    <t>../../../asm_examples/examples/fsmsemantics/FSM_map0.asm</t>
  </si>
  <si>
    <t>FSM_map0</t>
  </si>
  <si>
    <t>../../../asm_examples/examples/simple_example/population_raff1_twoPersons.asm</t>
  </si>
  <si>
    <t>population_raff1_twoPersons</t>
  </si>
  <si>
    <t>../../../asm_examples/examples/TrafficLightYakindu/TrafficLight2/TrafficLight_2.asm</t>
  </si>
  <si>
    <t>TrafficLight_2</t>
  </si>
  <si>
    <t>76</t>
  </si>
  <si>
    <t>68787.0</t>
  </si>
  <si>
    <t>0.95652175</t>
  </si>
  <si>
    <t>../../../asm_examples/PHD/phd_master_flat2_v6.asm</t>
  </si>
  <si>
    <t>phd_master_flat2_v6</t>
  </si>
  <si>
    <t>152</t>
  </si>
  <si>
    <t>253</t>
  </si>
  <si>
    <t>78974.0</t>
  </si>
  <si>
    <t>358</t>
  </si>
  <si>
    <t>0.6513158</t>
  </si>
  <si>
    <t>0.96428573</t>
  </si>
  <si>
    <t>0.8577075</t>
  </si>
  <si>
    <t>../../../asm_examples/examples/ermts_etcs/scenarios/ertms_hl3_scenario8.asm</t>
  </si>
  <si>
    <t>ertms_hl3_scenario8</t>
  </si>
  <si>
    <t>109</t>
  </si>
  <si>
    <t>322</t>
  </si>
  <si>
    <t>../../../asm_examples/examples/models/wiper_abs2.asm</t>
  </si>
  <si>
    <t>wiper_abs2</t>
  </si>
  <si>
    <t>165</t>
  </si>
  <si>
    <t>../../../asm_examples/examples/RushHour/emptyCellAs0/RushHourMonSimplForAsmetaSMV.asm</t>
  </si>
  <si>
    <t>../../../asm_examples/examples/petriNets/petriNetEdgeWeightNoPlaceCapacity_NoSeq_Matrix.asm</t>
  </si>
  <si>
    <t>petriNetEdgeWeightNoPlaceCapacity_NoSeq_Matrix</t>
  </si>
  <si>
    <t>../../../asm_examples/examples/models/SwapSortMon.asm</t>
  </si>
  <si>
    <t>SwapSortMon</t>
  </si>
  <si>
    <t>../../../asm_examples/PillBox/Level3/pillbox_FULL.asm</t>
  </si>
  <si>
    <t>pillbox_FULL</t>
  </si>
  <si>
    <t>../../../asm_examples/examples/production_cell/Production_Cell_with_agents.asm</t>
  </si>
  <si>
    <t>Production_Cell_with_agents</t>
  </si>
  <si>
    <t>130</t>
  </si>
  <si>
    <t>../../../asm_examples/unibgstudents/Rubrica.asm</t>
  </si>
  <si>
    <t>Rubrica</t>
  </si>
  <si>
    <t>66195.0</t>
  </si>
  <si>
    <t>../../../asm_examples/examples/Yahalom/Yahalom.asm</t>
  </si>
  <si>
    <t>Yahalom</t>
  </si>
  <si>
    <t>../../../asm_examples/examples/NeedhamSchroeder/NeedhamSchroederWithSpy.asm</t>
  </si>
  <si>
    <t>NeedhamSchroederWithSpy</t>
  </si>
  <si>
    <t>../../../asm_examples/examples/filosofiEciliegie/filosofiEciliegie.asm</t>
  </si>
  <si>
    <t>filosofiEciliegie</t>
  </si>
  <si>
    <t>../../../asm_examples/examples/simple_example/MorraCinese/withActors/MorraCinese_withActors_raff3.asm</t>
  </si>
  <si>
    <t>MorraCinese_withActors_raff3</t>
  </si>
  <si>
    <t>../../../asm_examples/examples/sensorVotingSimpleVersion.asm</t>
  </si>
  <si>
    <t>sensorVotingSimpleVersion</t>
  </si>
  <si>
    <t>65996.0</t>
  </si>
  <si>
    <t>../../../asm_examples/DAS/TrafficMonitoringSystem/validation/mainForModelCheckingTwoCameras.asm</t>
  </si>
  <si>
    <t>mainForModelCheckingTwoCameras</t>
  </si>
  <si>
    <t>../../../asm_examples/examples/simple_example/fibonacci.asm</t>
  </si>
  <si>
    <t>fibonacci</t>
  </si>
  <si>
    <t>../../../asm_examples/examples/simple_example/swapSortOnSeq.asm</t>
  </si>
  <si>
    <t>swapSortOnSeq</t>
  </si>
  <si>
    <t>../../../asm_examples/examples/giocoDelleTreScatole.asm</t>
  </si>
  <si>
    <t>giocoDelleTreScatole</t>
  </si>
  <si>
    <t>../../../asm_examples/examples/sluicegate/sluiceGate_with_agents.asm</t>
  </si>
  <si>
    <t>sluiceGate_with_agents</t>
  </si>
  <si>
    <t>../../../asm_examples/examples/darts.asm</t>
  </si>
  <si>
    <t>darts</t>
  </si>
  <si>
    <t>../../../asm_examples/stereoacuity/certifierRaff5ForSMTproof.asm</t>
  </si>
  <si>
    <t>certifierRaff5ForSMTproof</t>
  </si>
  <si>
    <t>68914.0</t>
  </si>
  <si>
    <t>279</t>
  </si>
  <si>
    <t>0.7916667</t>
  </si>
  <si>
    <t>../../../asm_examples/examples/fsmsemantics/FSM_hooking3.asm</t>
  </si>
  <si>
    <t>FSM_hooking3</t>
  </si>
  <si>
    <t>../../../asm_examples/examples/traffic_light/oneWayTrafficLightOnlyPassed.asm</t>
  </si>
  <si>
    <t>oneWayTrafficLightOnlyPassed</t>
  </si>
  <si>
    <t>66406.0</t>
  </si>
  <si>
    <t>../../../asm_examples/examples/authenticationProtocols/groundModel_v2.asm</t>
  </si>
  <si>
    <t>groundModel_v2</t>
  </si>
  <si>
    <t>../../../asm_examples/examples/sultanSuccessors/sultanGreedy.asm</t>
  </si>
  <si>
    <t>sultanGreedy</t>
  </si>
  <si>
    <t>../../../asm_examples/examples/diceKnuthYao.asm</t>
  </si>
  <si>
    <t>diceKnuthYao</t>
  </si>
  <si>
    <t>../../../asm_examples/examples/production_cell/crane.asm</t>
  </si>
  <si>
    <t>crane</t>
  </si>
  <si>
    <t>../../../asm_examples/PillBox/Level2/pillbox_2_for_RefProv.asm</t>
  </si>
  <si>
    <t>pillbox_2_for_RefProv</t>
  </si>
  <si>
    <t>atgt</t>
  </si>
  <si>
    <t>148.0</t>
  </si>
  <si>
    <t>0.9444444</t>
  </si>
  <si>
    <t>0.95</t>
  </si>
  <si>
    <t>0.98</t>
  </si>
  <si>
    <t>14.0</t>
  </si>
  <si>
    <t>234.0</t>
  </si>
  <si>
    <t>2487.0</t>
  </si>
  <si>
    <t>0.8947368</t>
  </si>
  <si>
    <t>0.9130435</t>
  </si>
  <si>
    <t>182.0</t>
  </si>
  <si>
    <t>0.95454544</t>
  </si>
  <si>
    <t>0.9811321</t>
  </si>
  <si>
    <t>4775.0</t>
  </si>
  <si>
    <t>308</t>
  </si>
  <si>
    <t>689</t>
  </si>
  <si>
    <t>0.7905405</t>
  </si>
  <si>
    <t>0.98550725</t>
  </si>
  <si>
    <t>205.0</t>
  </si>
  <si>
    <t>7555.0</t>
  </si>
  <si>
    <t>138</t>
  </si>
  <si>
    <t>523</t>
  </si>
  <si>
    <t>562</t>
  </si>
  <si>
    <t>789</t>
  </si>
  <si>
    <t>0.79347825</t>
  </si>
  <si>
    <t>0.990228</t>
  </si>
  <si>
    <t>450.0</t>
  </si>
  <si>
    <t>0.85714287</t>
  </si>
  <si>
    <t>1652.0</t>
  </si>
  <si>
    <t>40.0</t>
  </si>
  <si>
    <t>65.0</t>
  </si>
  <si>
    <t>60.0</t>
  </si>
  <si>
    <t>189.0</t>
  </si>
  <si>
    <t>102.0</t>
  </si>
  <si>
    <t>332.0</t>
  </si>
  <si>
    <t>77</t>
  </si>
  <si>
    <t>31.0</t>
  </si>
  <si>
    <t>923.0</t>
  </si>
  <si>
    <t>156</t>
  </si>
  <si>
    <t>75867.0</t>
  </si>
  <si>
    <t>273</t>
  </si>
  <si>
    <t>378.0</t>
  </si>
  <si>
    <t>388596.0</t>
  </si>
  <si>
    <t>36003</t>
  </si>
  <si>
    <t>39670</t>
  </si>
  <si>
    <t>425.0</t>
  </si>
  <si>
    <t>75</t>
  </si>
  <si>
    <t>284</t>
  </si>
  <si>
    <t>766.0</t>
  </si>
  <si>
    <t>119</t>
  </si>
  <si>
    <t>166</t>
  </si>
  <si>
    <t>426</t>
  </si>
  <si>
    <t>1790.0</t>
  </si>
  <si>
    <t>220</t>
  </si>
  <si>
    <t>0.94736844</t>
  </si>
  <si>
    <t>4598.0</t>
  </si>
  <si>
    <t>302</t>
  </si>
  <si>
    <t>677</t>
  </si>
  <si>
    <t>0.7986111</t>
  </si>
  <si>
    <t>0.98507464</t>
  </si>
  <si>
    <t>19.0</t>
  </si>
  <si>
    <t>57</t>
  </si>
  <si>
    <t>0.9767442</t>
  </si>
  <si>
    <t>92.0</t>
  </si>
  <si>
    <t>428.0</t>
  </si>
  <si>
    <t>221</t>
  </si>
  <si>
    <t>229.0</t>
  </si>
  <si>
    <t>0.92</t>
  </si>
  <si>
    <t>0.8055556</t>
  </si>
  <si>
    <t>0.975</t>
  </si>
  <si>
    <t>181.0</t>
  </si>
  <si>
    <t>2091.0</t>
  </si>
  <si>
    <t>270</t>
  </si>
  <si>
    <t>517</t>
  </si>
  <si>
    <t>316.0</t>
  </si>
  <si>
    <t>707.0</t>
  </si>
  <si>
    <t>747.0</t>
  </si>
  <si>
    <t>328.0</t>
  </si>
  <si>
    <t>964.0</t>
  </si>
  <si>
    <t>862.0</t>
  </si>
  <si>
    <t>189</t>
  </si>
  <si>
    <t>67.0</t>
  </si>
  <si>
    <t>237.0</t>
  </si>
  <si>
    <t>150</t>
  </si>
  <si>
    <t>200.0</t>
  </si>
  <si>
    <t>0.85</t>
  </si>
  <si>
    <t>33.0</t>
  </si>
  <si>
    <t>18.0</t>
  </si>
  <si>
    <t>35.0</t>
  </si>
  <si>
    <t>15902.0</t>
  </si>
  <si>
    <t>3603</t>
  </si>
  <si>
    <t>3668</t>
  </si>
  <si>
    <t>359.0</t>
  </si>
  <si>
    <t>141</t>
  </si>
  <si>
    <t>4968.0</t>
  </si>
  <si>
    <t>104</t>
  </si>
  <si>
    <t>316</t>
  </si>
  <si>
    <t>334</t>
  </si>
  <si>
    <t>522</t>
  </si>
  <si>
    <t>0.78289473</t>
  </si>
  <si>
    <t>0.9881423</t>
  </si>
  <si>
    <t>80.0</t>
  </si>
  <si>
    <t>575.0</t>
  </si>
  <si>
    <t>181</t>
  </si>
  <si>
    <t>0.9836066</t>
  </si>
  <si>
    <t>184.0</t>
  </si>
  <si>
    <t>126.0</t>
  </si>
  <si>
    <t>Valid atgt:</t>
  </si>
  <si>
    <t>Total atgt:</t>
  </si>
  <si>
    <t>Total evoavalla:</t>
  </si>
  <si>
    <t>Valid evoavalla:</t>
  </si>
  <si>
    <t>Valid for both evoavalla and atgt:</t>
  </si>
  <si>
    <t>path_ok_status_evoavalla</t>
  </si>
  <si>
    <t>path_ok_status_atgt</t>
  </si>
  <si>
    <t>ok_evoavalla_and_atgt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</si>
</sst>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/>
    <xf numFmtId="0" fontId="0" fillId="0" borderId="0" xfId="0" applyNumberFormat="1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24"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EC72D287-6B24-4616-922B-4AEBCAD308DA}" autoFormatId="16" applyNumberFormats="0" applyBorderFormats="0" applyFontFormats="0" applyPatternFormats="0" applyAlignmentFormats="0" applyWidthHeightFormats="0">
  <queryTableRefresh nextId="28" unboundColumnsRight="3">
    <queryTableFields count="24">
      <queryTableField id="1" name="asm_path" tableColumnId="1"/>
      <queryTableField id="2" name="asm_name" tableColumnId="2"/>
      <queryTableField id="3" name="n_macro" tableColumnId="3"/>
      <queryTableField id="4" name="n_update" tableColumnId="4"/>
      <queryTableField id="5" name="n_forall" tableColumnId="5"/>
      <queryTableField id="6" name="n_branch" tableColumnId="6"/>
      <queryTableField id="7" name="n_rule" tableColumnId="7"/>
      <queryTableField id="8" name="approach" tableColumnId="8"/>
      <queryTableField id="9" name="status" tableColumnId="9"/>
      <queryTableField id="10" name="exec_time_ms" tableColumnId="10"/>
      <queryTableField id="11" name="n_scenarios" tableColumnId="11"/>
      <queryTableField id="12" name="n_step" tableColumnId="12"/>
      <queryTableField id="13" name="n_set" tableColumnId="13"/>
      <queryTableField id="14" name="n_check" tableColumnId="14"/>
      <queryTableField id="15" name="macro_coverage" tableColumnId="15"/>
      <queryTableField id="16" name="update_rule_coverage" tableColumnId="16"/>
      <queryTableField id="17" name="forall_rule_coverage" tableColumnId="17"/>
      <queryTableField id="18" name="branch_coverage" tableColumnId="18"/>
      <queryTableField id="19" name="rule_coverage" tableColumnId="19"/>
      <queryTableField id="20" name="n_failing_scenarios" tableColumnId="20"/>
      <queryTableField id="21" name="n_val_error_scenarios" tableColumnId="21"/>
      <queryTableField id="25" dataBound="0" tableColumnId="25"/>
      <queryTableField id="26" dataBound="0" tableColumnId="26"/>
      <queryTableField id="27" dataBound="0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E2109C-6199-4DEB-BC26-72AF0499EA40}" name="data" displayName="data" ref="A1:X595" tableType="queryTable" totalsRowShown="0">
  <autoFilter ref="A1:X595" xr:uid="{92E2109C-6199-4DEB-BC26-72AF0499EA40}"/>
  <tableColumns count="24">
    <tableColumn id="1" xr3:uid="{EEBF8D99-AF0D-4032-AA4C-8843BD54DD1A}" uniqueName="1" name="asm_path" queryTableFieldId="1" dataDxfId="23"/>
    <tableColumn id="2" xr3:uid="{F9EE0ADA-9290-4D7E-AF15-16594F53F97E}" uniqueName="2" name="asm_name" queryTableFieldId="2" dataDxfId="22"/>
    <tableColumn id="3" xr3:uid="{8F43E598-1288-422B-9D8B-245336949CE9}" uniqueName="3" name="n_macro" queryTableFieldId="3" dataDxfId="21"/>
    <tableColumn id="4" xr3:uid="{A22119CA-0D2B-4A09-AD09-494568640562}" uniqueName="4" name="n_update" queryTableFieldId="4" dataDxfId="20"/>
    <tableColumn id="5" xr3:uid="{D6199791-23E9-431F-BA44-5DA13B20A37C}" uniqueName="5" name="n_forall" queryTableFieldId="5" dataDxfId="19"/>
    <tableColumn id="6" xr3:uid="{22BCF44B-1EB9-42B2-B54B-3A9D9A6143FF}" uniqueName="6" name="n_branch" queryTableFieldId="6" dataDxfId="18"/>
    <tableColumn id="7" xr3:uid="{C274E1FF-34DD-4715-81D9-89E048575748}" uniqueName="7" name="n_rule" queryTableFieldId="7" dataDxfId="17"/>
    <tableColumn id="8" xr3:uid="{30DDA424-DFBD-4BFF-BA0D-DF96E1CCC043}" uniqueName="8" name="approach" queryTableFieldId="8" dataDxfId="16"/>
    <tableColumn id="9" xr3:uid="{0CB1391B-2E72-4581-AEFF-97540AF54F20}" uniqueName="9" name="status" queryTableFieldId="9" dataDxfId="15"/>
    <tableColumn id="10" xr3:uid="{60F5F9D9-1680-4EF4-825B-AFB13C92251B}" uniqueName="10" name="exec_time_ms" queryTableFieldId="10" dataDxfId="8"/>
    <tableColumn id="11" xr3:uid="{70ED4CD2-C664-4D13-BD19-01431CD97B5C}" uniqueName="11" name="n_scenarios" queryTableFieldId="11" dataDxfId="7"/>
    <tableColumn id="12" xr3:uid="{33E27AE3-261E-4A22-95E4-52A8ACB13656}" uniqueName="12" name="n_step" queryTableFieldId="12" dataDxfId="6"/>
    <tableColumn id="13" xr3:uid="{D28FF837-3EFE-495E-A81A-2AE75CEE3A50}" uniqueName="13" name="n_set" queryTableFieldId="13" dataDxfId="5"/>
    <tableColumn id="14" xr3:uid="{A3A69EAD-D3E4-4CBE-B6BA-1B89EE13B23C}" uniqueName="14" name="n_check" queryTableFieldId="14" dataDxfId="3"/>
    <tableColumn id="15" xr3:uid="{6C3998D4-36CA-4AD9-8E66-9A70E07D6EB2}" uniqueName="15" name="macro_coverage" queryTableFieldId="15" dataDxfId="4"/>
    <tableColumn id="16" xr3:uid="{8EAEC204-882C-4AC1-B826-5D342E927BB7}" uniqueName="16" name="update_rule_coverage" queryTableFieldId="16" dataDxfId="14"/>
    <tableColumn id="17" xr3:uid="{D1B5A62A-0EB0-426E-B478-A1CA57D52421}" uniqueName="17" name="forall_rule_coverage" queryTableFieldId="17" dataDxfId="13"/>
    <tableColumn id="18" xr3:uid="{D3B124A5-D503-48CC-A576-05B24240902A}" uniqueName="18" name="branch_coverage" queryTableFieldId="18" dataDxfId="12"/>
    <tableColumn id="19" xr3:uid="{55534D92-ACB3-4344-8438-E6B4881208F6}" uniqueName="19" name="rule_coverage" queryTableFieldId="19" dataDxfId="11"/>
    <tableColumn id="20" xr3:uid="{F1250794-DCC6-42DD-B5B8-67F83E5405BC}" uniqueName="20" name="n_failing_scenarios" queryTableFieldId="20" dataDxfId="10"/>
    <tableColumn id="21" xr3:uid="{4D53EABE-813D-4DDA-85C0-78F4BA16C7A2}" uniqueName="21" name="n_val_error_scenarios" queryTableFieldId="21" dataDxfId="9"/>
    <tableColumn id="25" xr3:uid="{52E582CA-0D7F-4172-9761-A9F2DE5B36FE}" uniqueName="25" name="path_ok_status_evoavalla" queryTableFieldId="25" dataDxfId="2">
      <calculatedColumnFormula>IF(AND(data[[#This Row],[status]]="OK",data[[#This Row],[approach]]="evoavalla"),data[[#This Row],[asm_path]],"")</calculatedColumnFormula>
    </tableColumn>
    <tableColumn id="26" xr3:uid="{17888E7E-805B-45F8-9CFB-26193ACF4FF9}" uniqueName="26" name="path_ok_status_atgt" queryTableFieldId="26" dataDxfId="1">
      <calculatedColumnFormula>IF(AND(data[[#This Row],[status]]="OK",data[[#This Row],[approach]]="atgt"),data[[#This Row],[asm_path]],"")</calculatedColumnFormula>
    </tableColumn>
    <tableColumn id="27" xr3:uid="{D58E4623-37C4-4748-B0E8-78240B26B9B8}" uniqueName="27" name="ok_evoavalla_and_atgt" queryTableFieldId="27" dataDxfId="0">
      <calculatedColumnFormula>COUNTIF(W:W,data[[#This Row],[path_ok_status_evoavalla]]) = 1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A90FE-86E6-451A-A579-F5BDC19494C7}">
  <dimension ref="A1:X604"/>
  <sheetViews>
    <sheetView tabSelected="1" topLeftCell="A571" workbookViewId="0">
      <selection activeCell="Z6" sqref="Z6"/>
    </sheetView>
  </sheetViews>
  <sheetFormatPr defaultRowHeight="15" x14ac:dyDescent="0.25"/>
  <cols>
    <col min="1" max="1" width="81.140625" bestFit="1" customWidth="1"/>
    <col min="2" max="2" width="60.7109375" bestFit="1" customWidth="1"/>
    <col min="3" max="3" width="10.85546875" bestFit="1" customWidth="1"/>
    <col min="4" max="4" width="11.5703125" bestFit="1" customWidth="1"/>
    <col min="5" max="5" width="10" bestFit="1" customWidth="1"/>
    <col min="6" max="6" width="11.42578125" bestFit="1" customWidth="1"/>
    <col min="7" max="7" width="8.85546875" bestFit="1" customWidth="1"/>
    <col min="8" max="8" width="11.5703125" bestFit="1" customWidth="1"/>
    <col min="9" max="9" width="20.7109375" bestFit="1" customWidth="1"/>
    <col min="10" max="10" width="16.28515625" bestFit="1" customWidth="1"/>
    <col min="11" max="11" width="14" style="2" bestFit="1" customWidth="1"/>
    <col min="12" max="12" width="9.28515625" style="2" bestFit="1" customWidth="1"/>
    <col min="13" max="13" width="8.140625" style="2" bestFit="1" customWidth="1"/>
    <col min="14" max="14" width="10.5703125" style="2" bestFit="1" customWidth="1"/>
    <col min="15" max="15" width="18" bestFit="1" customWidth="1"/>
    <col min="16" max="16" width="23.28515625" bestFit="1" customWidth="1"/>
    <col min="17" max="17" width="21.7109375" bestFit="1" customWidth="1"/>
    <col min="18" max="18" width="18.5703125" bestFit="1" customWidth="1"/>
    <col min="19" max="19" width="16" bestFit="1" customWidth="1"/>
    <col min="20" max="20" width="20.7109375" bestFit="1" customWidth="1"/>
    <col min="21" max="21" width="23" bestFit="1" customWidth="1"/>
    <col min="24" max="24" width="14" bestFit="1" customWidth="1"/>
  </cols>
  <sheetData>
    <row r="1" spans="1:24" x14ac:dyDescent="0.25">
      <c r="A1" t="s">
        <v>595</v>
      </c>
      <c r="B1" t="s">
        <v>596</v>
      </c>
      <c r="C1" t="s">
        <v>597</v>
      </c>
      <c r="D1" t="s">
        <v>598</v>
      </c>
      <c r="E1" t="s">
        <v>599</v>
      </c>
      <c r="F1" t="s">
        <v>600</v>
      </c>
      <c r="G1" t="s">
        <v>601</v>
      </c>
      <c r="H1" t="s">
        <v>602</v>
      </c>
      <c r="I1" t="s">
        <v>603</v>
      </c>
      <c r="J1" t="s">
        <v>604</v>
      </c>
      <c r="K1" s="2" t="s">
        <v>605</v>
      </c>
      <c r="L1" s="2" t="s">
        <v>606</v>
      </c>
      <c r="M1" s="2" t="s">
        <v>607</v>
      </c>
      <c r="N1" s="2" t="s">
        <v>608</v>
      </c>
      <c r="O1" t="s">
        <v>609</v>
      </c>
      <c r="P1" t="s">
        <v>610</v>
      </c>
      <c r="Q1" t="s">
        <v>611</v>
      </c>
      <c r="R1" t="s">
        <v>612</v>
      </c>
      <c r="S1" t="s">
        <v>613</v>
      </c>
      <c r="T1" t="s">
        <v>614</v>
      </c>
      <c r="U1" t="s">
        <v>615</v>
      </c>
      <c r="V1" t="s">
        <v>1657</v>
      </c>
      <c r="W1" t="s">
        <v>1658</v>
      </c>
      <c r="X1" t="s">
        <v>1659</v>
      </c>
    </row>
    <row r="2" spans="1:24" x14ac:dyDescent="0.25">
      <c r="A2" t="s">
        <v>616</v>
      </c>
      <c r="B2" t="s">
        <v>617</v>
      </c>
      <c r="C2" t="s">
        <v>618</v>
      </c>
      <c r="D2" t="s">
        <v>619</v>
      </c>
      <c r="E2" t="s">
        <v>620</v>
      </c>
      <c r="F2" t="s">
        <v>621</v>
      </c>
      <c r="G2" t="s">
        <v>622</v>
      </c>
      <c r="H2" t="s">
        <v>623</v>
      </c>
      <c r="I2" t="s">
        <v>624</v>
      </c>
      <c r="J2" t="s">
        <v>625</v>
      </c>
      <c r="K2" s="2" t="s">
        <v>626</v>
      </c>
      <c r="L2" s="2" t="s">
        <v>627</v>
      </c>
      <c r="M2" s="2" t="s">
        <v>628</v>
      </c>
      <c r="N2" s="2" t="s">
        <v>629</v>
      </c>
      <c r="O2" t="s">
        <v>630</v>
      </c>
      <c r="P2" t="s">
        <v>631</v>
      </c>
      <c r="Q2" t="s">
        <v>632</v>
      </c>
      <c r="R2" t="s">
        <v>630</v>
      </c>
      <c r="S2" t="s">
        <v>630</v>
      </c>
      <c r="T2" t="s">
        <v>620</v>
      </c>
      <c r="U2" t="s">
        <v>620</v>
      </c>
      <c r="V2" s="3" t="str">
        <f>IF(AND(data[[#This Row],[status]]="OK",data[[#This Row],[approach]]="evoavalla"),data[[#This Row],[asm_path]],"")</f>
        <v>../../../asm_examples/stereoacuity/certifierRaff2.asm</v>
      </c>
      <c r="W2" s="3" t="str">
        <f>IF(AND(data[[#This Row],[status]]="OK",data[[#This Row],[approach]]="atgt"),data[[#This Row],[asm_path]],"")</f>
        <v/>
      </c>
      <c r="X2" s="3" t="b">
        <f>COUNTIF(W:W,data[[#This Row],[path_ok_status_evoavalla]]) = 1</f>
        <v>1</v>
      </c>
    </row>
    <row r="3" spans="1:24" x14ac:dyDescent="0.25">
      <c r="A3" t="s">
        <v>633</v>
      </c>
      <c r="B3" t="s">
        <v>634</v>
      </c>
      <c r="C3" t="s">
        <v>635</v>
      </c>
      <c r="D3" t="s">
        <v>635</v>
      </c>
      <c r="E3" t="s">
        <v>636</v>
      </c>
      <c r="F3" t="s">
        <v>626</v>
      </c>
      <c r="G3" t="s">
        <v>637</v>
      </c>
      <c r="H3" t="s">
        <v>623</v>
      </c>
      <c r="I3" t="s">
        <v>638</v>
      </c>
      <c r="J3" t="s">
        <v>632</v>
      </c>
      <c r="K3" s="2" t="s">
        <v>620</v>
      </c>
      <c r="L3" s="2" t="s">
        <v>620</v>
      </c>
      <c r="M3" s="2" t="s">
        <v>620</v>
      </c>
      <c r="N3" s="2" t="s">
        <v>620</v>
      </c>
      <c r="O3" t="s">
        <v>639</v>
      </c>
      <c r="P3" t="s">
        <v>639</v>
      </c>
      <c r="Q3" t="s">
        <v>639</v>
      </c>
      <c r="R3" t="s">
        <v>639</v>
      </c>
      <c r="S3" t="s">
        <v>639</v>
      </c>
      <c r="T3" t="s">
        <v>620</v>
      </c>
      <c r="U3" t="s">
        <v>620</v>
      </c>
      <c r="V3" s="3" t="str">
        <f>IF(AND(data[[#This Row],[status]]="OK",data[[#This Row],[approach]]="evoavalla"),data[[#This Row],[asm_path]],"")</f>
        <v/>
      </c>
      <c r="W3" s="3" t="str">
        <f>IF(AND(data[[#This Row],[status]]="OK",data[[#This Row],[approach]]="atgt"),data[[#This Row],[asm_path]],"")</f>
        <v/>
      </c>
      <c r="X3" s="3" t="b">
        <f>COUNTIF(W:W,data[[#This Row],[path_ok_status_evoavalla]]) = 1</f>
        <v>0</v>
      </c>
    </row>
    <row r="4" spans="1:24" x14ac:dyDescent="0.25">
      <c r="A4" t="s">
        <v>640</v>
      </c>
      <c r="B4" t="s">
        <v>641</v>
      </c>
      <c r="C4" t="s">
        <v>626</v>
      </c>
      <c r="D4" t="s">
        <v>642</v>
      </c>
      <c r="E4" t="s">
        <v>635</v>
      </c>
      <c r="F4" t="s">
        <v>643</v>
      </c>
      <c r="G4" t="s">
        <v>644</v>
      </c>
      <c r="H4" t="s">
        <v>623</v>
      </c>
      <c r="I4" t="s">
        <v>638</v>
      </c>
      <c r="J4" t="s">
        <v>632</v>
      </c>
      <c r="K4" s="2" t="s">
        <v>620</v>
      </c>
      <c r="L4" s="2" t="s">
        <v>620</v>
      </c>
      <c r="M4" s="2" t="s">
        <v>620</v>
      </c>
      <c r="N4" s="2" t="s">
        <v>620</v>
      </c>
      <c r="O4" t="s">
        <v>639</v>
      </c>
      <c r="P4" t="s">
        <v>639</v>
      </c>
      <c r="Q4" t="s">
        <v>639</v>
      </c>
      <c r="R4" t="s">
        <v>639</v>
      </c>
      <c r="S4" t="s">
        <v>639</v>
      </c>
      <c r="T4" t="s">
        <v>620</v>
      </c>
      <c r="U4" t="s">
        <v>620</v>
      </c>
      <c r="V4" s="3" t="str">
        <f>IF(AND(data[[#This Row],[status]]="OK",data[[#This Row],[approach]]="evoavalla"),data[[#This Row],[asm_path]],"")</f>
        <v/>
      </c>
      <c r="W4" s="3" t="str">
        <f>IF(AND(data[[#This Row],[status]]="OK",data[[#This Row],[approach]]="atgt"),data[[#This Row],[asm_path]],"")</f>
        <v/>
      </c>
      <c r="X4" s="3" t="b">
        <f>COUNTIF(W:W,data[[#This Row],[path_ok_status_evoavalla]]) = 1</f>
        <v>0</v>
      </c>
    </row>
    <row r="5" spans="1:24" x14ac:dyDescent="0.25">
      <c r="A5" t="s">
        <v>645</v>
      </c>
      <c r="B5" t="s">
        <v>646</v>
      </c>
      <c r="C5" t="s">
        <v>647</v>
      </c>
      <c r="D5" t="s">
        <v>648</v>
      </c>
      <c r="E5" t="s">
        <v>620</v>
      </c>
      <c r="F5" t="s">
        <v>649</v>
      </c>
      <c r="G5" t="s">
        <v>650</v>
      </c>
      <c r="H5" t="s">
        <v>623</v>
      </c>
      <c r="I5" t="s">
        <v>624</v>
      </c>
      <c r="J5" t="s">
        <v>651</v>
      </c>
      <c r="K5" s="2" t="s">
        <v>635</v>
      </c>
      <c r="L5" s="2" t="s">
        <v>635</v>
      </c>
      <c r="M5" s="2" t="s">
        <v>635</v>
      </c>
      <c r="N5" s="2" t="s">
        <v>652</v>
      </c>
      <c r="O5" t="s">
        <v>653</v>
      </c>
      <c r="P5" t="s">
        <v>654</v>
      </c>
      <c r="Q5" t="s">
        <v>632</v>
      </c>
      <c r="R5" t="s">
        <v>655</v>
      </c>
      <c r="S5" t="s">
        <v>656</v>
      </c>
      <c r="T5" t="s">
        <v>620</v>
      </c>
      <c r="U5" t="s">
        <v>620</v>
      </c>
      <c r="V5" s="3" t="str">
        <f>IF(AND(data[[#This Row],[status]]="OK",data[[#This Row],[approach]]="evoavalla"),data[[#This Row],[asm_path]],"")</f>
        <v>../../../asm_examples/examples/hemodialysisDevice/ABZ2016/Hemodialysis_ref3_par.asm</v>
      </c>
      <c r="W5" s="3" t="str">
        <f>IF(AND(data[[#This Row],[status]]="OK",data[[#This Row],[approach]]="atgt"),data[[#This Row],[asm_path]],"")</f>
        <v/>
      </c>
      <c r="X5" s="3" t="b">
        <f>COUNTIF(W:W,data[[#This Row],[path_ok_status_evoavalla]]) = 1</f>
        <v>0</v>
      </c>
    </row>
    <row r="6" spans="1:24" x14ac:dyDescent="0.25">
      <c r="A6" t="s">
        <v>657</v>
      </c>
      <c r="B6" t="s">
        <v>658</v>
      </c>
      <c r="C6" t="s">
        <v>635</v>
      </c>
      <c r="D6" t="s">
        <v>635</v>
      </c>
      <c r="E6" t="s">
        <v>620</v>
      </c>
      <c r="F6" t="s">
        <v>636</v>
      </c>
      <c r="G6" t="s">
        <v>628</v>
      </c>
      <c r="H6" t="s">
        <v>623</v>
      </c>
      <c r="I6" t="s">
        <v>624</v>
      </c>
      <c r="J6" t="s">
        <v>659</v>
      </c>
      <c r="K6" s="2" t="s">
        <v>636</v>
      </c>
      <c r="L6" s="2" t="s">
        <v>636</v>
      </c>
      <c r="M6" s="2" t="s">
        <v>620</v>
      </c>
      <c r="N6" s="2" t="s">
        <v>620</v>
      </c>
      <c r="O6" t="s">
        <v>630</v>
      </c>
      <c r="P6" t="s">
        <v>630</v>
      </c>
      <c r="Q6" t="s">
        <v>632</v>
      </c>
      <c r="R6" t="s">
        <v>630</v>
      </c>
      <c r="S6" t="s">
        <v>630</v>
      </c>
      <c r="T6" t="s">
        <v>620</v>
      </c>
      <c r="U6" t="s">
        <v>620</v>
      </c>
      <c r="V6" s="3" t="str">
        <f>IF(AND(data[[#This Row],[status]]="OK",data[[#This Row],[approach]]="evoavalla"),data[[#This Row],[asm_path]],"")</f>
        <v>../../../asm_examples/examples/simple_example/FLIP_FLOP_0.asm</v>
      </c>
      <c r="W6" s="3" t="str">
        <f>IF(AND(data[[#This Row],[status]]="OK",data[[#This Row],[approach]]="atgt"),data[[#This Row],[asm_path]],"")</f>
        <v/>
      </c>
      <c r="X6" s="3" t="b">
        <f>COUNTIF(W:W,data[[#This Row],[path_ok_status_evoavalla]]) = 1</f>
        <v>0</v>
      </c>
    </row>
    <row r="7" spans="1:24" x14ac:dyDescent="0.25">
      <c r="A7" t="s">
        <v>660</v>
      </c>
      <c r="B7" t="s">
        <v>661</v>
      </c>
      <c r="C7" t="s">
        <v>635</v>
      </c>
      <c r="D7" t="s">
        <v>635</v>
      </c>
      <c r="E7" t="s">
        <v>636</v>
      </c>
      <c r="F7" t="s">
        <v>626</v>
      </c>
      <c r="G7" t="s">
        <v>621</v>
      </c>
      <c r="H7" t="s">
        <v>623</v>
      </c>
      <c r="I7" t="s">
        <v>638</v>
      </c>
      <c r="J7" t="s">
        <v>632</v>
      </c>
      <c r="K7" s="2" t="s">
        <v>620</v>
      </c>
      <c r="L7" s="2" t="s">
        <v>620</v>
      </c>
      <c r="M7" s="2" t="s">
        <v>620</v>
      </c>
      <c r="N7" s="2" t="s">
        <v>620</v>
      </c>
      <c r="O7" t="s">
        <v>639</v>
      </c>
      <c r="P7" t="s">
        <v>639</v>
      </c>
      <c r="Q7" t="s">
        <v>639</v>
      </c>
      <c r="R7" t="s">
        <v>639</v>
      </c>
      <c r="S7" t="s">
        <v>639</v>
      </c>
      <c r="T7" t="s">
        <v>620</v>
      </c>
      <c r="U7" t="s">
        <v>620</v>
      </c>
      <c r="V7" s="3" t="str">
        <f>IF(AND(data[[#This Row],[status]]="OK",data[[#This Row],[approach]]="evoavalla"),data[[#This Row],[asm_path]],"")</f>
        <v/>
      </c>
      <c r="W7" s="3" t="str">
        <f>IF(AND(data[[#This Row],[status]]="OK",data[[#This Row],[approach]]="atgt"),data[[#This Row],[asm_path]],"")</f>
        <v/>
      </c>
      <c r="X7" s="3" t="b">
        <f>COUNTIF(W:W,data[[#This Row],[path_ok_status_evoavalla]]) = 1</f>
        <v>0</v>
      </c>
    </row>
    <row r="8" spans="1:24" x14ac:dyDescent="0.25">
      <c r="A8" t="s">
        <v>662</v>
      </c>
      <c r="B8" t="s">
        <v>663</v>
      </c>
      <c r="C8" t="s">
        <v>636</v>
      </c>
      <c r="D8" t="s">
        <v>664</v>
      </c>
      <c r="E8" t="s">
        <v>620</v>
      </c>
      <c r="F8" t="s">
        <v>664</v>
      </c>
      <c r="G8" t="s">
        <v>621</v>
      </c>
      <c r="H8" t="s">
        <v>623</v>
      </c>
      <c r="I8" t="s">
        <v>638</v>
      </c>
      <c r="J8" t="s">
        <v>632</v>
      </c>
      <c r="K8" s="2" t="s">
        <v>620</v>
      </c>
      <c r="L8" s="2" t="s">
        <v>620</v>
      </c>
      <c r="M8" s="2" t="s">
        <v>620</v>
      </c>
      <c r="N8" s="2" t="s">
        <v>620</v>
      </c>
      <c r="O8" t="s">
        <v>639</v>
      </c>
      <c r="P8" t="s">
        <v>639</v>
      </c>
      <c r="Q8" t="s">
        <v>639</v>
      </c>
      <c r="R8" t="s">
        <v>639</v>
      </c>
      <c r="S8" t="s">
        <v>639</v>
      </c>
      <c r="T8" t="s">
        <v>620</v>
      </c>
      <c r="U8" t="s">
        <v>620</v>
      </c>
      <c r="V8" s="3" t="str">
        <f>IF(AND(data[[#This Row],[status]]="OK",data[[#This Row],[approach]]="evoavalla"),data[[#This Row],[asm_path]],"")</f>
        <v/>
      </c>
      <c r="W8" s="3" t="str">
        <f>IF(AND(data[[#This Row],[status]]="OK",data[[#This Row],[approach]]="atgt"),data[[#This Row],[asm_path]],"")</f>
        <v/>
      </c>
      <c r="X8" s="3" t="b">
        <f>COUNTIF(W:W,data[[#This Row],[path_ok_status_evoavalla]]) = 1</f>
        <v>0</v>
      </c>
    </row>
    <row r="9" spans="1:24" x14ac:dyDescent="0.25">
      <c r="A9" t="s">
        <v>665</v>
      </c>
      <c r="B9" t="s">
        <v>666</v>
      </c>
      <c r="C9" t="s">
        <v>667</v>
      </c>
      <c r="D9" t="s">
        <v>668</v>
      </c>
      <c r="E9" t="s">
        <v>669</v>
      </c>
      <c r="F9" t="s">
        <v>668</v>
      </c>
      <c r="G9" t="s">
        <v>670</v>
      </c>
      <c r="H9" t="s">
        <v>623</v>
      </c>
      <c r="I9" t="s">
        <v>638</v>
      </c>
      <c r="J9" t="s">
        <v>632</v>
      </c>
      <c r="K9" s="2" t="s">
        <v>620</v>
      </c>
      <c r="L9" s="2" t="s">
        <v>620</v>
      </c>
      <c r="M9" s="2" t="s">
        <v>620</v>
      </c>
      <c r="N9" s="2" t="s">
        <v>620</v>
      </c>
      <c r="O9" t="s">
        <v>639</v>
      </c>
      <c r="P9" t="s">
        <v>639</v>
      </c>
      <c r="Q9" t="s">
        <v>639</v>
      </c>
      <c r="R9" t="s">
        <v>639</v>
      </c>
      <c r="S9" t="s">
        <v>639</v>
      </c>
      <c r="T9" t="s">
        <v>620</v>
      </c>
      <c r="U9" t="s">
        <v>620</v>
      </c>
      <c r="V9" s="3" t="str">
        <f>IF(AND(data[[#This Row],[status]]="OK",data[[#This Row],[approach]]="evoavalla"),data[[#This Row],[asm_path]],"")</f>
        <v/>
      </c>
      <c r="W9" s="3" t="str">
        <f>IF(AND(data[[#This Row],[status]]="OK",data[[#This Row],[approach]]="atgt"),data[[#This Row],[asm_path]],"")</f>
        <v/>
      </c>
      <c r="X9" s="3" t="b">
        <f>COUNTIF(W:W,data[[#This Row],[path_ok_status_evoavalla]]) = 1</f>
        <v>0</v>
      </c>
    </row>
    <row r="10" spans="1:24" x14ac:dyDescent="0.25">
      <c r="A10" t="s">
        <v>671</v>
      </c>
      <c r="B10" t="s">
        <v>672</v>
      </c>
      <c r="C10" t="s">
        <v>626</v>
      </c>
      <c r="D10" t="s">
        <v>664</v>
      </c>
      <c r="E10" t="s">
        <v>636</v>
      </c>
      <c r="F10" t="s">
        <v>626</v>
      </c>
      <c r="G10" t="s">
        <v>618</v>
      </c>
      <c r="H10" t="s">
        <v>623</v>
      </c>
      <c r="I10" t="s">
        <v>638</v>
      </c>
      <c r="J10" t="s">
        <v>632</v>
      </c>
      <c r="K10" s="2" t="s">
        <v>620</v>
      </c>
      <c r="L10" s="2" t="s">
        <v>620</v>
      </c>
      <c r="M10" s="2" t="s">
        <v>620</v>
      </c>
      <c r="N10" s="2" t="s">
        <v>620</v>
      </c>
      <c r="O10" t="s">
        <v>639</v>
      </c>
      <c r="P10" t="s">
        <v>639</v>
      </c>
      <c r="Q10" t="s">
        <v>639</v>
      </c>
      <c r="R10" t="s">
        <v>639</v>
      </c>
      <c r="S10" t="s">
        <v>639</v>
      </c>
      <c r="T10" t="s">
        <v>620</v>
      </c>
      <c r="U10" t="s">
        <v>620</v>
      </c>
      <c r="V10" s="3" t="str">
        <f>IF(AND(data[[#This Row],[status]]="OK",data[[#This Row],[approach]]="evoavalla"),data[[#This Row],[asm_path]],"")</f>
        <v/>
      </c>
      <c r="W10" s="3" t="str">
        <f>IF(AND(data[[#This Row],[status]]="OK",data[[#This Row],[approach]]="atgt"),data[[#This Row],[asm_path]],"")</f>
        <v/>
      </c>
      <c r="X10" s="3" t="b">
        <f>COUNTIF(W:W,data[[#This Row],[path_ok_status_evoavalla]]) = 1</f>
        <v>0</v>
      </c>
    </row>
    <row r="11" spans="1:24" x14ac:dyDescent="0.25">
      <c r="A11" t="s">
        <v>673</v>
      </c>
      <c r="B11" t="s">
        <v>674</v>
      </c>
      <c r="C11" t="s">
        <v>675</v>
      </c>
      <c r="D11" t="s">
        <v>676</v>
      </c>
      <c r="E11" t="s">
        <v>677</v>
      </c>
      <c r="F11" t="s">
        <v>678</v>
      </c>
      <c r="G11" t="s">
        <v>679</v>
      </c>
      <c r="H11" t="s">
        <v>623</v>
      </c>
      <c r="I11" t="s">
        <v>638</v>
      </c>
      <c r="J11" t="s">
        <v>632</v>
      </c>
      <c r="K11" s="2" t="s">
        <v>620</v>
      </c>
      <c r="L11" s="2" t="s">
        <v>620</v>
      </c>
      <c r="M11" s="2" t="s">
        <v>620</v>
      </c>
      <c r="N11" s="2" t="s">
        <v>620</v>
      </c>
      <c r="O11" t="s">
        <v>639</v>
      </c>
      <c r="P11" t="s">
        <v>639</v>
      </c>
      <c r="Q11" t="s">
        <v>639</v>
      </c>
      <c r="R11" t="s">
        <v>639</v>
      </c>
      <c r="S11" t="s">
        <v>639</v>
      </c>
      <c r="T11" t="s">
        <v>620</v>
      </c>
      <c r="U11" t="s">
        <v>620</v>
      </c>
      <c r="V11" s="3" t="str">
        <f>IF(AND(data[[#This Row],[status]]="OK",data[[#This Row],[approach]]="evoavalla"),data[[#This Row],[asm_path]],"")</f>
        <v/>
      </c>
      <c r="W11" s="3" t="str">
        <f>IF(AND(data[[#This Row],[status]]="OK",data[[#This Row],[approach]]="atgt"),data[[#This Row],[asm_path]],"")</f>
        <v/>
      </c>
      <c r="X11" s="3" t="b">
        <f>COUNTIF(W:W,data[[#This Row],[path_ok_status_evoavalla]]) = 1</f>
        <v>0</v>
      </c>
    </row>
    <row r="12" spans="1:24" x14ac:dyDescent="0.25">
      <c r="A12" t="s">
        <v>680</v>
      </c>
      <c r="B12" t="s">
        <v>681</v>
      </c>
      <c r="C12" t="s">
        <v>635</v>
      </c>
      <c r="D12" t="s">
        <v>682</v>
      </c>
      <c r="E12" t="s">
        <v>620</v>
      </c>
      <c r="F12" t="s">
        <v>682</v>
      </c>
      <c r="G12" t="s">
        <v>683</v>
      </c>
      <c r="H12" t="s">
        <v>623</v>
      </c>
      <c r="I12" t="s">
        <v>638</v>
      </c>
      <c r="J12" t="s">
        <v>632</v>
      </c>
      <c r="K12" s="2" t="s">
        <v>620</v>
      </c>
      <c r="L12" s="2" t="s">
        <v>620</v>
      </c>
      <c r="M12" s="2" t="s">
        <v>620</v>
      </c>
      <c r="N12" s="2" t="s">
        <v>620</v>
      </c>
      <c r="O12" t="s">
        <v>639</v>
      </c>
      <c r="P12" t="s">
        <v>639</v>
      </c>
      <c r="Q12" t="s">
        <v>639</v>
      </c>
      <c r="R12" t="s">
        <v>639</v>
      </c>
      <c r="S12" t="s">
        <v>639</v>
      </c>
      <c r="T12" t="s">
        <v>620</v>
      </c>
      <c r="U12" t="s">
        <v>620</v>
      </c>
      <c r="V12" s="3" t="str">
        <f>IF(AND(data[[#This Row],[status]]="OK",data[[#This Row],[approach]]="evoavalla"),data[[#This Row],[asm_path]],"")</f>
        <v/>
      </c>
      <c r="W12" s="3" t="str">
        <f>IF(AND(data[[#This Row],[status]]="OK",data[[#This Row],[approach]]="atgt"),data[[#This Row],[asm_path]],"")</f>
        <v/>
      </c>
      <c r="X12" s="3" t="b">
        <f>COUNTIF(W:W,data[[#This Row],[path_ok_status_evoavalla]]) = 1</f>
        <v>0</v>
      </c>
    </row>
    <row r="13" spans="1:24" x14ac:dyDescent="0.25">
      <c r="A13" t="s">
        <v>684</v>
      </c>
      <c r="B13" t="s">
        <v>685</v>
      </c>
      <c r="C13" t="s">
        <v>682</v>
      </c>
      <c r="D13" t="s">
        <v>664</v>
      </c>
      <c r="E13" t="s">
        <v>620</v>
      </c>
      <c r="F13" t="s">
        <v>664</v>
      </c>
      <c r="G13" t="s">
        <v>643</v>
      </c>
      <c r="H13" t="s">
        <v>623</v>
      </c>
      <c r="I13" t="s">
        <v>638</v>
      </c>
      <c r="J13" t="s">
        <v>632</v>
      </c>
      <c r="K13" s="2" t="s">
        <v>620</v>
      </c>
      <c r="L13" s="2" t="s">
        <v>620</v>
      </c>
      <c r="M13" s="2" t="s">
        <v>620</v>
      </c>
      <c r="N13" s="2" t="s">
        <v>620</v>
      </c>
      <c r="O13" t="s">
        <v>639</v>
      </c>
      <c r="P13" t="s">
        <v>639</v>
      </c>
      <c r="Q13" t="s">
        <v>639</v>
      </c>
      <c r="R13" t="s">
        <v>639</v>
      </c>
      <c r="S13" t="s">
        <v>639</v>
      </c>
      <c r="T13" t="s">
        <v>620</v>
      </c>
      <c r="U13" t="s">
        <v>620</v>
      </c>
      <c r="V13" s="3" t="str">
        <f>IF(AND(data[[#This Row],[status]]="OK",data[[#This Row],[approach]]="evoavalla"),data[[#This Row],[asm_path]],"")</f>
        <v/>
      </c>
      <c r="W13" s="3" t="str">
        <f>IF(AND(data[[#This Row],[status]]="OK",data[[#This Row],[approach]]="atgt"),data[[#This Row],[asm_path]],"")</f>
        <v/>
      </c>
      <c r="X13" s="3" t="b">
        <f>COUNTIF(W:W,data[[#This Row],[path_ok_status_evoavalla]]) = 1</f>
        <v>0</v>
      </c>
    </row>
    <row r="14" spans="1:24" x14ac:dyDescent="0.25">
      <c r="A14" t="s">
        <v>686</v>
      </c>
      <c r="B14" t="s">
        <v>687</v>
      </c>
      <c r="C14" t="s">
        <v>682</v>
      </c>
      <c r="D14" t="s">
        <v>635</v>
      </c>
      <c r="E14" t="s">
        <v>636</v>
      </c>
      <c r="F14" t="s">
        <v>635</v>
      </c>
      <c r="G14" t="s">
        <v>683</v>
      </c>
      <c r="H14" t="s">
        <v>623</v>
      </c>
      <c r="I14" t="s">
        <v>638</v>
      </c>
      <c r="J14" t="s">
        <v>632</v>
      </c>
      <c r="K14" s="2" t="s">
        <v>620</v>
      </c>
      <c r="L14" s="2" t="s">
        <v>620</v>
      </c>
      <c r="M14" s="2" t="s">
        <v>620</v>
      </c>
      <c r="N14" s="2" t="s">
        <v>620</v>
      </c>
      <c r="O14" t="s">
        <v>639</v>
      </c>
      <c r="P14" t="s">
        <v>639</v>
      </c>
      <c r="Q14" t="s">
        <v>639</v>
      </c>
      <c r="R14" t="s">
        <v>639</v>
      </c>
      <c r="S14" t="s">
        <v>639</v>
      </c>
      <c r="T14" t="s">
        <v>620</v>
      </c>
      <c r="U14" t="s">
        <v>620</v>
      </c>
      <c r="V14" s="3" t="str">
        <f>IF(AND(data[[#This Row],[status]]="OK",data[[#This Row],[approach]]="evoavalla"),data[[#This Row],[asm_path]],"")</f>
        <v/>
      </c>
      <c r="W14" s="3" t="str">
        <f>IF(AND(data[[#This Row],[status]]="OK",data[[#This Row],[approach]]="atgt"),data[[#This Row],[asm_path]],"")</f>
        <v/>
      </c>
      <c r="X14" s="3" t="b">
        <f>COUNTIF(W:W,data[[#This Row],[path_ok_status_evoavalla]]) = 1</f>
        <v>0</v>
      </c>
    </row>
    <row r="15" spans="1:24" x14ac:dyDescent="0.25">
      <c r="A15" t="s">
        <v>688</v>
      </c>
      <c r="B15" t="s">
        <v>689</v>
      </c>
      <c r="C15" t="s">
        <v>626</v>
      </c>
      <c r="D15" t="s">
        <v>690</v>
      </c>
      <c r="E15" t="s">
        <v>635</v>
      </c>
      <c r="F15" t="s">
        <v>643</v>
      </c>
      <c r="G15" t="s">
        <v>691</v>
      </c>
      <c r="H15" t="s">
        <v>623</v>
      </c>
      <c r="I15" t="s">
        <v>638</v>
      </c>
      <c r="J15" t="s">
        <v>632</v>
      </c>
      <c r="K15" s="2" t="s">
        <v>620</v>
      </c>
      <c r="L15" s="2" t="s">
        <v>620</v>
      </c>
      <c r="M15" s="2" t="s">
        <v>620</v>
      </c>
      <c r="N15" s="2" t="s">
        <v>620</v>
      </c>
      <c r="O15" t="s">
        <v>639</v>
      </c>
      <c r="P15" t="s">
        <v>639</v>
      </c>
      <c r="Q15" t="s">
        <v>639</v>
      </c>
      <c r="R15" t="s">
        <v>639</v>
      </c>
      <c r="S15" t="s">
        <v>639</v>
      </c>
      <c r="T15" t="s">
        <v>620</v>
      </c>
      <c r="U15" t="s">
        <v>620</v>
      </c>
      <c r="V15" s="3" t="str">
        <f>IF(AND(data[[#This Row],[status]]="OK",data[[#This Row],[approach]]="evoavalla"),data[[#This Row],[asm_path]],"")</f>
        <v/>
      </c>
      <c r="W15" s="3" t="str">
        <f>IF(AND(data[[#This Row],[status]]="OK",data[[#This Row],[approach]]="atgt"),data[[#This Row],[asm_path]],"")</f>
        <v/>
      </c>
      <c r="X15" s="3" t="b">
        <f>COUNTIF(W:W,data[[#This Row],[path_ok_status_evoavalla]]) = 1</f>
        <v>0</v>
      </c>
    </row>
    <row r="16" spans="1:24" x14ac:dyDescent="0.25">
      <c r="A16" t="s">
        <v>692</v>
      </c>
      <c r="B16" t="s">
        <v>693</v>
      </c>
      <c r="C16" t="s">
        <v>635</v>
      </c>
      <c r="D16" t="s">
        <v>636</v>
      </c>
      <c r="E16" t="s">
        <v>636</v>
      </c>
      <c r="F16" t="s">
        <v>635</v>
      </c>
      <c r="G16" t="s">
        <v>664</v>
      </c>
      <c r="H16" t="s">
        <v>623</v>
      </c>
      <c r="I16" t="s">
        <v>638</v>
      </c>
      <c r="J16" t="s">
        <v>632</v>
      </c>
      <c r="K16" s="2" t="s">
        <v>620</v>
      </c>
      <c r="L16" s="2" t="s">
        <v>620</v>
      </c>
      <c r="M16" s="2" t="s">
        <v>620</v>
      </c>
      <c r="N16" s="2" t="s">
        <v>620</v>
      </c>
      <c r="O16" t="s">
        <v>639</v>
      </c>
      <c r="P16" t="s">
        <v>639</v>
      </c>
      <c r="Q16" t="s">
        <v>639</v>
      </c>
      <c r="R16" t="s">
        <v>639</v>
      </c>
      <c r="S16" t="s">
        <v>639</v>
      </c>
      <c r="T16" t="s">
        <v>620</v>
      </c>
      <c r="U16" t="s">
        <v>620</v>
      </c>
      <c r="V16" s="3" t="str">
        <f>IF(AND(data[[#This Row],[status]]="OK",data[[#This Row],[approach]]="evoavalla"),data[[#This Row],[asm_path]],"")</f>
        <v/>
      </c>
      <c r="W16" s="3" t="str">
        <f>IF(AND(data[[#This Row],[status]]="OK",data[[#This Row],[approach]]="atgt"),data[[#This Row],[asm_path]],"")</f>
        <v/>
      </c>
      <c r="X16" s="3" t="b">
        <f>COUNTIF(W:W,data[[#This Row],[path_ok_status_evoavalla]]) = 1</f>
        <v>0</v>
      </c>
    </row>
    <row r="17" spans="1:24" x14ac:dyDescent="0.25">
      <c r="A17" t="s">
        <v>694</v>
      </c>
      <c r="B17" t="s">
        <v>695</v>
      </c>
      <c r="C17" t="s">
        <v>696</v>
      </c>
      <c r="D17" t="s">
        <v>697</v>
      </c>
      <c r="E17" t="s">
        <v>636</v>
      </c>
      <c r="F17" t="s">
        <v>698</v>
      </c>
      <c r="G17" t="s">
        <v>699</v>
      </c>
      <c r="H17" t="s">
        <v>623</v>
      </c>
      <c r="I17" t="s">
        <v>638</v>
      </c>
      <c r="J17" t="s">
        <v>700</v>
      </c>
      <c r="K17" s="2" t="s">
        <v>620</v>
      </c>
      <c r="L17" s="2" t="s">
        <v>620</v>
      </c>
      <c r="M17" s="2" t="s">
        <v>620</v>
      </c>
      <c r="N17" s="2" t="s">
        <v>620</v>
      </c>
      <c r="O17" t="s">
        <v>639</v>
      </c>
      <c r="P17" t="s">
        <v>639</v>
      </c>
      <c r="Q17" t="s">
        <v>639</v>
      </c>
      <c r="R17" t="s">
        <v>639</v>
      </c>
      <c r="S17" t="s">
        <v>639</v>
      </c>
      <c r="T17" t="s">
        <v>620</v>
      </c>
      <c r="U17" t="s">
        <v>682</v>
      </c>
      <c r="V17" s="3" t="str">
        <f>IF(AND(data[[#This Row],[status]]="OK",data[[#This Row],[approach]]="evoavalla"),data[[#This Row],[asm_path]],"")</f>
        <v/>
      </c>
      <c r="W17" s="3" t="str">
        <f>IF(AND(data[[#This Row],[status]]="OK",data[[#This Row],[approach]]="atgt"),data[[#This Row],[asm_path]],"")</f>
        <v/>
      </c>
      <c r="X17" s="3" t="b">
        <f>COUNTIF(W:W,data[[#This Row],[path_ok_status_evoavalla]]) = 1</f>
        <v>0</v>
      </c>
    </row>
    <row r="18" spans="1:24" x14ac:dyDescent="0.25">
      <c r="A18" t="s">
        <v>701</v>
      </c>
      <c r="B18" t="s">
        <v>702</v>
      </c>
      <c r="C18" t="s">
        <v>703</v>
      </c>
      <c r="D18" t="s">
        <v>704</v>
      </c>
      <c r="E18" t="s">
        <v>636</v>
      </c>
      <c r="F18" t="s">
        <v>705</v>
      </c>
      <c r="G18" t="s">
        <v>706</v>
      </c>
      <c r="H18" t="s">
        <v>623</v>
      </c>
      <c r="I18" t="s">
        <v>638</v>
      </c>
      <c r="J18" t="s">
        <v>707</v>
      </c>
      <c r="K18" s="2" t="s">
        <v>620</v>
      </c>
      <c r="L18" s="2" t="s">
        <v>620</v>
      </c>
      <c r="M18" s="2" t="s">
        <v>620</v>
      </c>
      <c r="N18" s="2" t="s">
        <v>620</v>
      </c>
      <c r="O18" t="s">
        <v>639</v>
      </c>
      <c r="P18" t="s">
        <v>639</v>
      </c>
      <c r="Q18" t="s">
        <v>639</v>
      </c>
      <c r="R18" t="s">
        <v>639</v>
      </c>
      <c r="S18" t="s">
        <v>639</v>
      </c>
      <c r="T18" t="s">
        <v>620</v>
      </c>
      <c r="U18" t="s">
        <v>635</v>
      </c>
      <c r="V18" s="3" t="str">
        <f>IF(AND(data[[#This Row],[status]]="OK",data[[#This Row],[approach]]="evoavalla"),data[[#This Row],[asm_path]],"")</f>
        <v/>
      </c>
      <c r="W18" s="3" t="str">
        <f>IF(AND(data[[#This Row],[status]]="OK",data[[#This Row],[approach]]="atgt"),data[[#This Row],[asm_path]],"")</f>
        <v/>
      </c>
      <c r="X18" s="3" t="b">
        <f>COUNTIF(W:W,data[[#This Row],[path_ok_status_evoavalla]]) = 1</f>
        <v>0</v>
      </c>
    </row>
    <row r="19" spans="1:24" x14ac:dyDescent="0.25">
      <c r="A19" t="s">
        <v>708</v>
      </c>
      <c r="B19" t="s">
        <v>709</v>
      </c>
      <c r="C19" t="s">
        <v>682</v>
      </c>
      <c r="D19" t="s">
        <v>664</v>
      </c>
      <c r="E19" t="s">
        <v>620</v>
      </c>
      <c r="F19" t="s">
        <v>628</v>
      </c>
      <c r="G19" t="s">
        <v>710</v>
      </c>
      <c r="H19" t="s">
        <v>623</v>
      </c>
      <c r="I19" t="s">
        <v>638</v>
      </c>
      <c r="J19" t="s">
        <v>711</v>
      </c>
      <c r="K19" s="2" t="s">
        <v>620</v>
      </c>
      <c r="L19" s="2" t="s">
        <v>620</v>
      </c>
      <c r="M19" s="2" t="s">
        <v>620</v>
      </c>
      <c r="N19" s="2" t="s">
        <v>620</v>
      </c>
      <c r="O19" t="s">
        <v>639</v>
      </c>
      <c r="P19" t="s">
        <v>639</v>
      </c>
      <c r="Q19" t="s">
        <v>639</v>
      </c>
      <c r="R19" t="s">
        <v>639</v>
      </c>
      <c r="S19" t="s">
        <v>639</v>
      </c>
      <c r="T19" t="s">
        <v>620</v>
      </c>
      <c r="U19" t="s">
        <v>620</v>
      </c>
      <c r="V19" s="3" t="str">
        <f>IF(AND(data[[#This Row],[status]]="OK",data[[#This Row],[approach]]="evoavalla"),data[[#This Row],[asm_path]],"")</f>
        <v/>
      </c>
      <c r="W19" s="3" t="str">
        <f>IF(AND(data[[#This Row],[status]]="OK",data[[#This Row],[approach]]="atgt"),data[[#This Row],[asm_path]],"")</f>
        <v/>
      </c>
      <c r="X19" s="3" t="b">
        <f>COUNTIF(W:W,data[[#This Row],[path_ok_status_evoavalla]]) = 1</f>
        <v>0</v>
      </c>
    </row>
    <row r="20" spans="1:24" x14ac:dyDescent="0.25">
      <c r="A20" t="s">
        <v>712</v>
      </c>
      <c r="B20" t="s">
        <v>713</v>
      </c>
      <c r="C20" t="s">
        <v>682</v>
      </c>
      <c r="D20" t="s">
        <v>635</v>
      </c>
      <c r="E20" t="s">
        <v>620</v>
      </c>
      <c r="F20" t="s">
        <v>636</v>
      </c>
      <c r="G20" t="s">
        <v>683</v>
      </c>
      <c r="H20" t="s">
        <v>623</v>
      </c>
      <c r="I20" t="s">
        <v>638</v>
      </c>
      <c r="J20" t="s">
        <v>632</v>
      </c>
      <c r="K20" s="2" t="s">
        <v>620</v>
      </c>
      <c r="L20" s="2" t="s">
        <v>620</v>
      </c>
      <c r="M20" s="2" t="s">
        <v>620</v>
      </c>
      <c r="N20" s="2" t="s">
        <v>620</v>
      </c>
      <c r="O20" t="s">
        <v>639</v>
      </c>
      <c r="P20" t="s">
        <v>639</v>
      </c>
      <c r="Q20" t="s">
        <v>639</v>
      </c>
      <c r="R20" t="s">
        <v>639</v>
      </c>
      <c r="S20" t="s">
        <v>639</v>
      </c>
      <c r="T20" t="s">
        <v>620</v>
      </c>
      <c r="U20" t="s">
        <v>620</v>
      </c>
      <c r="V20" s="3" t="str">
        <f>IF(AND(data[[#This Row],[status]]="OK",data[[#This Row],[approach]]="evoavalla"),data[[#This Row],[asm_path]],"")</f>
        <v/>
      </c>
      <c r="W20" s="3" t="str">
        <f>IF(AND(data[[#This Row],[status]]="OK",data[[#This Row],[approach]]="atgt"),data[[#This Row],[asm_path]],"")</f>
        <v/>
      </c>
      <c r="X20" s="3" t="b">
        <f>COUNTIF(W:W,data[[#This Row],[path_ok_status_evoavalla]]) = 1</f>
        <v>0</v>
      </c>
    </row>
    <row r="21" spans="1:24" x14ac:dyDescent="0.25">
      <c r="A21" t="s">
        <v>714</v>
      </c>
      <c r="B21" t="s">
        <v>715</v>
      </c>
      <c r="C21" t="s">
        <v>664</v>
      </c>
      <c r="D21" t="s">
        <v>637</v>
      </c>
      <c r="E21" t="s">
        <v>620</v>
      </c>
      <c r="F21" t="s">
        <v>716</v>
      </c>
      <c r="G21" t="s">
        <v>717</v>
      </c>
      <c r="H21" t="s">
        <v>623</v>
      </c>
      <c r="I21" t="s">
        <v>638</v>
      </c>
      <c r="J21" t="s">
        <v>632</v>
      </c>
      <c r="K21" s="2" t="s">
        <v>620</v>
      </c>
      <c r="L21" s="2" t="s">
        <v>620</v>
      </c>
      <c r="M21" s="2" t="s">
        <v>620</v>
      </c>
      <c r="N21" s="2" t="s">
        <v>620</v>
      </c>
      <c r="O21" t="s">
        <v>639</v>
      </c>
      <c r="P21" t="s">
        <v>639</v>
      </c>
      <c r="Q21" t="s">
        <v>639</v>
      </c>
      <c r="R21" t="s">
        <v>639</v>
      </c>
      <c r="S21" t="s">
        <v>639</v>
      </c>
      <c r="T21" t="s">
        <v>620</v>
      </c>
      <c r="U21" t="s">
        <v>620</v>
      </c>
      <c r="V21" s="3" t="str">
        <f>IF(AND(data[[#This Row],[status]]="OK",data[[#This Row],[approach]]="evoavalla"),data[[#This Row],[asm_path]],"")</f>
        <v/>
      </c>
      <c r="W21" s="3" t="str">
        <f>IF(AND(data[[#This Row],[status]]="OK",data[[#This Row],[approach]]="atgt"),data[[#This Row],[asm_path]],"")</f>
        <v/>
      </c>
      <c r="X21" s="3" t="b">
        <f>COUNTIF(W:W,data[[#This Row],[path_ok_status_evoavalla]]) = 1</f>
        <v>0</v>
      </c>
    </row>
    <row r="22" spans="1:24" x14ac:dyDescent="0.25">
      <c r="A22" t="s">
        <v>718</v>
      </c>
      <c r="B22" t="s">
        <v>719</v>
      </c>
      <c r="C22" t="s">
        <v>636</v>
      </c>
      <c r="D22" t="s">
        <v>620</v>
      </c>
      <c r="E22" t="s">
        <v>620</v>
      </c>
      <c r="F22" t="s">
        <v>620</v>
      </c>
      <c r="G22" t="s">
        <v>635</v>
      </c>
      <c r="H22" t="s">
        <v>623</v>
      </c>
      <c r="I22" t="s">
        <v>638</v>
      </c>
      <c r="J22" t="s">
        <v>632</v>
      </c>
      <c r="K22" s="2" t="s">
        <v>620</v>
      </c>
      <c r="L22" s="2" t="s">
        <v>620</v>
      </c>
      <c r="M22" s="2" t="s">
        <v>620</v>
      </c>
      <c r="N22" s="2" t="s">
        <v>620</v>
      </c>
      <c r="O22" t="s">
        <v>639</v>
      </c>
      <c r="P22" t="s">
        <v>639</v>
      </c>
      <c r="Q22" t="s">
        <v>639</v>
      </c>
      <c r="R22" t="s">
        <v>639</v>
      </c>
      <c r="S22" t="s">
        <v>639</v>
      </c>
      <c r="T22" t="s">
        <v>620</v>
      </c>
      <c r="U22" t="s">
        <v>620</v>
      </c>
      <c r="V22" s="3" t="str">
        <f>IF(AND(data[[#This Row],[status]]="OK",data[[#This Row],[approach]]="evoavalla"),data[[#This Row],[asm_path]],"")</f>
        <v/>
      </c>
      <c r="W22" s="3" t="str">
        <f>IF(AND(data[[#This Row],[status]]="OK",data[[#This Row],[approach]]="atgt"),data[[#This Row],[asm_path]],"")</f>
        <v/>
      </c>
      <c r="X22" s="3" t="b">
        <f>COUNTIF(W:W,data[[#This Row],[path_ok_status_evoavalla]]) = 1</f>
        <v>0</v>
      </c>
    </row>
    <row r="23" spans="1:24" x14ac:dyDescent="0.25">
      <c r="A23" t="s">
        <v>720</v>
      </c>
      <c r="B23" t="s">
        <v>721</v>
      </c>
      <c r="C23" t="s">
        <v>635</v>
      </c>
      <c r="D23" t="s">
        <v>664</v>
      </c>
      <c r="E23" t="s">
        <v>620</v>
      </c>
      <c r="F23" t="s">
        <v>682</v>
      </c>
      <c r="G23" t="s">
        <v>621</v>
      </c>
      <c r="H23" t="s">
        <v>623</v>
      </c>
      <c r="I23" t="s">
        <v>638</v>
      </c>
      <c r="J23" t="s">
        <v>632</v>
      </c>
      <c r="K23" s="2" t="s">
        <v>620</v>
      </c>
      <c r="L23" s="2" t="s">
        <v>620</v>
      </c>
      <c r="M23" s="2" t="s">
        <v>620</v>
      </c>
      <c r="N23" s="2" t="s">
        <v>620</v>
      </c>
      <c r="O23" t="s">
        <v>639</v>
      </c>
      <c r="P23" t="s">
        <v>639</v>
      </c>
      <c r="Q23" t="s">
        <v>639</v>
      </c>
      <c r="R23" t="s">
        <v>639</v>
      </c>
      <c r="S23" t="s">
        <v>639</v>
      </c>
      <c r="T23" t="s">
        <v>620</v>
      </c>
      <c r="U23" t="s">
        <v>620</v>
      </c>
      <c r="V23" s="3" t="str">
        <f>IF(AND(data[[#This Row],[status]]="OK",data[[#This Row],[approach]]="evoavalla"),data[[#This Row],[asm_path]],"")</f>
        <v/>
      </c>
      <c r="W23" s="3" t="str">
        <f>IF(AND(data[[#This Row],[status]]="OK",data[[#This Row],[approach]]="atgt"),data[[#This Row],[asm_path]],"")</f>
        <v/>
      </c>
      <c r="X23" s="3" t="b">
        <f>COUNTIF(W:W,data[[#This Row],[path_ok_status_evoavalla]]) = 1</f>
        <v>0</v>
      </c>
    </row>
    <row r="24" spans="1:24" x14ac:dyDescent="0.25">
      <c r="A24" t="s">
        <v>722</v>
      </c>
      <c r="B24" t="s">
        <v>723</v>
      </c>
      <c r="C24" t="s">
        <v>664</v>
      </c>
      <c r="D24" t="s">
        <v>637</v>
      </c>
      <c r="E24" t="s">
        <v>620</v>
      </c>
      <c r="F24" t="s">
        <v>716</v>
      </c>
      <c r="G24" t="s">
        <v>717</v>
      </c>
      <c r="H24" t="s">
        <v>623</v>
      </c>
      <c r="I24" t="s">
        <v>638</v>
      </c>
      <c r="J24" t="s">
        <v>632</v>
      </c>
      <c r="K24" s="2" t="s">
        <v>620</v>
      </c>
      <c r="L24" s="2" t="s">
        <v>620</v>
      </c>
      <c r="M24" s="2" t="s">
        <v>620</v>
      </c>
      <c r="N24" s="2" t="s">
        <v>620</v>
      </c>
      <c r="O24" t="s">
        <v>639</v>
      </c>
      <c r="P24" t="s">
        <v>639</v>
      </c>
      <c r="Q24" t="s">
        <v>639</v>
      </c>
      <c r="R24" t="s">
        <v>639</v>
      </c>
      <c r="S24" t="s">
        <v>639</v>
      </c>
      <c r="T24" t="s">
        <v>620</v>
      </c>
      <c r="U24" t="s">
        <v>620</v>
      </c>
      <c r="V24" s="3" t="str">
        <f>IF(AND(data[[#This Row],[status]]="OK",data[[#This Row],[approach]]="evoavalla"),data[[#This Row],[asm_path]],"")</f>
        <v/>
      </c>
      <c r="W24" s="3" t="str">
        <f>IF(AND(data[[#This Row],[status]]="OK",data[[#This Row],[approach]]="atgt"),data[[#This Row],[asm_path]],"")</f>
        <v/>
      </c>
      <c r="X24" s="3" t="b">
        <f>COUNTIF(W:W,data[[#This Row],[path_ok_status_evoavalla]]) = 1</f>
        <v>0</v>
      </c>
    </row>
    <row r="25" spans="1:24" x14ac:dyDescent="0.25">
      <c r="A25" t="s">
        <v>724</v>
      </c>
      <c r="B25" t="s">
        <v>725</v>
      </c>
      <c r="C25" t="s">
        <v>635</v>
      </c>
      <c r="D25" t="s">
        <v>635</v>
      </c>
      <c r="E25" t="s">
        <v>636</v>
      </c>
      <c r="F25" t="s">
        <v>664</v>
      </c>
      <c r="G25" t="s">
        <v>628</v>
      </c>
      <c r="H25" t="s">
        <v>623</v>
      </c>
      <c r="I25" t="s">
        <v>638</v>
      </c>
      <c r="J25" t="s">
        <v>632</v>
      </c>
      <c r="K25" s="2" t="s">
        <v>620</v>
      </c>
      <c r="L25" s="2" t="s">
        <v>620</v>
      </c>
      <c r="M25" s="2" t="s">
        <v>620</v>
      </c>
      <c r="N25" s="2" t="s">
        <v>620</v>
      </c>
      <c r="O25" t="s">
        <v>639</v>
      </c>
      <c r="P25" t="s">
        <v>639</v>
      </c>
      <c r="Q25" t="s">
        <v>639</v>
      </c>
      <c r="R25" t="s">
        <v>639</v>
      </c>
      <c r="S25" t="s">
        <v>639</v>
      </c>
      <c r="T25" t="s">
        <v>620</v>
      </c>
      <c r="U25" t="s">
        <v>620</v>
      </c>
      <c r="V25" s="3" t="str">
        <f>IF(AND(data[[#This Row],[status]]="OK",data[[#This Row],[approach]]="evoavalla"),data[[#This Row],[asm_path]],"")</f>
        <v/>
      </c>
      <c r="W25" s="3" t="str">
        <f>IF(AND(data[[#This Row],[status]]="OK",data[[#This Row],[approach]]="atgt"),data[[#This Row],[asm_path]],"")</f>
        <v/>
      </c>
      <c r="X25" s="3" t="b">
        <f>COUNTIF(W:W,data[[#This Row],[path_ok_status_evoavalla]]) = 1</f>
        <v>0</v>
      </c>
    </row>
    <row r="26" spans="1:24" x14ac:dyDescent="0.25">
      <c r="A26" t="s">
        <v>726</v>
      </c>
      <c r="B26" t="s">
        <v>727</v>
      </c>
      <c r="C26" t="s">
        <v>635</v>
      </c>
      <c r="D26" t="s">
        <v>682</v>
      </c>
      <c r="E26" t="s">
        <v>620</v>
      </c>
      <c r="F26" t="s">
        <v>682</v>
      </c>
      <c r="G26" t="s">
        <v>683</v>
      </c>
      <c r="H26" t="s">
        <v>623</v>
      </c>
      <c r="I26" t="s">
        <v>638</v>
      </c>
      <c r="J26" t="s">
        <v>632</v>
      </c>
      <c r="K26" s="2" t="s">
        <v>620</v>
      </c>
      <c r="L26" s="2" t="s">
        <v>620</v>
      </c>
      <c r="M26" s="2" t="s">
        <v>620</v>
      </c>
      <c r="N26" s="2" t="s">
        <v>620</v>
      </c>
      <c r="O26" t="s">
        <v>639</v>
      </c>
      <c r="P26" t="s">
        <v>639</v>
      </c>
      <c r="Q26" t="s">
        <v>639</v>
      </c>
      <c r="R26" t="s">
        <v>639</v>
      </c>
      <c r="S26" t="s">
        <v>639</v>
      </c>
      <c r="T26" t="s">
        <v>620</v>
      </c>
      <c r="U26" t="s">
        <v>620</v>
      </c>
      <c r="V26" s="3" t="str">
        <f>IF(AND(data[[#This Row],[status]]="OK",data[[#This Row],[approach]]="evoavalla"),data[[#This Row],[asm_path]],"")</f>
        <v/>
      </c>
      <c r="W26" s="3" t="str">
        <f>IF(AND(data[[#This Row],[status]]="OK",data[[#This Row],[approach]]="atgt"),data[[#This Row],[asm_path]],"")</f>
        <v/>
      </c>
      <c r="X26" s="3" t="b">
        <f>COUNTIF(W:W,data[[#This Row],[path_ok_status_evoavalla]]) = 1</f>
        <v>0</v>
      </c>
    </row>
    <row r="27" spans="1:24" x14ac:dyDescent="0.25">
      <c r="A27" t="s">
        <v>728</v>
      </c>
      <c r="B27" t="s">
        <v>729</v>
      </c>
      <c r="C27" t="s">
        <v>626</v>
      </c>
      <c r="D27" t="s">
        <v>628</v>
      </c>
      <c r="E27" t="s">
        <v>636</v>
      </c>
      <c r="F27" t="s">
        <v>626</v>
      </c>
      <c r="G27" t="s">
        <v>642</v>
      </c>
      <c r="H27" t="s">
        <v>623</v>
      </c>
      <c r="I27" t="s">
        <v>638</v>
      </c>
      <c r="J27" t="s">
        <v>632</v>
      </c>
      <c r="K27" s="2" t="s">
        <v>620</v>
      </c>
      <c r="L27" s="2" t="s">
        <v>620</v>
      </c>
      <c r="M27" s="2" t="s">
        <v>620</v>
      </c>
      <c r="N27" s="2" t="s">
        <v>620</v>
      </c>
      <c r="O27" t="s">
        <v>639</v>
      </c>
      <c r="P27" t="s">
        <v>639</v>
      </c>
      <c r="Q27" t="s">
        <v>639</v>
      </c>
      <c r="R27" t="s">
        <v>639</v>
      </c>
      <c r="S27" t="s">
        <v>639</v>
      </c>
      <c r="T27" t="s">
        <v>620</v>
      </c>
      <c r="U27" t="s">
        <v>620</v>
      </c>
      <c r="V27" s="3" t="str">
        <f>IF(AND(data[[#This Row],[status]]="OK",data[[#This Row],[approach]]="evoavalla"),data[[#This Row],[asm_path]],"")</f>
        <v/>
      </c>
      <c r="W27" s="3" t="str">
        <f>IF(AND(data[[#This Row],[status]]="OK",data[[#This Row],[approach]]="atgt"),data[[#This Row],[asm_path]],"")</f>
        <v/>
      </c>
      <c r="X27" s="3" t="b">
        <f>COUNTIF(W:W,data[[#This Row],[path_ok_status_evoavalla]]) = 1</f>
        <v>0</v>
      </c>
    </row>
    <row r="28" spans="1:24" x14ac:dyDescent="0.25">
      <c r="A28" t="s">
        <v>730</v>
      </c>
      <c r="B28" t="s">
        <v>731</v>
      </c>
      <c r="C28" t="s">
        <v>683</v>
      </c>
      <c r="D28" t="s">
        <v>628</v>
      </c>
      <c r="E28" t="s">
        <v>626</v>
      </c>
      <c r="F28" t="s">
        <v>710</v>
      </c>
      <c r="G28" t="s">
        <v>732</v>
      </c>
      <c r="H28" t="s">
        <v>623</v>
      </c>
      <c r="I28" t="s">
        <v>638</v>
      </c>
      <c r="J28" t="s">
        <v>632</v>
      </c>
      <c r="K28" s="2" t="s">
        <v>620</v>
      </c>
      <c r="L28" s="2" t="s">
        <v>620</v>
      </c>
      <c r="M28" s="2" t="s">
        <v>620</v>
      </c>
      <c r="N28" s="2" t="s">
        <v>620</v>
      </c>
      <c r="O28" t="s">
        <v>639</v>
      </c>
      <c r="P28" t="s">
        <v>639</v>
      </c>
      <c r="Q28" t="s">
        <v>639</v>
      </c>
      <c r="R28" t="s">
        <v>639</v>
      </c>
      <c r="S28" t="s">
        <v>639</v>
      </c>
      <c r="T28" t="s">
        <v>620</v>
      </c>
      <c r="U28" t="s">
        <v>620</v>
      </c>
      <c r="V28" s="3" t="str">
        <f>IF(AND(data[[#This Row],[status]]="OK",data[[#This Row],[approach]]="evoavalla"),data[[#This Row],[asm_path]],"")</f>
        <v/>
      </c>
      <c r="W28" s="3" t="str">
        <f>IF(AND(data[[#This Row],[status]]="OK",data[[#This Row],[approach]]="atgt"),data[[#This Row],[asm_path]],"")</f>
        <v/>
      </c>
      <c r="X28" s="3" t="b">
        <f>COUNTIF(W:W,data[[#This Row],[path_ok_status_evoavalla]]) = 1</f>
        <v>0</v>
      </c>
    </row>
    <row r="29" spans="1:24" x14ac:dyDescent="0.25">
      <c r="A29" t="s">
        <v>733</v>
      </c>
      <c r="B29" t="s">
        <v>734</v>
      </c>
      <c r="C29" t="s">
        <v>677</v>
      </c>
      <c r="D29" t="s">
        <v>735</v>
      </c>
      <c r="E29" t="s">
        <v>621</v>
      </c>
      <c r="F29" t="s">
        <v>736</v>
      </c>
      <c r="G29" t="s">
        <v>737</v>
      </c>
      <c r="H29" t="s">
        <v>623</v>
      </c>
      <c r="I29" t="s">
        <v>638</v>
      </c>
      <c r="J29" t="s">
        <v>632</v>
      </c>
      <c r="K29" s="2" t="s">
        <v>620</v>
      </c>
      <c r="L29" s="2" t="s">
        <v>620</v>
      </c>
      <c r="M29" s="2" t="s">
        <v>620</v>
      </c>
      <c r="N29" s="2" t="s">
        <v>620</v>
      </c>
      <c r="O29" t="s">
        <v>639</v>
      </c>
      <c r="P29" t="s">
        <v>639</v>
      </c>
      <c r="Q29" t="s">
        <v>639</v>
      </c>
      <c r="R29" t="s">
        <v>639</v>
      </c>
      <c r="S29" t="s">
        <v>639</v>
      </c>
      <c r="T29" t="s">
        <v>620</v>
      </c>
      <c r="U29" t="s">
        <v>620</v>
      </c>
      <c r="V29" s="3" t="str">
        <f>IF(AND(data[[#This Row],[status]]="OK",data[[#This Row],[approach]]="evoavalla"),data[[#This Row],[asm_path]],"")</f>
        <v/>
      </c>
      <c r="W29" s="3" t="str">
        <f>IF(AND(data[[#This Row],[status]]="OK",data[[#This Row],[approach]]="atgt"),data[[#This Row],[asm_path]],"")</f>
        <v/>
      </c>
      <c r="X29" s="3" t="b">
        <f>COUNTIF(W:W,data[[#This Row],[path_ok_status_evoavalla]]) = 1</f>
        <v>0</v>
      </c>
    </row>
    <row r="30" spans="1:24" x14ac:dyDescent="0.25">
      <c r="A30" t="s">
        <v>738</v>
      </c>
      <c r="B30" t="s">
        <v>739</v>
      </c>
      <c r="C30" t="s">
        <v>690</v>
      </c>
      <c r="D30" t="s">
        <v>740</v>
      </c>
      <c r="E30" t="s">
        <v>620</v>
      </c>
      <c r="F30" t="s">
        <v>618</v>
      </c>
      <c r="G30" t="s">
        <v>741</v>
      </c>
      <c r="H30" t="s">
        <v>623</v>
      </c>
      <c r="I30" t="s">
        <v>638</v>
      </c>
      <c r="J30" t="s">
        <v>632</v>
      </c>
      <c r="K30" s="2" t="s">
        <v>620</v>
      </c>
      <c r="L30" s="2" t="s">
        <v>620</v>
      </c>
      <c r="M30" s="2" t="s">
        <v>620</v>
      </c>
      <c r="N30" s="2" t="s">
        <v>620</v>
      </c>
      <c r="O30" t="s">
        <v>639</v>
      </c>
      <c r="P30" t="s">
        <v>639</v>
      </c>
      <c r="Q30" t="s">
        <v>639</v>
      </c>
      <c r="R30" t="s">
        <v>639</v>
      </c>
      <c r="S30" t="s">
        <v>639</v>
      </c>
      <c r="T30" t="s">
        <v>620</v>
      </c>
      <c r="U30" t="s">
        <v>620</v>
      </c>
      <c r="V30" s="3" t="str">
        <f>IF(AND(data[[#This Row],[status]]="OK",data[[#This Row],[approach]]="evoavalla"),data[[#This Row],[asm_path]],"")</f>
        <v/>
      </c>
      <c r="W30" s="3" t="str">
        <f>IF(AND(data[[#This Row],[status]]="OK",data[[#This Row],[approach]]="atgt"),data[[#This Row],[asm_path]],"")</f>
        <v/>
      </c>
      <c r="X30" s="3" t="b">
        <f>COUNTIF(W:W,data[[#This Row],[path_ok_status_evoavalla]]) = 1</f>
        <v>0</v>
      </c>
    </row>
    <row r="31" spans="1:24" x14ac:dyDescent="0.25">
      <c r="A31" t="s">
        <v>742</v>
      </c>
      <c r="B31" t="s">
        <v>743</v>
      </c>
      <c r="C31" t="s">
        <v>740</v>
      </c>
      <c r="D31" t="s">
        <v>744</v>
      </c>
      <c r="E31" t="s">
        <v>745</v>
      </c>
      <c r="F31" t="s">
        <v>746</v>
      </c>
      <c r="G31" t="s">
        <v>747</v>
      </c>
      <c r="H31" t="s">
        <v>623</v>
      </c>
      <c r="I31" t="s">
        <v>638</v>
      </c>
      <c r="J31" t="s">
        <v>632</v>
      </c>
      <c r="K31" s="2" t="s">
        <v>620</v>
      </c>
      <c r="L31" s="2" t="s">
        <v>620</v>
      </c>
      <c r="M31" s="2" t="s">
        <v>620</v>
      </c>
      <c r="N31" s="2" t="s">
        <v>620</v>
      </c>
      <c r="O31" t="s">
        <v>639</v>
      </c>
      <c r="P31" t="s">
        <v>639</v>
      </c>
      <c r="Q31" t="s">
        <v>639</v>
      </c>
      <c r="R31" t="s">
        <v>639</v>
      </c>
      <c r="S31" t="s">
        <v>639</v>
      </c>
      <c r="T31" t="s">
        <v>620</v>
      </c>
      <c r="U31" t="s">
        <v>620</v>
      </c>
      <c r="V31" s="3" t="str">
        <f>IF(AND(data[[#This Row],[status]]="OK",data[[#This Row],[approach]]="evoavalla"),data[[#This Row],[asm_path]],"")</f>
        <v/>
      </c>
      <c r="W31" s="3" t="str">
        <f>IF(AND(data[[#This Row],[status]]="OK",data[[#This Row],[approach]]="atgt"),data[[#This Row],[asm_path]],"")</f>
        <v/>
      </c>
      <c r="X31" s="3" t="b">
        <f>COUNTIF(W:W,data[[#This Row],[path_ok_status_evoavalla]]) = 1</f>
        <v>0</v>
      </c>
    </row>
    <row r="32" spans="1:24" x14ac:dyDescent="0.25">
      <c r="A32" t="s">
        <v>748</v>
      </c>
      <c r="B32" t="s">
        <v>749</v>
      </c>
      <c r="C32" t="s">
        <v>750</v>
      </c>
      <c r="D32" t="s">
        <v>751</v>
      </c>
      <c r="E32" t="s">
        <v>752</v>
      </c>
      <c r="F32" t="s">
        <v>753</v>
      </c>
      <c r="G32" t="s">
        <v>754</v>
      </c>
      <c r="H32" t="s">
        <v>623</v>
      </c>
      <c r="I32" t="s">
        <v>638</v>
      </c>
      <c r="J32" t="s">
        <v>632</v>
      </c>
      <c r="K32" s="2" t="s">
        <v>620</v>
      </c>
      <c r="L32" s="2" t="s">
        <v>620</v>
      </c>
      <c r="M32" s="2" t="s">
        <v>620</v>
      </c>
      <c r="N32" s="2" t="s">
        <v>620</v>
      </c>
      <c r="O32" t="s">
        <v>639</v>
      </c>
      <c r="P32" t="s">
        <v>639</v>
      </c>
      <c r="Q32" t="s">
        <v>639</v>
      </c>
      <c r="R32" t="s">
        <v>639</v>
      </c>
      <c r="S32" t="s">
        <v>639</v>
      </c>
      <c r="T32" t="s">
        <v>620</v>
      </c>
      <c r="U32" t="s">
        <v>620</v>
      </c>
      <c r="V32" s="3" t="str">
        <f>IF(AND(data[[#This Row],[status]]="OK",data[[#This Row],[approach]]="evoavalla"),data[[#This Row],[asm_path]],"")</f>
        <v/>
      </c>
      <c r="W32" s="3" t="str">
        <f>IF(AND(data[[#This Row],[status]]="OK",data[[#This Row],[approach]]="atgt"),data[[#This Row],[asm_path]],"")</f>
        <v/>
      </c>
      <c r="X32" s="3" t="b">
        <f>COUNTIF(W:W,data[[#This Row],[path_ok_status_evoavalla]]) = 1</f>
        <v>0</v>
      </c>
    </row>
    <row r="33" spans="1:24" x14ac:dyDescent="0.25">
      <c r="A33" t="s">
        <v>755</v>
      </c>
      <c r="B33" t="s">
        <v>756</v>
      </c>
      <c r="C33" t="s">
        <v>636</v>
      </c>
      <c r="D33" t="s">
        <v>637</v>
      </c>
      <c r="E33" t="s">
        <v>620</v>
      </c>
      <c r="F33" t="s">
        <v>682</v>
      </c>
      <c r="G33" t="s">
        <v>627</v>
      </c>
      <c r="H33" t="s">
        <v>623</v>
      </c>
      <c r="I33" t="s">
        <v>638</v>
      </c>
      <c r="J33" t="s">
        <v>632</v>
      </c>
      <c r="K33" s="2" t="s">
        <v>620</v>
      </c>
      <c r="L33" s="2" t="s">
        <v>620</v>
      </c>
      <c r="M33" s="2" t="s">
        <v>620</v>
      </c>
      <c r="N33" s="2" t="s">
        <v>620</v>
      </c>
      <c r="O33" t="s">
        <v>639</v>
      </c>
      <c r="P33" t="s">
        <v>639</v>
      </c>
      <c r="Q33" t="s">
        <v>639</v>
      </c>
      <c r="R33" t="s">
        <v>639</v>
      </c>
      <c r="S33" t="s">
        <v>639</v>
      </c>
      <c r="T33" t="s">
        <v>620</v>
      </c>
      <c r="U33" t="s">
        <v>620</v>
      </c>
      <c r="V33" s="3" t="str">
        <f>IF(AND(data[[#This Row],[status]]="OK",data[[#This Row],[approach]]="evoavalla"),data[[#This Row],[asm_path]],"")</f>
        <v/>
      </c>
      <c r="W33" s="3" t="str">
        <f>IF(AND(data[[#This Row],[status]]="OK",data[[#This Row],[approach]]="atgt"),data[[#This Row],[asm_path]],"")</f>
        <v/>
      </c>
      <c r="X33" s="3" t="b">
        <f>COUNTIF(W:W,data[[#This Row],[path_ok_status_evoavalla]]) = 1</f>
        <v>0</v>
      </c>
    </row>
    <row r="34" spans="1:24" x14ac:dyDescent="0.25">
      <c r="A34" t="s">
        <v>757</v>
      </c>
      <c r="B34" t="s">
        <v>758</v>
      </c>
      <c r="C34" t="s">
        <v>690</v>
      </c>
      <c r="D34" t="s">
        <v>740</v>
      </c>
      <c r="E34" t="s">
        <v>620</v>
      </c>
      <c r="F34" t="s">
        <v>618</v>
      </c>
      <c r="G34" t="s">
        <v>741</v>
      </c>
      <c r="H34" t="s">
        <v>623</v>
      </c>
      <c r="I34" t="s">
        <v>638</v>
      </c>
      <c r="J34" t="s">
        <v>632</v>
      </c>
      <c r="K34" s="2" t="s">
        <v>620</v>
      </c>
      <c r="L34" s="2" t="s">
        <v>620</v>
      </c>
      <c r="M34" s="2" t="s">
        <v>620</v>
      </c>
      <c r="N34" s="2" t="s">
        <v>620</v>
      </c>
      <c r="O34" t="s">
        <v>639</v>
      </c>
      <c r="P34" t="s">
        <v>639</v>
      </c>
      <c r="Q34" t="s">
        <v>639</v>
      </c>
      <c r="R34" t="s">
        <v>639</v>
      </c>
      <c r="S34" t="s">
        <v>639</v>
      </c>
      <c r="T34" t="s">
        <v>620</v>
      </c>
      <c r="U34" t="s">
        <v>620</v>
      </c>
      <c r="V34" s="3" t="str">
        <f>IF(AND(data[[#This Row],[status]]="OK",data[[#This Row],[approach]]="evoavalla"),data[[#This Row],[asm_path]],"")</f>
        <v/>
      </c>
      <c r="W34" s="3" t="str">
        <f>IF(AND(data[[#This Row],[status]]="OK",data[[#This Row],[approach]]="atgt"),data[[#This Row],[asm_path]],"")</f>
        <v/>
      </c>
      <c r="X34" s="3" t="b">
        <f>COUNTIF(W:W,data[[#This Row],[path_ok_status_evoavalla]]) = 1</f>
        <v>0</v>
      </c>
    </row>
    <row r="35" spans="1:24" x14ac:dyDescent="0.25">
      <c r="A35" t="s">
        <v>759</v>
      </c>
      <c r="B35" t="s">
        <v>760</v>
      </c>
      <c r="C35" t="s">
        <v>635</v>
      </c>
      <c r="D35" t="s">
        <v>626</v>
      </c>
      <c r="E35" t="s">
        <v>620</v>
      </c>
      <c r="F35" t="s">
        <v>664</v>
      </c>
      <c r="G35" t="s">
        <v>761</v>
      </c>
      <c r="H35" t="s">
        <v>623</v>
      </c>
      <c r="I35" t="s">
        <v>638</v>
      </c>
      <c r="J35" t="s">
        <v>632</v>
      </c>
      <c r="K35" s="2" t="s">
        <v>620</v>
      </c>
      <c r="L35" s="2" t="s">
        <v>620</v>
      </c>
      <c r="M35" s="2" t="s">
        <v>620</v>
      </c>
      <c r="N35" s="2" t="s">
        <v>620</v>
      </c>
      <c r="O35" t="s">
        <v>639</v>
      </c>
      <c r="P35" t="s">
        <v>639</v>
      </c>
      <c r="Q35" t="s">
        <v>639</v>
      </c>
      <c r="R35" t="s">
        <v>639</v>
      </c>
      <c r="S35" t="s">
        <v>639</v>
      </c>
      <c r="T35" t="s">
        <v>620</v>
      </c>
      <c r="U35" t="s">
        <v>620</v>
      </c>
      <c r="V35" s="3" t="str">
        <f>IF(AND(data[[#This Row],[status]]="OK",data[[#This Row],[approach]]="evoavalla"),data[[#This Row],[asm_path]],"")</f>
        <v/>
      </c>
      <c r="W35" s="3" t="str">
        <f>IF(AND(data[[#This Row],[status]]="OK",data[[#This Row],[approach]]="atgt"),data[[#This Row],[asm_path]],"")</f>
        <v/>
      </c>
      <c r="X35" s="3" t="b">
        <f>COUNTIF(W:W,data[[#This Row],[path_ok_status_evoavalla]]) = 1</f>
        <v>0</v>
      </c>
    </row>
    <row r="36" spans="1:24" x14ac:dyDescent="0.25">
      <c r="A36" t="s">
        <v>762</v>
      </c>
      <c r="B36" t="s">
        <v>763</v>
      </c>
      <c r="C36" t="s">
        <v>716</v>
      </c>
      <c r="D36" t="s">
        <v>637</v>
      </c>
      <c r="E36" t="s">
        <v>636</v>
      </c>
      <c r="F36" t="s">
        <v>761</v>
      </c>
      <c r="G36" t="s">
        <v>735</v>
      </c>
      <c r="H36" t="s">
        <v>623</v>
      </c>
      <c r="I36" t="s">
        <v>638</v>
      </c>
      <c r="J36" t="s">
        <v>632</v>
      </c>
      <c r="K36" s="2" t="s">
        <v>620</v>
      </c>
      <c r="L36" s="2" t="s">
        <v>620</v>
      </c>
      <c r="M36" s="2" t="s">
        <v>620</v>
      </c>
      <c r="N36" s="2" t="s">
        <v>620</v>
      </c>
      <c r="O36" t="s">
        <v>639</v>
      </c>
      <c r="P36" t="s">
        <v>639</v>
      </c>
      <c r="Q36" t="s">
        <v>639</v>
      </c>
      <c r="R36" t="s">
        <v>639</v>
      </c>
      <c r="S36" t="s">
        <v>639</v>
      </c>
      <c r="T36" t="s">
        <v>620</v>
      </c>
      <c r="U36" t="s">
        <v>620</v>
      </c>
      <c r="V36" s="3" t="str">
        <f>IF(AND(data[[#This Row],[status]]="OK",data[[#This Row],[approach]]="evoavalla"),data[[#This Row],[asm_path]],"")</f>
        <v/>
      </c>
      <c r="W36" s="3" t="str">
        <f>IF(AND(data[[#This Row],[status]]="OK",data[[#This Row],[approach]]="atgt"),data[[#This Row],[asm_path]],"")</f>
        <v/>
      </c>
      <c r="X36" s="3" t="b">
        <f>COUNTIF(W:W,data[[#This Row],[path_ok_status_evoavalla]]) = 1</f>
        <v>0</v>
      </c>
    </row>
    <row r="37" spans="1:24" x14ac:dyDescent="0.25">
      <c r="A37" t="s">
        <v>764</v>
      </c>
      <c r="B37" t="s">
        <v>765</v>
      </c>
      <c r="C37" t="s">
        <v>716</v>
      </c>
      <c r="D37" t="s">
        <v>664</v>
      </c>
      <c r="E37" t="s">
        <v>636</v>
      </c>
      <c r="F37" t="s">
        <v>664</v>
      </c>
      <c r="G37" t="s">
        <v>669</v>
      </c>
      <c r="H37" t="s">
        <v>623</v>
      </c>
      <c r="I37" t="s">
        <v>638</v>
      </c>
      <c r="J37" t="s">
        <v>632</v>
      </c>
      <c r="K37" s="2" t="s">
        <v>620</v>
      </c>
      <c r="L37" s="2" t="s">
        <v>620</v>
      </c>
      <c r="M37" s="2" t="s">
        <v>620</v>
      </c>
      <c r="N37" s="2" t="s">
        <v>620</v>
      </c>
      <c r="O37" t="s">
        <v>639</v>
      </c>
      <c r="P37" t="s">
        <v>639</v>
      </c>
      <c r="Q37" t="s">
        <v>639</v>
      </c>
      <c r="R37" t="s">
        <v>639</v>
      </c>
      <c r="S37" t="s">
        <v>639</v>
      </c>
      <c r="T37" t="s">
        <v>620</v>
      </c>
      <c r="U37" t="s">
        <v>620</v>
      </c>
      <c r="V37" s="3" t="str">
        <f>IF(AND(data[[#This Row],[status]]="OK",data[[#This Row],[approach]]="evoavalla"),data[[#This Row],[asm_path]],"")</f>
        <v/>
      </c>
      <c r="W37" s="3" t="str">
        <f>IF(AND(data[[#This Row],[status]]="OK",data[[#This Row],[approach]]="atgt"),data[[#This Row],[asm_path]],"")</f>
        <v/>
      </c>
      <c r="X37" s="3" t="b">
        <f>COUNTIF(W:W,data[[#This Row],[path_ok_status_evoavalla]]) = 1</f>
        <v>0</v>
      </c>
    </row>
    <row r="38" spans="1:24" x14ac:dyDescent="0.25">
      <c r="A38" t="s">
        <v>766</v>
      </c>
      <c r="B38" t="s">
        <v>767</v>
      </c>
      <c r="C38" t="s">
        <v>716</v>
      </c>
      <c r="D38" t="s">
        <v>627</v>
      </c>
      <c r="E38" t="s">
        <v>636</v>
      </c>
      <c r="F38" t="s">
        <v>716</v>
      </c>
      <c r="G38" t="s">
        <v>768</v>
      </c>
      <c r="H38" t="s">
        <v>623</v>
      </c>
      <c r="I38" t="s">
        <v>638</v>
      </c>
      <c r="J38" t="s">
        <v>632</v>
      </c>
      <c r="K38" s="2" t="s">
        <v>620</v>
      </c>
      <c r="L38" s="2" t="s">
        <v>620</v>
      </c>
      <c r="M38" s="2" t="s">
        <v>620</v>
      </c>
      <c r="N38" s="2" t="s">
        <v>620</v>
      </c>
      <c r="O38" t="s">
        <v>639</v>
      </c>
      <c r="P38" t="s">
        <v>639</v>
      </c>
      <c r="Q38" t="s">
        <v>639</v>
      </c>
      <c r="R38" t="s">
        <v>639</v>
      </c>
      <c r="S38" t="s">
        <v>639</v>
      </c>
      <c r="T38" t="s">
        <v>620</v>
      </c>
      <c r="U38" t="s">
        <v>620</v>
      </c>
      <c r="V38" s="3" t="str">
        <f>IF(AND(data[[#This Row],[status]]="OK",data[[#This Row],[approach]]="evoavalla"),data[[#This Row],[asm_path]],"")</f>
        <v/>
      </c>
      <c r="W38" s="3" t="str">
        <f>IF(AND(data[[#This Row],[status]]="OK",data[[#This Row],[approach]]="atgt"),data[[#This Row],[asm_path]],"")</f>
        <v/>
      </c>
      <c r="X38" s="3" t="b">
        <f>COUNTIF(W:W,data[[#This Row],[path_ok_status_evoavalla]]) = 1</f>
        <v>0</v>
      </c>
    </row>
    <row r="39" spans="1:24" x14ac:dyDescent="0.25">
      <c r="A39" t="s">
        <v>769</v>
      </c>
      <c r="B39" t="s">
        <v>770</v>
      </c>
      <c r="C39" t="s">
        <v>736</v>
      </c>
      <c r="D39" t="s">
        <v>622</v>
      </c>
      <c r="E39" t="s">
        <v>620</v>
      </c>
      <c r="F39" t="s">
        <v>771</v>
      </c>
      <c r="G39" t="s">
        <v>772</v>
      </c>
      <c r="H39" t="s">
        <v>623</v>
      </c>
      <c r="I39" t="s">
        <v>624</v>
      </c>
      <c r="J39" t="s">
        <v>773</v>
      </c>
      <c r="K39" s="2" t="s">
        <v>636</v>
      </c>
      <c r="L39" s="2" t="s">
        <v>636</v>
      </c>
      <c r="M39" s="2" t="s">
        <v>636</v>
      </c>
      <c r="N39" s="2" t="s">
        <v>774</v>
      </c>
      <c r="O39" t="s">
        <v>775</v>
      </c>
      <c r="P39" t="s">
        <v>776</v>
      </c>
      <c r="Q39" t="s">
        <v>632</v>
      </c>
      <c r="R39" t="s">
        <v>777</v>
      </c>
      <c r="S39" t="s">
        <v>778</v>
      </c>
      <c r="T39" t="s">
        <v>636</v>
      </c>
      <c r="U39" t="s">
        <v>620</v>
      </c>
      <c r="V39" s="3" t="str">
        <f>IF(AND(data[[#This Row],[status]]="OK",data[[#This Row],[approach]]="evoavalla"),data[[#This Row],[asm_path]],"")</f>
        <v>../../../asm_examples/examples/hemodialysisDevice/ABZ2016/Hemodialysis_ref1_par.asm</v>
      </c>
      <c r="W39" s="3" t="str">
        <f>IF(AND(data[[#This Row],[status]]="OK",data[[#This Row],[approach]]="atgt"),data[[#This Row],[asm_path]],"")</f>
        <v/>
      </c>
      <c r="X39" s="3" t="b">
        <f>COUNTIF(W:W,data[[#This Row],[path_ok_status_evoavalla]]) = 1</f>
        <v>0</v>
      </c>
    </row>
    <row r="40" spans="1:24" x14ac:dyDescent="0.25">
      <c r="A40" t="s">
        <v>779</v>
      </c>
      <c r="B40" t="s">
        <v>780</v>
      </c>
      <c r="C40" t="s">
        <v>683</v>
      </c>
      <c r="D40" t="s">
        <v>628</v>
      </c>
      <c r="E40" t="s">
        <v>626</v>
      </c>
      <c r="F40" t="s">
        <v>618</v>
      </c>
      <c r="G40" t="s">
        <v>781</v>
      </c>
      <c r="H40" t="s">
        <v>623</v>
      </c>
      <c r="I40" t="s">
        <v>638</v>
      </c>
      <c r="J40" t="s">
        <v>632</v>
      </c>
      <c r="K40" s="2" t="s">
        <v>620</v>
      </c>
      <c r="L40" s="2" t="s">
        <v>620</v>
      </c>
      <c r="M40" s="2" t="s">
        <v>620</v>
      </c>
      <c r="N40" s="2" t="s">
        <v>620</v>
      </c>
      <c r="O40" t="s">
        <v>639</v>
      </c>
      <c r="P40" t="s">
        <v>639</v>
      </c>
      <c r="Q40" t="s">
        <v>639</v>
      </c>
      <c r="R40" t="s">
        <v>639</v>
      </c>
      <c r="S40" t="s">
        <v>639</v>
      </c>
      <c r="T40" t="s">
        <v>620</v>
      </c>
      <c r="U40" t="s">
        <v>620</v>
      </c>
      <c r="V40" s="3" t="str">
        <f>IF(AND(data[[#This Row],[status]]="OK",data[[#This Row],[approach]]="evoavalla"),data[[#This Row],[asm_path]],"")</f>
        <v/>
      </c>
      <c r="W40" s="3" t="str">
        <f>IF(AND(data[[#This Row],[status]]="OK",data[[#This Row],[approach]]="atgt"),data[[#This Row],[asm_path]],"")</f>
        <v/>
      </c>
      <c r="X40" s="3" t="b">
        <f>COUNTIF(W:W,data[[#This Row],[path_ok_status_evoavalla]]) = 1</f>
        <v>0</v>
      </c>
    </row>
    <row r="41" spans="1:24" x14ac:dyDescent="0.25">
      <c r="A41" t="s">
        <v>782</v>
      </c>
      <c r="B41" t="s">
        <v>783</v>
      </c>
      <c r="C41" t="s">
        <v>636</v>
      </c>
      <c r="D41" t="s">
        <v>682</v>
      </c>
      <c r="E41" t="s">
        <v>620</v>
      </c>
      <c r="F41" t="s">
        <v>664</v>
      </c>
      <c r="G41" t="s">
        <v>716</v>
      </c>
      <c r="H41" t="s">
        <v>623</v>
      </c>
      <c r="I41" t="s">
        <v>638</v>
      </c>
      <c r="J41" t="s">
        <v>784</v>
      </c>
      <c r="K41" s="2" t="s">
        <v>620</v>
      </c>
      <c r="L41" s="2" t="s">
        <v>620</v>
      </c>
      <c r="M41" s="2" t="s">
        <v>620</v>
      </c>
      <c r="N41" s="2" t="s">
        <v>620</v>
      </c>
      <c r="O41" t="s">
        <v>639</v>
      </c>
      <c r="P41" t="s">
        <v>639</v>
      </c>
      <c r="Q41" t="s">
        <v>639</v>
      </c>
      <c r="R41" t="s">
        <v>639</v>
      </c>
      <c r="S41" t="s">
        <v>639</v>
      </c>
      <c r="T41" t="s">
        <v>620</v>
      </c>
      <c r="U41" t="s">
        <v>620</v>
      </c>
      <c r="V41" s="3" t="str">
        <f>IF(AND(data[[#This Row],[status]]="OK",data[[#This Row],[approach]]="evoavalla"),data[[#This Row],[asm_path]],"")</f>
        <v/>
      </c>
      <c r="W41" s="3" t="str">
        <f>IF(AND(data[[#This Row],[status]]="OK",data[[#This Row],[approach]]="atgt"),data[[#This Row],[asm_path]],"")</f>
        <v/>
      </c>
      <c r="X41" s="3" t="b">
        <f>COUNTIF(W:W,data[[#This Row],[path_ok_status_evoavalla]]) = 1</f>
        <v>0</v>
      </c>
    </row>
    <row r="42" spans="1:24" x14ac:dyDescent="0.25">
      <c r="A42" t="s">
        <v>785</v>
      </c>
      <c r="B42" t="s">
        <v>786</v>
      </c>
      <c r="C42" t="s">
        <v>637</v>
      </c>
      <c r="D42" t="s">
        <v>710</v>
      </c>
      <c r="E42" t="s">
        <v>636</v>
      </c>
      <c r="F42" t="s">
        <v>690</v>
      </c>
      <c r="G42" t="s">
        <v>622</v>
      </c>
      <c r="H42" t="s">
        <v>623</v>
      </c>
      <c r="I42" t="s">
        <v>638</v>
      </c>
      <c r="J42" t="s">
        <v>632</v>
      </c>
      <c r="K42" s="2" t="s">
        <v>620</v>
      </c>
      <c r="L42" s="2" t="s">
        <v>620</v>
      </c>
      <c r="M42" s="2" t="s">
        <v>620</v>
      </c>
      <c r="N42" s="2" t="s">
        <v>620</v>
      </c>
      <c r="O42" t="s">
        <v>639</v>
      </c>
      <c r="P42" t="s">
        <v>639</v>
      </c>
      <c r="Q42" t="s">
        <v>639</v>
      </c>
      <c r="R42" t="s">
        <v>639</v>
      </c>
      <c r="S42" t="s">
        <v>639</v>
      </c>
      <c r="T42" t="s">
        <v>620</v>
      </c>
      <c r="U42" t="s">
        <v>620</v>
      </c>
      <c r="V42" s="3" t="str">
        <f>IF(AND(data[[#This Row],[status]]="OK",data[[#This Row],[approach]]="evoavalla"),data[[#This Row],[asm_path]],"")</f>
        <v/>
      </c>
      <c r="W42" s="3" t="str">
        <f>IF(AND(data[[#This Row],[status]]="OK",data[[#This Row],[approach]]="atgt"),data[[#This Row],[asm_path]],"")</f>
        <v/>
      </c>
      <c r="X42" s="3" t="b">
        <f>COUNTIF(W:W,data[[#This Row],[path_ok_status_evoavalla]]) = 1</f>
        <v>0</v>
      </c>
    </row>
    <row r="43" spans="1:24" x14ac:dyDescent="0.25">
      <c r="A43" t="s">
        <v>787</v>
      </c>
      <c r="B43" t="s">
        <v>788</v>
      </c>
      <c r="C43" t="s">
        <v>636</v>
      </c>
      <c r="D43" t="s">
        <v>636</v>
      </c>
      <c r="E43" t="s">
        <v>620</v>
      </c>
      <c r="F43" t="s">
        <v>620</v>
      </c>
      <c r="G43" t="s">
        <v>636</v>
      </c>
      <c r="H43" t="s">
        <v>623</v>
      </c>
      <c r="I43" t="s">
        <v>624</v>
      </c>
      <c r="J43" t="s">
        <v>789</v>
      </c>
      <c r="K43" s="2" t="s">
        <v>636</v>
      </c>
      <c r="L43" s="2" t="s">
        <v>636</v>
      </c>
      <c r="M43" s="2" t="s">
        <v>620</v>
      </c>
      <c r="N43" s="2" t="s">
        <v>620</v>
      </c>
      <c r="O43" t="s">
        <v>630</v>
      </c>
      <c r="P43" t="s">
        <v>630</v>
      </c>
      <c r="Q43" t="s">
        <v>632</v>
      </c>
      <c r="R43" t="s">
        <v>632</v>
      </c>
      <c r="S43" t="s">
        <v>630</v>
      </c>
      <c r="T43" t="s">
        <v>620</v>
      </c>
      <c r="U43" t="s">
        <v>620</v>
      </c>
      <c r="V43" s="3" t="str">
        <f>IF(AND(data[[#This Row],[status]]="OK",data[[#This Row],[approach]]="evoavalla"),data[[#This Row],[asm_path]],"")</f>
        <v>../../../asm_examples/examples_for_nuXmv/provaint.asm</v>
      </c>
      <c r="W43" s="3" t="str">
        <f>IF(AND(data[[#This Row],[status]]="OK",data[[#This Row],[approach]]="atgt"),data[[#This Row],[asm_path]],"")</f>
        <v/>
      </c>
      <c r="X43" s="3" t="b">
        <f>COUNTIF(W:W,data[[#This Row],[path_ok_status_evoavalla]]) = 1</f>
        <v>1</v>
      </c>
    </row>
    <row r="44" spans="1:24" x14ac:dyDescent="0.25">
      <c r="A44" t="s">
        <v>790</v>
      </c>
      <c r="B44" t="s">
        <v>791</v>
      </c>
      <c r="C44" t="s">
        <v>626</v>
      </c>
      <c r="D44" t="s">
        <v>643</v>
      </c>
      <c r="E44" t="s">
        <v>620</v>
      </c>
      <c r="F44" t="s">
        <v>716</v>
      </c>
      <c r="G44" t="s">
        <v>750</v>
      </c>
      <c r="H44" t="s">
        <v>623</v>
      </c>
      <c r="I44" t="s">
        <v>624</v>
      </c>
      <c r="J44" t="s">
        <v>792</v>
      </c>
      <c r="K44" s="2" t="s">
        <v>635</v>
      </c>
      <c r="L44" s="2" t="s">
        <v>626</v>
      </c>
      <c r="M44" s="2" t="s">
        <v>664</v>
      </c>
      <c r="N44" s="2" t="s">
        <v>732</v>
      </c>
      <c r="O44" t="s">
        <v>630</v>
      </c>
      <c r="P44" t="s">
        <v>630</v>
      </c>
      <c r="Q44" t="s">
        <v>632</v>
      </c>
      <c r="R44" t="s">
        <v>793</v>
      </c>
      <c r="S44" t="s">
        <v>630</v>
      </c>
      <c r="T44" t="s">
        <v>620</v>
      </c>
      <c r="U44" t="s">
        <v>620</v>
      </c>
      <c r="V44" s="3" t="str">
        <f>IF(AND(data[[#This Row],[status]]="OK",data[[#This Row],[approach]]="evoavalla"),data[[#This Row],[asm_path]],"")</f>
        <v>../../../asm_examples/examples/traffic_light/oneWayTrafficLightUsingEnum.asm</v>
      </c>
      <c r="W44" s="3" t="str">
        <f>IF(AND(data[[#This Row],[status]]="OK",data[[#This Row],[approach]]="atgt"),data[[#This Row],[asm_path]],"")</f>
        <v/>
      </c>
      <c r="X44" s="3" t="b">
        <f>COUNTIF(W:W,data[[#This Row],[path_ok_status_evoavalla]]) = 1</f>
        <v>1</v>
      </c>
    </row>
    <row r="45" spans="1:24" x14ac:dyDescent="0.25">
      <c r="A45" t="s">
        <v>794</v>
      </c>
      <c r="B45" t="s">
        <v>795</v>
      </c>
      <c r="C45" t="s">
        <v>626</v>
      </c>
      <c r="D45" t="s">
        <v>644</v>
      </c>
      <c r="E45" t="s">
        <v>620</v>
      </c>
      <c r="F45" t="s">
        <v>664</v>
      </c>
      <c r="G45" t="s">
        <v>746</v>
      </c>
      <c r="H45" t="s">
        <v>623</v>
      </c>
      <c r="I45" t="s">
        <v>638</v>
      </c>
      <c r="J45" t="s">
        <v>632</v>
      </c>
      <c r="K45" s="2" t="s">
        <v>620</v>
      </c>
      <c r="L45" s="2" t="s">
        <v>620</v>
      </c>
      <c r="M45" s="2" t="s">
        <v>620</v>
      </c>
      <c r="N45" s="2" t="s">
        <v>620</v>
      </c>
      <c r="O45" t="s">
        <v>639</v>
      </c>
      <c r="P45" t="s">
        <v>639</v>
      </c>
      <c r="Q45" t="s">
        <v>639</v>
      </c>
      <c r="R45" t="s">
        <v>639</v>
      </c>
      <c r="S45" t="s">
        <v>639</v>
      </c>
      <c r="T45" t="s">
        <v>620</v>
      </c>
      <c r="U45" t="s">
        <v>620</v>
      </c>
      <c r="V45" s="3" t="str">
        <f>IF(AND(data[[#This Row],[status]]="OK",data[[#This Row],[approach]]="evoavalla"),data[[#This Row],[asm_path]],"")</f>
        <v/>
      </c>
      <c r="W45" s="3" t="str">
        <f>IF(AND(data[[#This Row],[status]]="OK",data[[#This Row],[approach]]="atgt"),data[[#This Row],[asm_path]],"")</f>
        <v/>
      </c>
      <c r="X45" s="3" t="b">
        <f>COUNTIF(W:W,data[[#This Row],[path_ok_status_evoavalla]]) = 1</f>
        <v>0</v>
      </c>
    </row>
    <row r="46" spans="1:24" x14ac:dyDescent="0.25">
      <c r="A46" t="s">
        <v>796</v>
      </c>
      <c r="B46" t="s">
        <v>797</v>
      </c>
      <c r="C46" t="s">
        <v>637</v>
      </c>
      <c r="D46" t="s">
        <v>717</v>
      </c>
      <c r="E46" t="s">
        <v>620</v>
      </c>
      <c r="F46" t="s">
        <v>798</v>
      </c>
      <c r="G46" t="s">
        <v>799</v>
      </c>
      <c r="H46" t="s">
        <v>623</v>
      </c>
      <c r="I46" t="s">
        <v>638</v>
      </c>
      <c r="J46" t="s">
        <v>632</v>
      </c>
      <c r="K46" s="2" t="s">
        <v>620</v>
      </c>
      <c r="L46" s="2" t="s">
        <v>620</v>
      </c>
      <c r="M46" s="2" t="s">
        <v>620</v>
      </c>
      <c r="N46" s="2" t="s">
        <v>620</v>
      </c>
      <c r="O46" t="s">
        <v>639</v>
      </c>
      <c r="P46" t="s">
        <v>639</v>
      </c>
      <c r="Q46" t="s">
        <v>639</v>
      </c>
      <c r="R46" t="s">
        <v>639</v>
      </c>
      <c r="S46" t="s">
        <v>639</v>
      </c>
      <c r="T46" t="s">
        <v>620</v>
      </c>
      <c r="U46" t="s">
        <v>620</v>
      </c>
      <c r="V46" s="3" t="str">
        <f>IF(AND(data[[#This Row],[status]]="OK",data[[#This Row],[approach]]="evoavalla"),data[[#This Row],[asm_path]],"")</f>
        <v/>
      </c>
      <c r="W46" s="3" t="str">
        <f>IF(AND(data[[#This Row],[status]]="OK",data[[#This Row],[approach]]="atgt"),data[[#This Row],[asm_path]],"")</f>
        <v/>
      </c>
      <c r="X46" s="3" t="b">
        <f>COUNTIF(W:W,data[[#This Row],[path_ok_status_evoavalla]]) = 1</f>
        <v>0</v>
      </c>
    </row>
    <row r="47" spans="1:24" x14ac:dyDescent="0.25">
      <c r="A47" t="s">
        <v>800</v>
      </c>
      <c r="B47" t="s">
        <v>801</v>
      </c>
      <c r="C47" t="s">
        <v>635</v>
      </c>
      <c r="D47" t="s">
        <v>635</v>
      </c>
      <c r="E47" t="s">
        <v>636</v>
      </c>
      <c r="F47" t="s">
        <v>628</v>
      </c>
      <c r="G47" t="s">
        <v>627</v>
      </c>
      <c r="H47" t="s">
        <v>623</v>
      </c>
      <c r="I47" t="s">
        <v>638</v>
      </c>
      <c r="J47" t="s">
        <v>632</v>
      </c>
      <c r="K47" s="2" t="s">
        <v>620</v>
      </c>
      <c r="L47" s="2" t="s">
        <v>620</v>
      </c>
      <c r="M47" s="2" t="s">
        <v>620</v>
      </c>
      <c r="N47" s="2" t="s">
        <v>620</v>
      </c>
      <c r="O47" t="s">
        <v>639</v>
      </c>
      <c r="P47" t="s">
        <v>639</v>
      </c>
      <c r="Q47" t="s">
        <v>639</v>
      </c>
      <c r="R47" t="s">
        <v>639</v>
      </c>
      <c r="S47" t="s">
        <v>639</v>
      </c>
      <c r="T47" t="s">
        <v>620</v>
      </c>
      <c r="U47" t="s">
        <v>620</v>
      </c>
      <c r="V47" s="3" t="str">
        <f>IF(AND(data[[#This Row],[status]]="OK",data[[#This Row],[approach]]="evoavalla"),data[[#This Row],[asm_path]],"")</f>
        <v/>
      </c>
      <c r="W47" s="3" t="str">
        <f>IF(AND(data[[#This Row],[status]]="OK",data[[#This Row],[approach]]="atgt"),data[[#This Row],[asm_path]],"")</f>
        <v/>
      </c>
      <c r="X47" s="3" t="b">
        <f>COUNTIF(W:W,data[[#This Row],[path_ok_status_evoavalla]]) = 1</f>
        <v>0</v>
      </c>
    </row>
    <row r="48" spans="1:24" x14ac:dyDescent="0.25">
      <c r="A48" t="s">
        <v>802</v>
      </c>
      <c r="B48" t="s">
        <v>803</v>
      </c>
      <c r="C48" t="s">
        <v>761</v>
      </c>
      <c r="D48" t="s">
        <v>716</v>
      </c>
      <c r="E48" t="s">
        <v>636</v>
      </c>
      <c r="F48" t="s">
        <v>761</v>
      </c>
      <c r="G48" t="s">
        <v>697</v>
      </c>
      <c r="H48" t="s">
        <v>623</v>
      </c>
      <c r="I48" t="s">
        <v>638</v>
      </c>
      <c r="J48" t="s">
        <v>632</v>
      </c>
      <c r="K48" s="2" t="s">
        <v>620</v>
      </c>
      <c r="L48" s="2" t="s">
        <v>620</v>
      </c>
      <c r="M48" s="2" t="s">
        <v>620</v>
      </c>
      <c r="N48" s="2" t="s">
        <v>620</v>
      </c>
      <c r="O48" t="s">
        <v>639</v>
      </c>
      <c r="P48" t="s">
        <v>639</v>
      </c>
      <c r="Q48" t="s">
        <v>639</v>
      </c>
      <c r="R48" t="s">
        <v>639</v>
      </c>
      <c r="S48" t="s">
        <v>639</v>
      </c>
      <c r="T48" t="s">
        <v>620</v>
      </c>
      <c r="U48" t="s">
        <v>620</v>
      </c>
      <c r="V48" s="3" t="str">
        <f>IF(AND(data[[#This Row],[status]]="OK",data[[#This Row],[approach]]="evoavalla"),data[[#This Row],[asm_path]],"")</f>
        <v/>
      </c>
      <c r="W48" s="3" t="str">
        <f>IF(AND(data[[#This Row],[status]]="OK",data[[#This Row],[approach]]="atgt"),data[[#This Row],[asm_path]],"")</f>
        <v/>
      </c>
      <c r="X48" s="3" t="b">
        <f>COUNTIF(W:W,data[[#This Row],[path_ok_status_evoavalla]]) = 1</f>
        <v>0</v>
      </c>
    </row>
    <row r="49" spans="1:24" x14ac:dyDescent="0.25">
      <c r="A49" t="s">
        <v>804</v>
      </c>
      <c r="B49" t="s">
        <v>805</v>
      </c>
      <c r="C49" t="s">
        <v>635</v>
      </c>
      <c r="D49" t="s">
        <v>636</v>
      </c>
      <c r="E49" t="s">
        <v>636</v>
      </c>
      <c r="F49" t="s">
        <v>635</v>
      </c>
      <c r="G49" t="s">
        <v>664</v>
      </c>
      <c r="H49" t="s">
        <v>623</v>
      </c>
      <c r="I49" t="s">
        <v>638</v>
      </c>
      <c r="J49" t="s">
        <v>632</v>
      </c>
      <c r="K49" s="2" t="s">
        <v>620</v>
      </c>
      <c r="L49" s="2" t="s">
        <v>620</v>
      </c>
      <c r="M49" s="2" t="s">
        <v>620</v>
      </c>
      <c r="N49" s="2" t="s">
        <v>620</v>
      </c>
      <c r="O49" t="s">
        <v>639</v>
      </c>
      <c r="P49" t="s">
        <v>639</v>
      </c>
      <c r="Q49" t="s">
        <v>639</v>
      </c>
      <c r="R49" t="s">
        <v>639</v>
      </c>
      <c r="S49" t="s">
        <v>639</v>
      </c>
      <c r="T49" t="s">
        <v>620</v>
      </c>
      <c r="U49" t="s">
        <v>620</v>
      </c>
      <c r="V49" s="3" t="str">
        <f>IF(AND(data[[#This Row],[status]]="OK",data[[#This Row],[approach]]="evoavalla"),data[[#This Row],[asm_path]],"")</f>
        <v/>
      </c>
      <c r="W49" s="3" t="str">
        <f>IF(AND(data[[#This Row],[status]]="OK",data[[#This Row],[approach]]="atgt"),data[[#This Row],[asm_path]],"")</f>
        <v/>
      </c>
      <c r="X49" s="3" t="b">
        <f>COUNTIF(W:W,data[[#This Row],[path_ok_status_evoavalla]]) = 1</f>
        <v>0</v>
      </c>
    </row>
    <row r="50" spans="1:24" x14ac:dyDescent="0.25">
      <c r="A50" t="s">
        <v>806</v>
      </c>
      <c r="B50" t="s">
        <v>807</v>
      </c>
      <c r="C50" t="s">
        <v>808</v>
      </c>
      <c r="D50" t="s">
        <v>676</v>
      </c>
      <c r="E50" t="s">
        <v>752</v>
      </c>
      <c r="F50" t="s">
        <v>809</v>
      </c>
      <c r="G50" t="s">
        <v>810</v>
      </c>
      <c r="H50" t="s">
        <v>623</v>
      </c>
      <c r="I50" t="s">
        <v>638</v>
      </c>
      <c r="J50" t="s">
        <v>632</v>
      </c>
      <c r="K50" s="2" t="s">
        <v>620</v>
      </c>
      <c r="L50" s="2" t="s">
        <v>620</v>
      </c>
      <c r="M50" s="2" t="s">
        <v>620</v>
      </c>
      <c r="N50" s="2" t="s">
        <v>620</v>
      </c>
      <c r="O50" t="s">
        <v>639</v>
      </c>
      <c r="P50" t="s">
        <v>639</v>
      </c>
      <c r="Q50" t="s">
        <v>639</v>
      </c>
      <c r="R50" t="s">
        <v>639</v>
      </c>
      <c r="S50" t="s">
        <v>639</v>
      </c>
      <c r="T50" t="s">
        <v>620</v>
      </c>
      <c r="U50" t="s">
        <v>620</v>
      </c>
      <c r="V50" s="3" t="str">
        <f>IF(AND(data[[#This Row],[status]]="OK",data[[#This Row],[approach]]="evoavalla"),data[[#This Row],[asm_path]],"")</f>
        <v/>
      </c>
      <c r="W50" s="3" t="str">
        <f>IF(AND(data[[#This Row],[status]]="OK",data[[#This Row],[approach]]="atgt"),data[[#This Row],[asm_path]],"")</f>
        <v/>
      </c>
      <c r="X50" s="3" t="b">
        <f>COUNTIF(W:W,data[[#This Row],[path_ok_status_evoavalla]]) = 1</f>
        <v>0</v>
      </c>
    </row>
    <row r="51" spans="1:24" x14ac:dyDescent="0.25">
      <c r="A51" t="s">
        <v>811</v>
      </c>
      <c r="B51" t="s">
        <v>812</v>
      </c>
      <c r="C51" t="s">
        <v>635</v>
      </c>
      <c r="D51" t="s">
        <v>664</v>
      </c>
      <c r="E51" t="s">
        <v>620</v>
      </c>
      <c r="F51" t="s">
        <v>682</v>
      </c>
      <c r="G51" t="s">
        <v>621</v>
      </c>
      <c r="H51" t="s">
        <v>623</v>
      </c>
      <c r="I51" t="s">
        <v>638</v>
      </c>
      <c r="J51" t="s">
        <v>632</v>
      </c>
      <c r="K51" s="2" t="s">
        <v>620</v>
      </c>
      <c r="L51" s="2" t="s">
        <v>620</v>
      </c>
      <c r="M51" s="2" t="s">
        <v>620</v>
      </c>
      <c r="N51" s="2" t="s">
        <v>620</v>
      </c>
      <c r="O51" t="s">
        <v>639</v>
      </c>
      <c r="P51" t="s">
        <v>639</v>
      </c>
      <c r="Q51" t="s">
        <v>639</v>
      </c>
      <c r="R51" t="s">
        <v>639</v>
      </c>
      <c r="S51" t="s">
        <v>639</v>
      </c>
      <c r="T51" t="s">
        <v>620</v>
      </c>
      <c r="U51" t="s">
        <v>620</v>
      </c>
      <c r="V51" s="3" t="str">
        <f>IF(AND(data[[#This Row],[status]]="OK",data[[#This Row],[approach]]="evoavalla"),data[[#This Row],[asm_path]],"")</f>
        <v/>
      </c>
      <c r="W51" s="3" t="str">
        <f>IF(AND(data[[#This Row],[status]]="OK",data[[#This Row],[approach]]="atgt"),data[[#This Row],[asm_path]],"")</f>
        <v/>
      </c>
      <c r="X51" s="3" t="b">
        <f>COUNTIF(W:W,data[[#This Row],[path_ok_status_evoavalla]]) = 1</f>
        <v>0</v>
      </c>
    </row>
    <row r="52" spans="1:24" x14ac:dyDescent="0.25">
      <c r="A52" t="s">
        <v>813</v>
      </c>
      <c r="B52" t="s">
        <v>814</v>
      </c>
      <c r="C52" t="s">
        <v>717</v>
      </c>
      <c r="D52" t="s">
        <v>815</v>
      </c>
      <c r="E52" t="s">
        <v>816</v>
      </c>
      <c r="F52" t="s">
        <v>817</v>
      </c>
      <c r="G52" t="s">
        <v>818</v>
      </c>
      <c r="H52" t="s">
        <v>623</v>
      </c>
      <c r="I52" t="s">
        <v>638</v>
      </c>
      <c r="J52" t="s">
        <v>632</v>
      </c>
      <c r="K52" s="2" t="s">
        <v>620</v>
      </c>
      <c r="L52" s="2" t="s">
        <v>620</v>
      </c>
      <c r="M52" s="2" t="s">
        <v>620</v>
      </c>
      <c r="N52" s="2" t="s">
        <v>620</v>
      </c>
      <c r="O52" t="s">
        <v>639</v>
      </c>
      <c r="P52" t="s">
        <v>639</v>
      </c>
      <c r="Q52" t="s">
        <v>639</v>
      </c>
      <c r="R52" t="s">
        <v>639</v>
      </c>
      <c r="S52" t="s">
        <v>639</v>
      </c>
      <c r="T52" t="s">
        <v>620</v>
      </c>
      <c r="U52" t="s">
        <v>620</v>
      </c>
      <c r="V52" s="3" t="str">
        <f>IF(AND(data[[#This Row],[status]]="OK",data[[#This Row],[approach]]="evoavalla"),data[[#This Row],[asm_path]],"")</f>
        <v/>
      </c>
      <c r="W52" s="3" t="str">
        <f>IF(AND(data[[#This Row],[status]]="OK",data[[#This Row],[approach]]="atgt"),data[[#This Row],[asm_path]],"")</f>
        <v/>
      </c>
      <c r="X52" s="3" t="b">
        <f>COUNTIF(W:W,data[[#This Row],[path_ok_status_evoavalla]]) = 1</f>
        <v>0</v>
      </c>
    </row>
    <row r="53" spans="1:24" x14ac:dyDescent="0.25">
      <c r="A53" t="s">
        <v>819</v>
      </c>
      <c r="B53" t="s">
        <v>820</v>
      </c>
      <c r="C53" t="s">
        <v>618</v>
      </c>
      <c r="D53" t="s">
        <v>643</v>
      </c>
      <c r="E53" t="s">
        <v>636</v>
      </c>
      <c r="F53" t="s">
        <v>690</v>
      </c>
      <c r="G53" t="s">
        <v>821</v>
      </c>
      <c r="H53" t="s">
        <v>623</v>
      </c>
      <c r="I53" t="s">
        <v>638</v>
      </c>
      <c r="J53" t="s">
        <v>632</v>
      </c>
      <c r="K53" s="2" t="s">
        <v>620</v>
      </c>
      <c r="L53" s="2" t="s">
        <v>620</v>
      </c>
      <c r="M53" s="2" t="s">
        <v>620</v>
      </c>
      <c r="N53" s="2" t="s">
        <v>620</v>
      </c>
      <c r="O53" t="s">
        <v>639</v>
      </c>
      <c r="P53" t="s">
        <v>639</v>
      </c>
      <c r="Q53" t="s">
        <v>639</v>
      </c>
      <c r="R53" t="s">
        <v>639</v>
      </c>
      <c r="S53" t="s">
        <v>639</v>
      </c>
      <c r="T53" t="s">
        <v>620</v>
      </c>
      <c r="U53" t="s">
        <v>620</v>
      </c>
      <c r="V53" s="3" t="str">
        <f>IF(AND(data[[#This Row],[status]]="OK",data[[#This Row],[approach]]="evoavalla"),data[[#This Row],[asm_path]],"")</f>
        <v/>
      </c>
      <c r="W53" s="3" t="str">
        <f>IF(AND(data[[#This Row],[status]]="OK",data[[#This Row],[approach]]="atgt"),data[[#This Row],[asm_path]],"")</f>
        <v/>
      </c>
      <c r="X53" s="3" t="b">
        <f>COUNTIF(W:W,data[[#This Row],[path_ok_status_evoavalla]]) = 1</f>
        <v>0</v>
      </c>
    </row>
    <row r="54" spans="1:24" x14ac:dyDescent="0.25">
      <c r="A54" t="s">
        <v>822</v>
      </c>
      <c r="B54" t="s">
        <v>823</v>
      </c>
      <c r="C54" t="s">
        <v>682</v>
      </c>
      <c r="D54" t="s">
        <v>635</v>
      </c>
      <c r="E54" t="s">
        <v>620</v>
      </c>
      <c r="F54" t="s">
        <v>636</v>
      </c>
      <c r="G54" t="s">
        <v>683</v>
      </c>
      <c r="H54" t="s">
        <v>623</v>
      </c>
      <c r="I54" t="s">
        <v>638</v>
      </c>
      <c r="J54" t="s">
        <v>632</v>
      </c>
      <c r="K54" s="2" t="s">
        <v>620</v>
      </c>
      <c r="L54" s="2" t="s">
        <v>620</v>
      </c>
      <c r="M54" s="2" t="s">
        <v>620</v>
      </c>
      <c r="N54" s="2" t="s">
        <v>620</v>
      </c>
      <c r="O54" t="s">
        <v>639</v>
      </c>
      <c r="P54" t="s">
        <v>639</v>
      </c>
      <c r="Q54" t="s">
        <v>639</v>
      </c>
      <c r="R54" t="s">
        <v>639</v>
      </c>
      <c r="S54" t="s">
        <v>639</v>
      </c>
      <c r="T54" t="s">
        <v>620</v>
      </c>
      <c r="U54" t="s">
        <v>620</v>
      </c>
      <c r="V54" s="3" t="str">
        <f>IF(AND(data[[#This Row],[status]]="OK",data[[#This Row],[approach]]="evoavalla"),data[[#This Row],[asm_path]],"")</f>
        <v/>
      </c>
      <c r="W54" s="3" t="str">
        <f>IF(AND(data[[#This Row],[status]]="OK",data[[#This Row],[approach]]="atgt"),data[[#This Row],[asm_path]],"")</f>
        <v/>
      </c>
      <c r="X54" s="3" t="b">
        <f>COUNTIF(W:W,data[[#This Row],[path_ok_status_evoavalla]]) = 1</f>
        <v>0</v>
      </c>
    </row>
    <row r="55" spans="1:24" x14ac:dyDescent="0.25">
      <c r="A55" t="s">
        <v>824</v>
      </c>
      <c r="B55" t="s">
        <v>825</v>
      </c>
      <c r="C55" t="s">
        <v>637</v>
      </c>
      <c r="D55" t="s">
        <v>826</v>
      </c>
      <c r="E55" t="s">
        <v>636</v>
      </c>
      <c r="F55" t="s">
        <v>717</v>
      </c>
      <c r="G55" t="s">
        <v>668</v>
      </c>
      <c r="H55" t="s">
        <v>623</v>
      </c>
      <c r="I55" t="s">
        <v>638</v>
      </c>
      <c r="J55" t="s">
        <v>632</v>
      </c>
      <c r="K55" s="2" t="s">
        <v>620</v>
      </c>
      <c r="L55" s="2" t="s">
        <v>620</v>
      </c>
      <c r="M55" s="2" t="s">
        <v>620</v>
      </c>
      <c r="N55" s="2" t="s">
        <v>620</v>
      </c>
      <c r="O55" t="s">
        <v>639</v>
      </c>
      <c r="P55" t="s">
        <v>639</v>
      </c>
      <c r="Q55" t="s">
        <v>639</v>
      </c>
      <c r="R55" t="s">
        <v>639</v>
      </c>
      <c r="S55" t="s">
        <v>639</v>
      </c>
      <c r="T55" t="s">
        <v>620</v>
      </c>
      <c r="U55" t="s">
        <v>620</v>
      </c>
      <c r="V55" s="3" t="str">
        <f>IF(AND(data[[#This Row],[status]]="OK",data[[#This Row],[approach]]="evoavalla"),data[[#This Row],[asm_path]],"")</f>
        <v/>
      </c>
      <c r="W55" s="3" t="str">
        <f>IF(AND(data[[#This Row],[status]]="OK",data[[#This Row],[approach]]="atgt"),data[[#This Row],[asm_path]],"")</f>
        <v/>
      </c>
      <c r="X55" s="3" t="b">
        <f>COUNTIF(W:W,data[[#This Row],[path_ok_status_evoavalla]]) = 1</f>
        <v>0</v>
      </c>
    </row>
    <row r="56" spans="1:24" x14ac:dyDescent="0.25">
      <c r="A56" t="s">
        <v>827</v>
      </c>
      <c r="B56" t="s">
        <v>828</v>
      </c>
      <c r="C56" t="s">
        <v>636</v>
      </c>
      <c r="D56" t="s">
        <v>636</v>
      </c>
      <c r="E56" t="s">
        <v>620</v>
      </c>
      <c r="F56" t="s">
        <v>620</v>
      </c>
      <c r="G56" t="s">
        <v>636</v>
      </c>
      <c r="H56" t="s">
        <v>623</v>
      </c>
      <c r="I56" t="s">
        <v>638</v>
      </c>
      <c r="J56" t="s">
        <v>632</v>
      </c>
      <c r="K56" s="2" t="s">
        <v>620</v>
      </c>
      <c r="L56" s="2" t="s">
        <v>620</v>
      </c>
      <c r="M56" s="2" t="s">
        <v>620</v>
      </c>
      <c r="N56" s="2" t="s">
        <v>620</v>
      </c>
      <c r="O56" t="s">
        <v>639</v>
      </c>
      <c r="P56" t="s">
        <v>639</v>
      </c>
      <c r="Q56" t="s">
        <v>639</v>
      </c>
      <c r="R56" t="s">
        <v>639</v>
      </c>
      <c r="S56" t="s">
        <v>639</v>
      </c>
      <c r="T56" t="s">
        <v>620</v>
      </c>
      <c r="U56" t="s">
        <v>620</v>
      </c>
      <c r="V56" s="3" t="str">
        <f>IF(AND(data[[#This Row],[status]]="OK",data[[#This Row],[approach]]="evoavalla"),data[[#This Row],[asm_path]],"")</f>
        <v/>
      </c>
      <c r="W56" s="3" t="str">
        <f>IF(AND(data[[#This Row],[status]]="OK",data[[#This Row],[approach]]="atgt"),data[[#This Row],[asm_path]],"")</f>
        <v/>
      </c>
      <c r="X56" s="3" t="b">
        <f>COUNTIF(W:W,data[[#This Row],[path_ok_status_evoavalla]]) = 1</f>
        <v>0</v>
      </c>
    </row>
    <row r="57" spans="1:24" x14ac:dyDescent="0.25">
      <c r="A57" t="s">
        <v>829</v>
      </c>
      <c r="B57" t="s">
        <v>830</v>
      </c>
      <c r="C57" t="s">
        <v>618</v>
      </c>
      <c r="D57" t="s">
        <v>745</v>
      </c>
      <c r="E57" t="s">
        <v>620</v>
      </c>
      <c r="F57" t="s">
        <v>761</v>
      </c>
      <c r="G57" t="s">
        <v>831</v>
      </c>
      <c r="H57" t="s">
        <v>623</v>
      </c>
      <c r="I57" t="s">
        <v>624</v>
      </c>
      <c r="J57" t="s">
        <v>832</v>
      </c>
      <c r="K57" s="2" t="s">
        <v>664</v>
      </c>
      <c r="L57" s="2" t="s">
        <v>642</v>
      </c>
      <c r="M57" s="2" t="s">
        <v>626</v>
      </c>
      <c r="N57" s="2" t="s">
        <v>833</v>
      </c>
      <c r="O57" t="s">
        <v>630</v>
      </c>
      <c r="P57" t="s">
        <v>834</v>
      </c>
      <c r="Q57" t="s">
        <v>632</v>
      </c>
      <c r="R57" t="s">
        <v>630</v>
      </c>
      <c r="S57" t="s">
        <v>630</v>
      </c>
      <c r="T57" t="s">
        <v>620</v>
      </c>
      <c r="U57" t="s">
        <v>620</v>
      </c>
      <c r="V57" s="3" t="str">
        <f>IF(AND(data[[#This Row],[status]]="OK",data[[#This Row],[approach]]="evoavalla"),data[[#This Row],[asm_path]],"")</f>
        <v>../../../asm_examples/stereoacuity/certifierRaff3.asm</v>
      </c>
      <c r="W57" s="3" t="str">
        <f>IF(AND(data[[#This Row],[status]]="OK",data[[#This Row],[approach]]="atgt"),data[[#This Row],[asm_path]],"")</f>
        <v/>
      </c>
      <c r="X57" s="3" t="b">
        <f>COUNTIF(W:W,data[[#This Row],[path_ok_status_evoavalla]]) = 1</f>
        <v>1</v>
      </c>
    </row>
    <row r="58" spans="1:24" x14ac:dyDescent="0.25">
      <c r="A58" t="s">
        <v>835</v>
      </c>
      <c r="B58" t="s">
        <v>836</v>
      </c>
      <c r="C58" t="s">
        <v>837</v>
      </c>
      <c r="D58" t="s">
        <v>838</v>
      </c>
      <c r="E58" t="s">
        <v>620</v>
      </c>
      <c r="F58" t="s">
        <v>799</v>
      </c>
      <c r="G58" t="s">
        <v>839</v>
      </c>
      <c r="H58" t="s">
        <v>623</v>
      </c>
      <c r="I58" t="s">
        <v>624</v>
      </c>
      <c r="J58" t="s">
        <v>840</v>
      </c>
      <c r="K58" s="2" t="s">
        <v>841</v>
      </c>
      <c r="L58" s="2" t="s">
        <v>678</v>
      </c>
      <c r="M58" s="2" t="s">
        <v>842</v>
      </c>
      <c r="N58" s="2" t="s">
        <v>843</v>
      </c>
      <c r="O58" t="s">
        <v>630</v>
      </c>
      <c r="P58" t="s">
        <v>844</v>
      </c>
      <c r="Q58" t="s">
        <v>632</v>
      </c>
      <c r="R58" t="s">
        <v>845</v>
      </c>
      <c r="S58" t="s">
        <v>846</v>
      </c>
      <c r="T58" t="s">
        <v>620</v>
      </c>
      <c r="U58" t="s">
        <v>620</v>
      </c>
      <c r="V58" s="3" t="str">
        <f>IF(AND(data[[#This Row],[status]]="OK",data[[#This Row],[approach]]="evoavalla"),data[[#This Row],[asm_path]],"")</f>
        <v>../../../asm_examples/PHD/phd_master_flat2_v3.asm</v>
      </c>
      <c r="W58" s="3" t="str">
        <f>IF(AND(data[[#This Row],[status]]="OK",data[[#This Row],[approach]]="atgt"),data[[#This Row],[asm_path]],"")</f>
        <v/>
      </c>
      <c r="X58" s="3" t="b">
        <f>COUNTIF(W:W,data[[#This Row],[path_ok_status_evoavalla]]) = 1</f>
        <v>1</v>
      </c>
    </row>
    <row r="59" spans="1:24" x14ac:dyDescent="0.25">
      <c r="A59" t="s">
        <v>847</v>
      </c>
      <c r="B59" t="s">
        <v>848</v>
      </c>
      <c r="C59" t="s">
        <v>677</v>
      </c>
      <c r="D59" t="s">
        <v>697</v>
      </c>
      <c r="E59" t="s">
        <v>637</v>
      </c>
      <c r="F59" t="s">
        <v>741</v>
      </c>
      <c r="G59" t="s">
        <v>849</v>
      </c>
      <c r="H59" t="s">
        <v>623</v>
      </c>
      <c r="I59" t="s">
        <v>638</v>
      </c>
      <c r="J59" t="s">
        <v>632</v>
      </c>
      <c r="K59" s="2" t="s">
        <v>620</v>
      </c>
      <c r="L59" s="2" t="s">
        <v>620</v>
      </c>
      <c r="M59" s="2" t="s">
        <v>620</v>
      </c>
      <c r="N59" s="2" t="s">
        <v>620</v>
      </c>
      <c r="O59" t="s">
        <v>639</v>
      </c>
      <c r="P59" t="s">
        <v>639</v>
      </c>
      <c r="Q59" t="s">
        <v>639</v>
      </c>
      <c r="R59" t="s">
        <v>639</v>
      </c>
      <c r="S59" t="s">
        <v>639</v>
      </c>
      <c r="T59" t="s">
        <v>620</v>
      </c>
      <c r="U59" t="s">
        <v>620</v>
      </c>
      <c r="V59" s="3" t="str">
        <f>IF(AND(data[[#This Row],[status]]="OK",data[[#This Row],[approach]]="evoavalla"),data[[#This Row],[asm_path]],"")</f>
        <v/>
      </c>
      <c r="W59" s="3" t="str">
        <f>IF(AND(data[[#This Row],[status]]="OK",data[[#This Row],[approach]]="atgt"),data[[#This Row],[asm_path]],"")</f>
        <v/>
      </c>
      <c r="X59" s="3" t="b">
        <f>COUNTIF(W:W,data[[#This Row],[path_ok_status_evoavalla]]) = 1</f>
        <v>0</v>
      </c>
    </row>
    <row r="60" spans="1:24" x14ac:dyDescent="0.25">
      <c r="A60" t="s">
        <v>850</v>
      </c>
      <c r="B60" t="s">
        <v>661</v>
      </c>
      <c r="C60" t="s">
        <v>635</v>
      </c>
      <c r="D60" t="s">
        <v>635</v>
      </c>
      <c r="E60" t="s">
        <v>636</v>
      </c>
      <c r="F60" t="s">
        <v>626</v>
      </c>
      <c r="G60" t="s">
        <v>643</v>
      </c>
      <c r="H60" t="s">
        <v>623</v>
      </c>
      <c r="I60" t="s">
        <v>638</v>
      </c>
      <c r="J60" t="s">
        <v>632</v>
      </c>
      <c r="K60" s="2" t="s">
        <v>620</v>
      </c>
      <c r="L60" s="2" t="s">
        <v>620</v>
      </c>
      <c r="M60" s="2" t="s">
        <v>620</v>
      </c>
      <c r="N60" s="2" t="s">
        <v>620</v>
      </c>
      <c r="O60" t="s">
        <v>639</v>
      </c>
      <c r="P60" t="s">
        <v>639</v>
      </c>
      <c r="Q60" t="s">
        <v>639</v>
      </c>
      <c r="R60" t="s">
        <v>639</v>
      </c>
      <c r="S60" t="s">
        <v>639</v>
      </c>
      <c r="T60" t="s">
        <v>620</v>
      </c>
      <c r="U60" t="s">
        <v>620</v>
      </c>
      <c r="V60" s="3" t="str">
        <f>IF(AND(data[[#This Row],[status]]="OK",data[[#This Row],[approach]]="evoavalla"),data[[#This Row],[asm_path]],"")</f>
        <v/>
      </c>
      <c r="W60" s="3" t="str">
        <f>IF(AND(data[[#This Row],[status]]="OK",data[[#This Row],[approach]]="atgt"),data[[#This Row],[asm_path]],"")</f>
        <v/>
      </c>
      <c r="X60" s="3" t="b">
        <f>COUNTIF(W:W,data[[#This Row],[path_ok_status_evoavalla]]) = 1</f>
        <v>0</v>
      </c>
    </row>
    <row r="61" spans="1:24" x14ac:dyDescent="0.25">
      <c r="A61" t="s">
        <v>851</v>
      </c>
      <c r="B61" t="s">
        <v>852</v>
      </c>
      <c r="C61" t="s">
        <v>637</v>
      </c>
      <c r="D61" t="s">
        <v>619</v>
      </c>
      <c r="E61" t="s">
        <v>620</v>
      </c>
      <c r="F61" t="s">
        <v>690</v>
      </c>
      <c r="G61" t="s">
        <v>831</v>
      </c>
      <c r="H61" t="s">
        <v>623</v>
      </c>
      <c r="I61" t="s">
        <v>624</v>
      </c>
      <c r="J61" t="s">
        <v>853</v>
      </c>
      <c r="K61" s="2" t="s">
        <v>626</v>
      </c>
      <c r="L61" s="2" t="s">
        <v>745</v>
      </c>
      <c r="M61" s="2" t="s">
        <v>690</v>
      </c>
      <c r="N61" s="2" t="s">
        <v>678</v>
      </c>
      <c r="O61" t="s">
        <v>630</v>
      </c>
      <c r="P61" t="s">
        <v>630</v>
      </c>
      <c r="Q61" t="s">
        <v>632</v>
      </c>
      <c r="R61" t="s">
        <v>854</v>
      </c>
      <c r="S61" t="s">
        <v>630</v>
      </c>
      <c r="T61" t="s">
        <v>620</v>
      </c>
      <c r="U61" t="s">
        <v>620</v>
      </c>
      <c r="V61" s="3" t="str">
        <f>IF(AND(data[[#This Row],[status]]="OK",data[[#This Row],[approach]]="evoavalla"),data[[#This Row],[asm_path]],"")</f>
        <v>../../../asm_examples/PillBox/Level0/pillbox_0.asm</v>
      </c>
      <c r="W61" s="3" t="str">
        <f>IF(AND(data[[#This Row],[status]]="OK",data[[#This Row],[approach]]="atgt"),data[[#This Row],[asm_path]],"")</f>
        <v/>
      </c>
      <c r="X61" s="3" t="b">
        <f>COUNTIF(W:W,data[[#This Row],[path_ok_status_evoavalla]]) = 1</f>
        <v>1</v>
      </c>
    </row>
    <row r="62" spans="1:24" x14ac:dyDescent="0.25">
      <c r="A62" t="s">
        <v>855</v>
      </c>
      <c r="B62" t="s">
        <v>856</v>
      </c>
      <c r="C62" t="s">
        <v>683</v>
      </c>
      <c r="D62" t="s">
        <v>857</v>
      </c>
      <c r="E62" t="s">
        <v>620</v>
      </c>
      <c r="F62" t="s">
        <v>619</v>
      </c>
      <c r="G62" t="s">
        <v>858</v>
      </c>
      <c r="H62" t="s">
        <v>623</v>
      </c>
      <c r="I62" t="s">
        <v>624</v>
      </c>
      <c r="J62" t="s">
        <v>859</v>
      </c>
      <c r="K62" s="2" t="s">
        <v>736</v>
      </c>
      <c r="L62" s="2" t="s">
        <v>860</v>
      </c>
      <c r="M62" s="2" t="s">
        <v>649</v>
      </c>
      <c r="N62" s="2" t="s">
        <v>861</v>
      </c>
      <c r="O62" t="s">
        <v>630</v>
      </c>
      <c r="P62" t="s">
        <v>862</v>
      </c>
      <c r="Q62" t="s">
        <v>632</v>
      </c>
      <c r="R62" t="s">
        <v>863</v>
      </c>
      <c r="S62" t="s">
        <v>864</v>
      </c>
      <c r="T62" t="s">
        <v>620</v>
      </c>
      <c r="U62" t="s">
        <v>620</v>
      </c>
      <c r="V62" s="3" t="str">
        <f>IF(AND(data[[#This Row],[status]]="OK",data[[#This Row],[approach]]="evoavalla"),data[[#This Row],[asm_path]],"")</f>
        <v>../../../asm_examples/PHD/phd_master_flat2_v7.asm</v>
      </c>
      <c r="W62" s="3" t="str">
        <f>IF(AND(data[[#This Row],[status]]="OK",data[[#This Row],[approach]]="atgt"),data[[#This Row],[asm_path]],"")</f>
        <v/>
      </c>
      <c r="X62" s="3" t="b">
        <f>COUNTIF(W:W,data[[#This Row],[path_ok_status_evoavalla]]) = 1</f>
        <v>1</v>
      </c>
    </row>
    <row r="63" spans="1:24" x14ac:dyDescent="0.25">
      <c r="A63" t="s">
        <v>865</v>
      </c>
      <c r="B63" t="s">
        <v>866</v>
      </c>
      <c r="C63" t="s">
        <v>621</v>
      </c>
      <c r="D63" t="s">
        <v>618</v>
      </c>
      <c r="E63" t="s">
        <v>620</v>
      </c>
      <c r="F63" t="s">
        <v>761</v>
      </c>
      <c r="G63" t="s">
        <v>781</v>
      </c>
      <c r="H63" t="s">
        <v>623</v>
      </c>
      <c r="I63" t="s">
        <v>638</v>
      </c>
      <c r="J63" t="s">
        <v>632</v>
      </c>
      <c r="K63" s="2" t="s">
        <v>620</v>
      </c>
      <c r="L63" s="2" t="s">
        <v>620</v>
      </c>
      <c r="M63" s="2" t="s">
        <v>620</v>
      </c>
      <c r="N63" s="2" t="s">
        <v>620</v>
      </c>
      <c r="O63" t="s">
        <v>639</v>
      </c>
      <c r="P63" t="s">
        <v>639</v>
      </c>
      <c r="Q63" t="s">
        <v>639</v>
      </c>
      <c r="R63" t="s">
        <v>639</v>
      </c>
      <c r="S63" t="s">
        <v>639</v>
      </c>
      <c r="T63" t="s">
        <v>620</v>
      </c>
      <c r="U63" t="s">
        <v>620</v>
      </c>
      <c r="V63" s="3" t="str">
        <f>IF(AND(data[[#This Row],[status]]="OK",data[[#This Row],[approach]]="evoavalla"),data[[#This Row],[asm_path]],"")</f>
        <v/>
      </c>
      <c r="W63" s="3" t="str">
        <f>IF(AND(data[[#This Row],[status]]="OK",data[[#This Row],[approach]]="atgt"),data[[#This Row],[asm_path]],"")</f>
        <v/>
      </c>
      <c r="X63" s="3" t="b">
        <f>COUNTIF(W:W,data[[#This Row],[path_ok_status_evoavalla]]) = 1</f>
        <v>0</v>
      </c>
    </row>
    <row r="64" spans="1:24" x14ac:dyDescent="0.25">
      <c r="A64" t="s">
        <v>867</v>
      </c>
      <c r="B64" t="s">
        <v>868</v>
      </c>
      <c r="C64" t="s">
        <v>635</v>
      </c>
      <c r="D64" t="s">
        <v>635</v>
      </c>
      <c r="E64" t="s">
        <v>636</v>
      </c>
      <c r="F64" t="s">
        <v>626</v>
      </c>
      <c r="G64" t="s">
        <v>637</v>
      </c>
      <c r="H64" t="s">
        <v>623</v>
      </c>
      <c r="I64" t="s">
        <v>638</v>
      </c>
      <c r="J64" t="s">
        <v>632</v>
      </c>
      <c r="K64" s="2" t="s">
        <v>620</v>
      </c>
      <c r="L64" s="2" t="s">
        <v>620</v>
      </c>
      <c r="M64" s="2" t="s">
        <v>620</v>
      </c>
      <c r="N64" s="2" t="s">
        <v>620</v>
      </c>
      <c r="O64" t="s">
        <v>639</v>
      </c>
      <c r="P64" t="s">
        <v>639</v>
      </c>
      <c r="Q64" t="s">
        <v>639</v>
      </c>
      <c r="R64" t="s">
        <v>639</v>
      </c>
      <c r="S64" t="s">
        <v>639</v>
      </c>
      <c r="T64" t="s">
        <v>620</v>
      </c>
      <c r="U64" t="s">
        <v>620</v>
      </c>
      <c r="V64" s="3" t="str">
        <f>IF(AND(data[[#This Row],[status]]="OK",data[[#This Row],[approach]]="evoavalla"),data[[#This Row],[asm_path]],"")</f>
        <v/>
      </c>
      <c r="W64" s="3" t="str">
        <f>IF(AND(data[[#This Row],[status]]="OK",data[[#This Row],[approach]]="atgt"),data[[#This Row],[asm_path]],"")</f>
        <v/>
      </c>
      <c r="X64" s="3" t="b">
        <f>COUNTIF(W:W,data[[#This Row],[path_ok_status_evoavalla]]) = 1</f>
        <v>0</v>
      </c>
    </row>
    <row r="65" spans="1:24" x14ac:dyDescent="0.25">
      <c r="A65" t="s">
        <v>869</v>
      </c>
      <c r="B65" t="s">
        <v>870</v>
      </c>
      <c r="C65" t="s">
        <v>677</v>
      </c>
      <c r="D65" t="s">
        <v>735</v>
      </c>
      <c r="E65" t="s">
        <v>621</v>
      </c>
      <c r="F65" t="s">
        <v>871</v>
      </c>
      <c r="G65" t="s">
        <v>872</v>
      </c>
      <c r="H65" t="s">
        <v>623</v>
      </c>
      <c r="I65" t="s">
        <v>638</v>
      </c>
      <c r="J65" t="s">
        <v>632</v>
      </c>
      <c r="K65" s="2" t="s">
        <v>620</v>
      </c>
      <c r="L65" s="2" t="s">
        <v>620</v>
      </c>
      <c r="M65" s="2" t="s">
        <v>620</v>
      </c>
      <c r="N65" s="2" t="s">
        <v>620</v>
      </c>
      <c r="O65" t="s">
        <v>639</v>
      </c>
      <c r="P65" t="s">
        <v>639</v>
      </c>
      <c r="Q65" t="s">
        <v>639</v>
      </c>
      <c r="R65" t="s">
        <v>639</v>
      </c>
      <c r="S65" t="s">
        <v>639</v>
      </c>
      <c r="T65" t="s">
        <v>620</v>
      </c>
      <c r="U65" t="s">
        <v>620</v>
      </c>
      <c r="V65" s="3" t="str">
        <f>IF(AND(data[[#This Row],[status]]="OK",data[[#This Row],[approach]]="evoavalla"),data[[#This Row],[asm_path]],"")</f>
        <v/>
      </c>
      <c r="W65" s="3" t="str">
        <f>IF(AND(data[[#This Row],[status]]="OK",data[[#This Row],[approach]]="atgt"),data[[#This Row],[asm_path]],"")</f>
        <v/>
      </c>
      <c r="X65" s="3" t="b">
        <f>COUNTIF(W:W,data[[#This Row],[path_ok_status_evoavalla]]) = 1</f>
        <v>0</v>
      </c>
    </row>
    <row r="66" spans="1:24" x14ac:dyDescent="0.25">
      <c r="A66" t="s">
        <v>873</v>
      </c>
      <c r="B66" t="s">
        <v>874</v>
      </c>
      <c r="C66" t="s">
        <v>669</v>
      </c>
      <c r="D66" t="s">
        <v>875</v>
      </c>
      <c r="E66" t="s">
        <v>745</v>
      </c>
      <c r="F66" t="s">
        <v>871</v>
      </c>
      <c r="G66" t="s">
        <v>876</v>
      </c>
      <c r="H66" t="s">
        <v>623</v>
      </c>
      <c r="I66" t="s">
        <v>638</v>
      </c>
      <c r="J66" t="s">
        <v>632</v>
      </c>
      <c r="K66" s="2" t="s">
        <v>620</v>
      </c>
      <c r="L66" s="2" t="s">
        <v>620</v>
      </c>
      <c r="M66" s="2" t="s">
        <v>620</v>
      </c>
      <c r="N66" s="2" t="s">
        <v>620</v>
      </c>
      <c r="O66" t="s">
        <v>639</v>
      </c>
      <c r="P66" t="s">
        <v>639</v>
      </c>
      <c r="Q66" t="s">
        <v>639</v>
      </c>
      <c r="R66" t="s">
        <v>639</v>
      </c>
      <c r="S66" t="s">
        <v>639</v>
      </c>
      <c r="T66" t="s">
        <v>620</v>
      </c>
      <c r="U66" t="s">
        <v>620</v>
      </c>
      <c r="V66" s="3" t="str">
        <f>IF(AND(data[[#This Row],[status]]="OK",data[[#This Row],[approach]]="evoavalla"),data[[#This Row],[asm_path]],"")</f>
        <v/>
      </c>
      <c r="W66" s="3" t="str">
        <f>IF(AND(data[[#This Row],[status]]="OK",data[[#This Row],[approach]]="atgt"),data[[#This Row],[asm_path]],"")</f>
        <v/>
      </c>
      <c r="X66" s="3" t="b">
        <f>COUNTIF(W:W,data[[#This Row],[path_ok_status_evoavalla]]) = 1</f>
        <v>0</v>
      </c>
    </row>
    <row r="67" spans="1:24" x14ac:dyDescent="0.25">
      <c r="A67" t="s">
        <v>877</v>
      </c>
      <c r="B67" t="s">
        <v>878</v>
      </c>
      <c r="C67" t="s">
        <v>635</v>
      </c>
      <c r="D67" t="s">
        <v>664</v>
      </c>
      <c r="E67" t="s">
        <v>620</v>
      </c>
      <c r="F67" t="s">
        <v>682</v>
      </c>
      <c r="G67" t="s">
        <v>621</v>
      </c>
      <c r="H67" t="s">
        <v>623</v>
      </c>
      <c r="I67" t="s">
        <v>638</v>
      </c>
      <c r="J67" t="s">
        <v>632</v>
      </c>
      <c r="K67" s="2" t="s">
        <v>620</v>
      </c>
      <c r="L67" s="2" t="s">
        <v>620</v>
      </c>
      <c r="M67" s="2" t="s">
        <v>620</v>
      </c>
      <c r="N67" s="2" t="s">
        <v>620</v>
      </c>
      <c r="O67" t="s">
        <v>639</v>
      </c>
      <c r="P67" t="s">
        <v>639</v>
      </c>
      <c r="Q67" t="s">
        <v>639</v>
      </c>
      <c r="R67" t="s">
        <v>639</v>
      </c>
      <c r="S67" t="s">
        <v>639</v>
      </c>
      <c r="T67" t="s">
        <v>620</v>
      </c>
      <c r="U67" t="s">
        <v>620</v>
      </c>
      <c r="V67" s="3" t="str">
        <f>IF(AND(data[[#This Row],[status]]="OK",data[[#This Row],[approach]]="evoavalla"),data[[#This Row],[asm_path]],"")</f>
        <v/>
      </c>
      <c r="W67" s="3" t="str">
        <f>IF(AND(data[[#This Row],[status]]="OK",data[[#This Row],[approach]]="atgt"),data[[#This Row],[asm_path]],"")</f>
        <v/>
      </c>
      <c r="X67" s="3" t="b">
        <f>COUNTIF(W:W,data[[#This Row],[path_ok_status_evoavalla]]) = 1</f>
        <v>0</v>
      </c>
    </row>
    <row r="68" spans="1:24" x14ac:dyDescent="0.25">
      <c r="A68" t="s">
        <v>879</v>
      </c>
      <c r="B68" t="s">
        <v>880</v>
      </c>
      <c r="C68" t="s">
        <v>635</v>
      </c>
      <c r="D68" t="s">
        <v>682</v>
      </c>
      <c r="E68" t="s">
        <v>636</v>
      </c>
      <c r="F68" t="s">
        <v>682</v>
      </c>
      <c r="G68" t="s">
        <v>637</v>
      </c>
      <c r="H68" t="s">
        <v>623</v>
      </c>
      <c r="I68" t="s">
        <v>638</v>
      </c>
      <c r="J68" t="s">
        <v>632</v>
      </c>
      <c r="K68" s="2" t="s">
        <v>620</v>
      </c>
      <c r="L68" s="2" t="s">
        <v>620</v>
      </c>
      <c r="M68" s="2" t="s">
        <v>620</v>
      </c>
      <c r="N68" s="2" t="s">
        <v>620</v>
      </c>
      <c r="O68" t="s">
        <v>639</v>
      </c>
      <c r="P68" t="s">
        <v>639</v>
      </c>
      <c r="Q68" t="s">
        <v>639</v>
      </c>
      <c r="R68" t="s">
        <v>639</v>
      </c>
      <c r="S68" t="s">
        <v>639</v>
      </c>
      <c r="T68" t="s">
        <v>620</v>
      </c>
      <c r="U68" t="s">
        <v>620</v>
      </c>
      <c r="V68" s="3" t="str">
        <f>IF(AND(data[[#This Row],[status]]="OK",data[[#This Row],[approach]]="evoavalla"),data[[#This Row],[asm_path]],"")</f>
        <v/>
      </c>
      <c r="W68" s="3" t="str">
        <f>IF(AND(data[[#This Row],[status]]="OK",data[[#This Row],[approach]]="atgt"),data[[#This Row],[asm_path]],"")</f>
        <v/>
      </c>
      <c r="X68" s="3" t="b">
        <f>COUNTIF(W:W,data[[#This Row],[path_ok_status_evoavalla]]) = 1</f>
        <v>0</v>
      </c>
    </row>
    <row r="69" spans="1:24" x14ac:dyDescent="0.25">
      <c r="A69" t="s">
        <v>881</v>
      </c>
      <c r="B69" t="s">
        <v>882</v>
      </c>
      <c r="C69" t="s">
        <v>664</v>
      </c>
      <c r="D69" t="s">
        <v>628</v>
      </c>
      <c r="E69" t="s">
        <v>620</v>
      </c>
      <c r="F69" t="s">
        <v>626</v>
      </c>
      <c r="G69" t="s">
        <v>627</v>
      </c>
      <c r="H69" t="s">
        <v>623</v>
      </c>
      <c r="I69" t="s">
        <v>638</v>
      </c>
      <c r="J69" t="s">
        <v>632</v>
      </c>
      <c r="K69" s="2" t="s">
        <v>620</v>
      </c>
      <c r="L69" s="2" t="s">
        <v>620</v>
      </c>
      <c r="M69" s="2" t="s">
        <v>620</v>
      </c>
      <c r="N69" s="2" t="s">
        <v>620</v>
      </c>
      <c r="O69" t="s">
        <v>639</v>
      </c>
      <c r="P69" t="s">
        <v>639</v>
      </c>
      <c r="Q69" t="s">
        <v>639</v>
      </c>
      <c r="R69" t="s">
        <v>639</v>
      </c>
      <c r="S69" t="s">
        <v>639</v>
      </c>
      <c r="T69" t="s">
        <v>620</v>
      </c>
      <c r="U69" t="s">
        <v>620</v>
      </c>
      <c r="V69" s="3" t="str">
        <f>IF(AND(data[[#This Row],[status]]="OK",data[[#This Row],[approach]]="evoavalla"),data[[#This Row],[asm_path]],"")</f>
        <v/>
      </c>
      <c r="W69" s="3" t="str">
        <f>IF(AND(data[[#This Row],[status]]="OK",data[[#This Row],[approach]]="atgt"),data[[#This Row],[asm_path]],"")</f>
        <v/>
      </c>
      <c r="X69" s="3" t="b">
        <f>COUNTIF(W:W,data[[#This Row],[path_ok_status_evoavalla]]) = 1</f>
        <v>0</v>
      </c>
    </row>
    <row r="70" spans="1:24" x14ac:dyDescent="0.25">
      <c r="A70" t="s">
        <v>883</v>
      </c>
      <c r="B70" t="s">
        <v>884</v>
      </c>
      <c r="C70" t="s">
        <v>627</v>
      </c>
      <c r="D70" t="s">
        <v>675</v>
      </c>
      <c r="E70" t="s">
        <v>620</v>
      </c>
      <c r="F70" t="s">
        <v>690</v>
      </c>
      <c r="G70" t="s">
        <v>837</v>
      </c>
      <c r="H70" t="s">
        <v>623</v>
      </c>
      <c r="I70" t="s">
        <v>624</v>
      </c>
      <c r="J70" t="s">
        <v>885</v>
      </c>
      <c r="K70" s="2" t="s">
        <v>716</v>
      </c>
      <c r="L70" s="2" t="s">
        <v>886</v>
      </c>
      <c r="M70" s="2" t="s">
        <v>683</v>
      </c>
      <c r="N70" s="2" t="s">
        <v>887</v>
      </c>
      <c r="O70" t="s">
        <v>630</v>
      </c>
      <c r="P70" t="s">
        <v>888</v>
      </c>
      <c r="Q70" t="s">
        <v>632</v>
      </c>
      <c r="R70" t="s">
        <v>630</v>
      </c>
      <c r="S70" t="s">
        <v>630</v>
      </c>
      <c r="T70" t="s">
        <v>620</v>
      </c>
      <c r="U70" t="s">
        <v>620</v>
      </c>
      <c r="V70" s="3" t="str">
        <f>IF(AND(data[[#This Row],[status]]="OK",data[[#This Row],[approach]]="evoavalla"),data[[#This Row],[asm_path]],"")</f>
        <v>../../../asm_examples/stereoacuity/certifier_nochoose.asm</v>
      </c>
      <c r="W70" s="3" t="str">
        <f>IF(AND(data[[#This Row],[status]]="OK",data[[#This Row],[approach]]="atgt"),data[[#This Row],[asm_path]],"")</f>
        <v/>
      </c>
      <c r="X70" s="3" t="b">
        <f>COUNTIF(W:W,data[[#This Row],[path_ok_status_evoavalla]]) = 1</f>
        <v>1</v>
      </c>
    </row>
    <row r="71" spans="1:24" x14ac:dyDescent="0.25">
      <c r="A71" t="s">
        <v>889</v>
      </c>
      <c r="B71" t="s">
        <v>890</v>
      </c>
      <c r="C71" t="s">
        <v>635</v>
      </c>
      <c r="D71" t="s">
        <v>635</v>
      </c>
      <c r="E71" t="s">
        <v>620</v>
      </c>
      <c r="F71" t="s">
        <v>620</v>
      </c>
      <c r="G71" t="s">
        <v>761</v>
      </c>
      <c r="H71" t="s">
        <v>623</v>
      </c>
      <c r="I71" t="s">
        <v>638</v>
      </c>
      <c r="J71" t="s">
        <v>632</v>
      </c>
      <c r="K71" s="2" t="s">
        <v>620</v>
      </c>
      <c r="L71" s="2" t="s">
        <v>620</v>
      </c>
      <c r="M71" s="2" t="s">
        <v>620</v>
      </c>
      <c r="N71" s="2" t="s">
        <v>620</v>
      </c>
      <c r="O71" t="s">
        <v>639</v>
      </c>
      <c r="P71" t="s">
        <v>639</v>
      </c>
      <c r="Q71" t="s">
        <v>639</v>
      </c>
      <c r="R71" t="s">
        <v>639</v>
      </c>
      <c r="S71" t="s">
        <v>639</v>
      </c>
      <c r="T71" t="s">
        <v>620</v>
      </c>
      <c r="U71" t="s">
        <v>620</v>
      </c>
      <c r="V71" s="3" t="str">
        <f>IF(AND(data[[#This Row],[status]]="OK",data[[#This Row],[approach]]="evoavalla"),data[[#This Row],[asm_path]],"")</f>
        <v/>
      </c>
      <c r="W71" s="3" t="str">
        <f>IF(AND(data[[#This Row],[status]]="OK",data[[#This Row],[approach]]="atgt"),data[[#This Row],[asm_path]],"")</f>
        <v/>
      </c>
      <c r="X71" s="3" t="b">
        <f>COUNTIF(W:W,data[[#This Row],[path_ok_status_evoavalla]]) = 1</f>
        <v>0</v>
      </c>
    </row>
    <row r="72" spans="1:24" x14ac:dyDescent="0.25">
      <c r="A72" t="s">
        <v>891</v>
      </c>
      <c r="B72" t="s">
        <v>892</v>
      </c>
      <c r="C72" t="s">
        <v>635</v>
      </c>
      <c r="D72" t="s">
        <v>620</v>
      </c>
      <c r="E72" t="s">
        <v>636</v>
      </c>
      <c r="F72" t="s">
        <v>636</v>
      </c>
      <c r="G72" t="s">
        <v>635</v>
      </c>
      <c r="H72" t="s">
        <v>623</v>
      </c>
      <c r="I72" t="s">
        <v>638</v>
      </c>
      <c r="J72" t="s">
        <v>632</v>
      </c>
      <c r="K72" s="2" t="s">
        <v>620</v>
      </c>
      <c r="L72" s="2" t="s">
        <v>620</v>
      </c>
      <c r="M72" s="2" t="s">
        <v>620</v>
      </c>
      <c r="N72" s="2" t="s">
        <v>620</v>
      </c>
      <c r="O72" t="s">
        <v>639</v>
      </c>
      <c r="P72" t="s">
        <v>639</v>
      </c>
      <c r="Q72" t="s">
        <v>639</v>
      </c>
      <c r="R72" t="s">
        <v>639</v>
      </c>
      <c r="S72" t="s">
        <v>639</v>
      </c>
      <c r="T72" t="s">
        <v>620</v>
      </c>
      <c r="U72" t="s">
        <v>620</v>
      </c>
      <c r="V72" s="3" t="str">
        <f>IF(AND(data[[#This Row],[status]]="OK",data[[#This Row],[approach]]="evoavalla"),data[[#This Row],[asm_path]],"")</f>
        <v/>
      </c>
      <c r="W72" s="3" t="str">
        <f>IF(AND(data[[#This Row],[status]]="OK",data[[#This Row],[approach]]="atgt"),data[[#This Row],[asm_path]],"")</f>
        <v/>
      </c>
      <c r="X72" s="3" t="b">
        <f>COUNTIF(W:W,data[[#This Row],[path_ok_status_evoavalla]]) = 1</f>
        <v>0</v>
      </c>
    </row>
    <row r="73" spans="1:24" x14ac:dyDescent="0.25">
      <c r="A73" t="s">
        <v>893</v>
      </c>
      <c r="B73" t="s">
        <v>894</v>
      </c>
      <c r="C73" t="s">
        <v>636</v>
      </c>
      <c r="D73" t="s">
        <v>626</v>
      </c>
      <c r="E73" t="s">
        <v>620</v>
      </c>
      <c r="F73" t="s">
        <v>635</v>
      </c>
      <c r="G73" t="s">
        <v>683</v>
      </c>
      <c r="H73" t="s">
        <v>623</v>
      </c>
      <c r="I73" t="s">
        <v>624</v>
      </c>
      <c r="J73" t="s">
        <v>895</v>
      </c>
      <c r="K73" s="2" t="s">
        <v>636</v>
      </c>
      <c r="L73" s="2" t="s">
        <v>636</v>
      </c>
      <c r="M73" s="2" t="s">
        <v>636</v>
      </c>
      <c r="N73" s="2" t="s">
        <v>635</v>
      </c>
      <c r="O73" t="s">
        <v>630</v>
      </c>
      <c r="P73" t="s">
        <v>896</v>
      </c>
      <c r="Q73" t="s">
        <v>632</v>
      </c>
      <c r="R73" t="s">
        <v>897</v>
      </c>
      <c r="S73" t="s">
        <v>898</v>
      </c>
      <c r="T73" t="s">
        <v>620</v>
      </c>
      <c r="U73" t="s">
        <v>635</v>
      </c>
      <c r="V73" s="3" t="str">
        <f>IF(AND(data[[#This Row],[status]]="OK",data[[#This Row],[approach]]="evoavalla"),data[[#This Row],[asm_path]],"")</f>
        <v>../../../asm_examples/examples/carController.asm</v>
      </c>
      <c r="W73" s="3" t="str">
        <f>IF(AND(data[[#This Row],[status]]="OK",data[[#This Row],[approach]]="atgt"),data[[#This Row],[asm_path]],"")</f>
        <v/>
      </c>
      <c r="X73" s="3" t="b">
        <f>COUNTIF(W:W,data[[#This Row],[path_ok_status_evoavalla]]) = 1</f>
        <v>1</v>
      </c>
    </row>
    <row r="74" spans="1:24" x14ac:dyDescent="0.25">
      <c r="A74" t="s">
        <v>899</v>
      </c>
      <c r="B74" t="s">
        <v>900</v>
      </c>
      <c r="C74" t="s">
        <v>636</v>
      </c>
      <c r="D74" t="s">
        <v>716</v>
      </c>
      <c r="E74" t="s">
        <v>620</v>
      </c>
      <c r="F74" t="s">
        <v>635</v>
      </c>
      <c r="G74" t="s">
        <v>618</v>
      </c>
      <c r="H74" t="s">
        <v>623</v>
      </c>
      <c r="I74" t="s">
        <v>638</v>
      </c>
      <c r="J74" t="s">
        <v>632</v>
      </c>
      <c r="K74" s="2" t="s">
        <v>620</v>
      </c>
      <c r="L74" s="2" t="s">
        <v>620</v>
      </c>
      <c r="M74" s="2" t="s">
        <v>620</v>
      </c>
      <c r="N74" s="2" t="s">
        <v>620</v>
      </c>
      <c r="O74" t="s">
        <v>639</v>
      </c>
      <c r="P74" t="s">
        <v>639</v>
      </c>
      <c r="Q74" t="s">
        <v>639</v>
      </c>
      <c r="R74" t="s">
        <v>639</v>
      </c>
      <c r="S74" t="s">
        <v>639</v>
      </c>
      <c r="T74" t="s">
        <v>620</v>
      </c>
      <c r="U74" t="s">
        <v>620</v>
      </c>
      <c r="V74" s="3" t="str">
        <f>IF(AND(data[[#This Row],[status]]="OK",data[[#This Row],[approach]]="evoavalla"),data[[#This Row],[asm_path]],"")</f>
        <v/>
      </c>
      <c r="W74" s="3" t="str">
        <f>IF(AND(data[[#This Row],[status]]="OK",data[[#This Row],[approach]]="atgt"),data[[#This Row],[asm_path]],"")</f>
        <v/>
      </c>
      <c r="X74" s="3" t="b">
        <f>COUNTIF(W:W,data[[#This Row],[path_ok_status_evoavalla]]) = 1</f>
        <v>0</v>
      </c>
    </row>
    <row r="75" spans="1:24" x14ac:dyDescent="0.25">
      <c r="A75" t="s">
        <v>901</v>
      </c>
      <c r="B75" t="s">
        <v>902</v>
      </c>
      <c r="C75" t="s">
        <v>683</v>
      </c>
      <c r="D75" t="s">
        <v>621</v>
      </c>
      <c r="E75" t="s">
        <v>620</v>
      </c>
      <c r="F75" t="s">
        <v>683</v>
      </c>
      <c r="G75" t="s">
        <v>903</v>
      </c>
      <c r="H75" t="s">
        <v>623</v>
      </c>
      <c r="I75" t="s">
        <v>624</v>
      </c>
      <c r="J75" t="s">
        <v>904</v>
      </c>
      <c r="K75" s="2" t="s">
        <v>682</v>
      </c>
      <c r="L75" s="2" t="s">
        <v>628</v>
      </c>
      <c r="M75" s="2" t="s">
        <v>626</v>
      </c>
      <c r="N75" s="2" t="s">
        <v>644</v>
      </c>
      <c r="O75" t="s">
        <v>630</v>
      </c>
      <c r="P75" t="s">
        <v>630</v>
      </c>
      <c r="Q75" t="s">
        <v>632</v>
      </c>
      <c r="R75" t="s">
        <v>905</v>
      </c>
      <c r="S75" t="s">
        <v>630</v>
      </c>
      <c r="T75" t="s">
        <v>620</v>
      </c>
      <c r="U75" t="s">
        <v>620</v>
      </c>
      <c r="V75" s="3" t="str">
        <f>IF(AND(data[[#This Row],[status]]="OK",data[[#This Row],[approach]]="evoavalla"),data[[#This Row],[asm_path]],"")</f>
        <v>../../../asm_examples/examples/TrafficLightYakindu/TrafficLight0/TrafficLight_0.asm</v>
      </c>
      <c r="W75" s="3" t="str">
        <f>IF(AND(data[[#This Row],[status]]="OK",data[[#This Row],[approach]]="atgt"),data[[#This Row],[asm_path]],"")</f>
        <v/>
      </c>
      <c r="X75" s="3" t="b">
        <f>COUNTIF(W:W,data[[#This Row],[path_ok_status_evoavalla]]) = 1</f>
        <v>1</v>
      </c>
    </row>
    <row r="76" spans="1:24" x14ac:dyDescent="0.25">
      <c r="A76" t="s">
        <v>906</v>
      </c>
      <c r="B76" t="s">
        <v>907</v>
      </c>
      <c r="C76" t="s">
        <v>635</v>
      </c>
      <c r="D76" t="s">
        <v>626</v>
      </c>
      <c r="E76" t="s">
        <v>620</v>
      </c>
      <c r="F76" t="s">
        <v>628</v>
      </c>
      <c r="G76" t="s">
        <v>618</v>
      </c>
      <c r="H76" t="s">
        <v>623</v>
      </c>
      <c r="I76" t="s">
        <v>638</v>
      </c>
      <c r="J76" t="s">
        <v>632</v>
      </c>
      <c r="K76" s="2" t="s">
        <v>620</v>
      </c>
      <c r="L76" s="2" t="s">
        <v>620</v>
      </c>
      <c r="M76" s="2" t="s">
        <v>620</v>
      </c>
      <c r="N76" s="2" t="s">
        <v>620</v>
      </c>
      <c r="O76" t="s">
        <v>639</v>
      </c>
      <c r="P76" t="s">
        <v>639</v>
      </c>
      <c r="Q76" t="s">
        <v>639</v>
      </c>
      <c r="R76" t="s">
        <v>639</v>
      </c>
      <c r="S76" t="s">
        <v>639</v>
      </c>
      <c r="T76" t="s">
        <v>620</v>
      </c>
      <c r="U76" t="s">
        <v>620</v>
      </c>
      <c r="V76" s="3" t="str">
        <f>IF(AND(data[[#This Row],[status]]="OK",data[[#This Row],[approach]]="evoavalla"),data[[#This Row],[asm_path]],"")</f>
        <v/>
      </c>
      <c r="W76" s="3" t="str">
        <f>IF(AND(data[[#This Row],[status]]="OK",data[[#This Row],[approach]]="atgt"),data[[#This Row],[asm_path]],"")</f>
        <v/>
      </c>
      <c r="X76" s="3" t="b">
        <f>COUNTIF(W:W,data[[#This Row],[path_ok_status_evoavalla]]) = 1</f>
        <v>0</v>
      </c>
    </row>
    <row r="77" spans="1:24" x14ac:dyDescent="0.25">
      <c r="A77" t="s">
        <v>908</v>
      </c>
      <c r="B77" t="s">
        <v>909</v>
      </c>
      <c r="C77" t="s">
        <v>716</v>
      </c>
      <c r="D77" t="s">
        <v>683</v>
      </c>
      <c r="E77" t="s">
        <v>620</v>
      </c>
      <c r="F77" t="s">
        <v>628</v>
      </c>
      <c r="G77" t="s">
        <v>717</v>
      </c>
      <c r="H77" t="s">
        <v>623</v>
      </c>
      <c r="I77" t="s">
        <v>638</v>
      </c>
      <c r="J77" t="s">
        <v>632</v>
      </c>
      <c r="K77" s="2" t="s">
        <v>620</v>
      </c>
      <c r="L77" s="2" t="s">
        <v>620</v>
      </c>
      <c r="M77" s="2" t="s">
        <v>620</v>
      </c>
      <c r="N77" s="2" t="s">
        <v>620</v>
      </c>
      <c r="O77" t="s">
        <v>639</v>
      </c>
      <c r="P77" t="s">
        <v>639</v>
      </c>
      <c r="Q77" t="s">
        <v>639</v>
      </c>
      <c r="R77" t="s">
        <v>639</v>
      </c>
      <c r="S77" t="s">
        <v>639</v>
      </c>
      <c r="T77" t="s">
        <v>620</v>
      </c>
      <c r="U77" t="s">
        <v>620</v>
      </c>
      <c r="V77" s="3" t="str">
        <f>IF(AND(data[[#This Row],[status]]="OK",data[[#This Row],[approach]]="evoavalla"),data[[#This Row],[asm_path]],"")</f>
        <v/>
      </c>
      <c r="W77" s="3" t="str">
        <f>IF(AND(data[[#This Row],[status]]="OK",data[[#This Row],[approach]]="atgt"),data[[#This Row],[asm_path]],"")</f>
        <v/>
      </c>
      <c r="X77" s="3" t="b">
        <f>COUNTIF(W:W,data[[#This Row],[path_ok_status_evoavalla]]) = 1</f>
        <v>0</v>
      </c>
    </row>
    <row r="78" spans="1:24" x14ac:dyDescent="0.25">
      <c r="A78" t="s">
        <v>910</v>
      </c>
      <c r="B78" t="s">
        <v>911</v>
      </c>
      <c r="C78" t="s">
        <v>690</v>
      </c>
      <c r="D78" t="s">
        <v>740</v>
      </c>
      <c r="E78" t="s">
        <v>620</v>
      </c>
      <c r="F78" t="s">
        <v>710</v>
      </c>
      <c r="G78" t="s">
        <v>746</v>
      </c>
      <c r="H78" t="s">
        <v>623</v>
      </c>
      <c r="I78" t="s">
        <v>624</v>
      </c>
      <c r="J78" t="s">
        <v>912</v>
      </c>
      <c r="K78" s="2" t="s">
        <v>626</v>
      </c>
      <c r="L78" s="2" t="s">
        <v>675</v>
      </c>
      <c r="M78" s="2" t="s">
        <v>628</v>
      </c>
      <c r="N78" s="2" t="s">
        <v>913</v>
      </c>
      <c r="O78" t="s">
        <v>630</v>
      </c>
      <c r="P78" t="s">
        <v>914</v>
      </c>
      <c r="Q78" t="s">
        <v>632</v>
      </c>
      <c r="R78" t="s">
        <v>915</v>
      </c>
      <c r="S78" t="s">
        <v>630</v>
      </c>
      <c r="T78" t="s">
        <v>620</v>
      </c>
      <c r="U78" t="s">
        <v>620</v>
      </c>
      <c r="V78" s="3" t="str">
        <f>IF(AND(data[[#This Row],[status]]="OK",data[[#This Row],[approach]]="evoavalla"),data[[#This Row],[asm_path]],"")</f>
        <v>../../../asm_examples/stereoacuity/certifierRaff4.asm</v>
      </c>
      <c r="W78" s="3" t="str">
        <f>IF(AND(data[[#This Row],[status]]="OK",data[[#This Row],[approach]]="atgt"),data[[#This Row],[asm_path]],"")</f>
        <v/>
      </c>
      <c r="X78" s="3" t="b">
        <f>COUNTIF(W:W,data[[#This Row],[path_ok_status_evoavalla]]) = 1</f>
        <v>0</v>
      </c>
    </row>
    <row r="79" spans="1:24" x14ac:dyDescent="0.25">
      <c r="A79" t="s">
        <v>916</v>
      </c>
      <c r="B79" t="s">
        <v>917</v>
      </c>
      <c r="C79" t="s">
        <v>761</v>
      </c>
      <c r="D79" t="s">
        <v>642</v>
      </c>
      <c r="E79" t="s">
        <v>620</v>
      </c>
      <c r="F79" t="s">
        <v>690</v>
      </c>
      <c r="G79" t="s">
        <v>918</v>
      </c>
      <c r="H79" t="s">
        <v>623</v>
      </c>
      <c r="I79" t="s">
        <v>624</v>
      </c>
      <c r="J79" t="s">
        <v>919</v>
      </c>
      <c r="K79" s="2" t="s">
        <v>664</v>
      </c>
      <c r="L79" s="2" t="s">
        <v>761</v>
      </c>
      <c r="M79" s="2" t="s">
        <v>621</v>
      </c>
      <c r="N79" s="2" t="s">
        <v>698</v>
      </c>
      <c r="O79" t="s">
        <v>630</v>
      </c>
      <c r="P79" t="s">
        <v>920</v>
      </c>
      <c r="Q79" t="s">
        <v>632</v>
      </c>
      <c r="R79" t="s">
        <v>863</v>
      </c>
      <c r="S79" t="s">
        <v>630</v>
      </c>
      <c r="T79" t="s">
        <v>620</v>
      </c>
      <c r="U79" t="s">
        <v>620</v>
      </c>
      <c r="V79" s="3" t="str">
        <f>IF(AND(data[[#This Row],[status]]="OK",data[[#This Row],[approach]]="evoavalla"),data[[#This Row],[asm_path]],"")</f>
        <v>../../../asm_examples/examples/TrafficLightYakindu/TrafficLight1/TrafficLight_1.asm</v>
      </c>
      <c r="W79" s="3" t="str">
        <f>IF(AND(data[[#This Row],[status]]="OK",data[[#This Row],[approach]]="atgt"),data[[#This Row],[asm_path]],"")</f>
        <v/>
      </c>
      <c r="X79" s="3" t="b">
        <f>COUNTIF(W:W,data[[#This Row],[path_ok_status_evoavalla]]) = 1</f>
        <v>1</v>
      </c>
    </row>
    <row r="80" spans="1:24" x14ac:dyDescent="0.25">
      <c r="A80" t="s">
        <v>921</v>
      </c>
      <c r="B80" t="s">
        <v>868</v>
      </c>
      <c r="C80" t="s">
        <v>635</v>
      </c>
      <c r="D80" t="s">
        <v>635</v>
      </c>
      <c r="E80" t="s">
        <v>636</v>
      </c>
      <c r="F80" t="s">
        <v>626</v>
      </c>
      <c r="G80" t="s">
        <v>637</v>
      </c>
      <c r="H80" t="s">
        <v>623</v>
      </c>
      <c r="I80" t="s">
        <v>638</v>
      </c>
      <c r="J80" t="s">
        <v>632</v>
      </c>
      <c r="K80" s="2" t="s">
        <v>620</v>
      </c>
      <c r="L80" s="2" t="s">
        <v>620</v>
      </c>
      <c r="M80" s="2" t="s">
        <v>620</v>
      </c>
      <c r="N80" s="2" t="s">
        <v>620</v>
      </c>
      <c r="O80" t="s">
        <v>639</v>
      </c>
      <c r="P80" t="s">
        <v>639</v>
      </c>
      <c r="Q80" t="s">
        <v>639</v>
      </c>
      <c r="R80" t="s">
        <v>639</v>
      </c>
      <c r="S80" t="s">
        <v>639</v>
      </c>
      <c r="T80" t="s">
        <v>620</v>
      </c>
      <c r="U80" t="s">
        <v>620</v>
      </c>
      <c r="V80" s="3" t="str">
        <f>IF(AND(data[[#This Row],[status]]="OK",data[[#This Row],[approach]]="evoavalla"),data[[#This Row],[asm_path]],"")</f>
        <v/>
      </c>
      <c r="W80" s="3" t="str">
        <f>IF(AND(data[[#This Row],[status]]="OK",data[[#This Row],[approach]]="atgt"),data[[#This Row],[asm_path]],"")</f>
        <v/>
      </c>
      <c r="X80" s="3" t="b">
        <f>COUNTIF(W:W,data[[#This Row],[path_ok_status_evoavalla]]) = 1</f>
        <v>0</v>
      </c>
    </row>
    <row r="81" spans="1:24" x14ac:dyDescent="0.25">
      <c r="A81" t="s">
        <v>922</v>
      </c>
      <c r="B81" t="s">
        <v>923</v>
      </c>
      <c r="C81" t="s">
        <v>626</v>
      </c>
      <c r="D81" t="s">
        <v>716</v>
      </c>
      <c r="E81" t="s">
        <v>620</v>
      </c>
      <c r="F81" t="s">
        <v>664</v>
      </c>
      <c r="G81" t="s">
        <v>740</v>
      </c>
      <c r="H81" t="s">
        <v>623</v>
      </c>
      <c r="I81" t="s">
        <v>638</v>
      </c>
      <c r="J81" t="s">
        <v>632</v>
      </c>
      <c r="K81" s="2" t="s">
        <v>620</v>
      </c>
      <c r="L81" s="2" t="s">
        <v>620</v>
      </c>
      <c r="M81" s="2" t="s">
        <v>620</v>
      </c>
      <c r="N81" s="2" t="s">
        <v>620</v>
      </c>
      <c r="O81" t="s">
        <v>639</v>
      </c>
      <c r="P81" t="s">
        <v>639</v>
      </c>
      <c r="Q81" t="s">
        <v>639</v>
      </c>
      <c r="R81" t="s">
        <v>639</v>
      </c>
      <c r="S81" t="s">
        <v>639</v>
      </c>
      <c r="T81" t="s">
        <v>620</v>
      </c>
      <c r="U81" t="s">
        <v>620</v>
      </c>
      <c r="V81" s="3" t="str">
        <f>IF(AND(data[[#This Row],[status]]="OK",data[[#This Row],[approach]]="evoavalla"),data[[#This Row],[asm_path]],"")</f>
        <v/>
      </c>
      <c r="W81" s="3" t="str">
        <f>IF(AND(data[[#This Row],[status]]="OK",data[[#This Row],[approach]]="atgt"),data[[#This Row],[asm_path]],"")</f>
        <v/>
      </c>
      <c r="X81" s="3" t="b">
        <f>COUNTIF(W:W,data[[#This Row],[path_ok_status_evoavalla]]) = 1</f>
        <v>0</v>
      </c>
    </row>
    <row r="82" spans="1:24" x14ac:dyDescent="0.25">
      <c r="A82" t="s">
        <v>924</v>
      </c>
      <c r="B82" t="s">
        <v>925</v>
      </c>
      <c r="C82" t="s">
        <v>682</v>
      </c>
      <c r="D82" t="s">
        <v>683</v>
      </c>
      <c r="E82" t="s">
        <v>620</v>
      </c>
      <c r="F82" t="s">
        <v>628</v>
      </c>
      <c r="G82" t="s">
        <v>740</v>
      </c>
      <c r="H82" t="s">
        <v>623</v>
      </c>
      <c r="I82" t="s">
        <v>638</v>
      </c>
      <c r="J82" t="s">
        <v>632</v>
      </c>
      <c r="K82" s="2" t="s">
        <v>620</v>
      </c>
      <c r="L82" s="2" t="s">
        <v>620</v>
      </c>
      <c r="M82" s="2" t="s">
        <v>620</v>
      </c>
      <c r="N82" s="2" t="s">
        <v>620</v>
      </c>
      <c r="O82" t="s">
        <v>639</v>
      </c>
      <c r="P82" t="s">
        <v>639</v>
      </c>
      <c r="Q82" t="s">
        <v>639</v>
      </c>
      <c r="R82" t="s">
        <v>639</v>
      </c>
      <c r="S82" t="s">
        <v>639</v>
      </c>
      <c r="T82" t="s">
        <v>620</v>
      </c>
      <c r="U82" t="s">
        <v>620</v>
      </c>
      <c r="V82" s="3" t="str">
        <f>IF(AND(data[[#This Row],[status]]="OK",data[[#This Row],[approach]]="evoavalla"),data[[#This Row],[asm_path]],"")</f>
        <v/>
      </c>
      <c r="W82" s="3" t="str">
        <f>IF(AND(data[[#This Row],[status]]="OK",data[[#This Row],[approach]]="atgt"),data[[#This Row],[asm_path]],"")</f>
        <v/>
      </c>
      <c r="X82" s="3" t="b">
        <f>COUNTIF(W:W,data[[#This Row],[path_ok_status_evoavalla]]) = 1</f>
        <v>0</v>
      </c>
    </row>
    <row r="83" spans="1:24" x14ac:dyDescent="0.25">
      <c r="A83" t="s">
        <v>926</v>
      </c>
      <c r="B83" t="s">
        <v>927</v>
      </c>
      <c r="C83" t="s">
        <v>677</v>
      </c>
      <c r="D83" t="s">
        <v>735</v>
      </c>
      <c r="E83" t="s">
        <v>761</v>
      </c>
      <c r="F83" t="s">
        <v>736</v>
      </c>
      <c r="G83" t="s">
        <v>928</v>
      </c>
      <c r="H83" t="s">
        <v>623</v>
      </c>
      <c r="I83" t="s">
        <v>638</v>
      </c>
      <c r="J83" t="s">
        <v>632</v>
      </c>
      <c r="K83" s="2" t="s">
        <v>620</v>
      </c>
      <c r="L83" s="2" t="s">
        <v>620</v>
      </c>
      <c r="M83" s="2" t="s">
        <v>620</v>
      </c>
      <c r="N83" s="2" t="s">
        <v>620</v>
      </c>
      <c r="O83" t="s">
        <v>639</v>
      </c>
      <c r="P83" t="s">
        <v>639</v>
      </c>
      <c r="Q83" t="s">
        <v>639</v>
      </c>
      <c r="R83" t="s">
        <v>639</v>
      </c>
      <c r="S83" t="s">
        <v>639</v>
      </c>
      <c r="T83" t="s">
        <v>620</v>
      </c>
      <c r="U83" t="s">
        <v>620</v>
      </c>
      <c r="V83" s="3" t="str">
        <f>IF(AND(data[[#This Row],[status]]="OK",data[[#This Row],[approach]]="evoavalla"),data[[#This Row],[asm_path]],"")</f>
        <v/>
      </c>
      <c r="W83" s="3" t="str">
        <f>IF(AND(data[[#This Row],[status]]="OK",data[[#This Row],[approach]]="atgt"),data[[#This Row],[asm_path]],"")</f>
        <v/>
      </c>
      <c r="X83" s="3" t="b">
        <f>COUNTIF(W:W,data[[#This Row],[path_ok_status_evoavalla]]) = 1</f>
        <v>0</v>
      </c>
    </row>
    <row r="84" spans="1:24" x14ac:dyDescent="0.25">
      <c r="A84" t="s">
        <v>929</v>
      </c>
      <c r="B84" t="s">
        <v>930</v>
      </c>
      <c r="C84" t="s">
        <v>750</v>
      </c>
      <c r="D84" t="s">
        <v>931</v>
      </c>
      <c r="E84" t="s">
        <v>667</v>
      </c>
      <c r="F84" t="s">
        <v>676</v>
      </c>
      <c r="G84" t="s">
        <v>932</v>
      </c>
      <c r="H84" t="s">
        <v>623</v>
      </c>
      <c r="I84" t="s">
        <v>638</v>
      </c>
      <c r="J84" t="s">
        <v>632</v>
      </c>
      <c r="K84" s="2" t="s">
        <v>620</v>
      </c>
      <c r="L84" s="2" t="s">
        <v>620</v>
      </c>
      <c r="M84" s="2" t="s">
        <v>620</v>
      </c>
      <c r="N84" s="2" t="s">
        <v>620</v>
      </c>
      <c r="O84" t="s">
        <v>639</v>
      </c>
      <c r="P84" t="s">
        <v>639</v>
      </c>
      <c r="Q84" t="s">
        <v>639</v>
      </c>
      <c r="R84" t="s">
        <v>639</v>
      </c>
      <c r="S84" t="s">
        <v>639</v>
      </c>
      <c r="T84" t="s">
        <v>620</v>
      </c>
      <c r="U84" t="s">
        <v>620</v>
      </c>
      <c r="V84" s="3" t="str">
        <f>IF(AND(data[[#This Row],[status]]="OK",data[[#This Row],[approach]]="evoavalla"),data[[#This Row],[asm_path]],"")</f>
        <v/>
      </c>
      <c r="W84" s="3" t="str">
        <f>IF(AND(data[[#This Row],[status]]="OK",data[[#This Row],[approach]]="atgt"),data[[#This Row],[asm_path]],"")</f>
        <v/>
      </c>
      <c r="X84" s="3" t="b">
        <f>COUNTIF(W:W,data[[#This Row],[path_ok_status_evoavalla]]) = 1</f>
        <v>0</v>
      </c>
    </row>
    <row r="85" spans="1:24" x14ac:dyDescent="0.25">
      <c r="A85" t="s">
        <v>933</v>
      </c>
      <c r="B85" t="s">
        <v>934</v>
      </c>
      <c r="C85" t="s">
        <v>636</v>
      </c>
      <c r="D85" t="s">
        <v>628</v>
      </c>
      <c r="E85" t="s">
        <v>620</v>
      </c>
      <c r="F85" t="s">
        <v>636</v>
      </c>
      <c r="G85" t="s">
        <v>621</v>
      </c>
      <c r="H85" t="s">
        <v>623</v>
      </c>
      <c r="I85" t="s">
        <v>638</v>
      </c>
      <c r="J85" t="s">
        <v>632</v>
      </c>
      <c r="K85" s="2" t="s">
        <v>620</v>
      </c>
      <c r="L85" s="2" t="s">
        <v>620</v>
      </c>
      <c r="M85" s="2" t="s">
        <v>620</v>
      </c>
      <c r="N85" s="2" t="s">
        <v>620</v>
      </c>
      <c r="O85" t="s">
        <v>639</v>
      </c>
      <c r="P85" t="s">
        <v>639</v>
      </c>
      <c r="Q85" t="s">
        <v>639</v>
      </c>
      <c r="R85" t="s">
        <v>639</v>
      </c>
      <c r="S85" t="s">
        <v>639</v>
      </c>
      <c r="T85" t="s">
        <v>620</v>
      </c>
      <c r="U85" t="s">
        <v>620</v>
      </c>
      <c r="V85" s="3" t="str">
        <f>IF(AND(data[[#This Row],[status]]="OK",data[[#This Row],[approach]]="evoavalla"),data[[#This Row],[asm_path]],"")</f>
        <v/>
      </c>
      <c r="W85" s="3" t="str">
        <f>IF(AND(data[[#This Row],[status]]="OK",data[[#This Row],[approach]]="atgt"),data[[#This Row],[asm_path]],"")</f>
        <v/>
      </c>
      <c r="X85" s="3" t="b">
        <f>COUNTIF(W:W,data[[#This Row],[path_ok_status_evoavalla]]) = 1</f>
        <v>0</v>
      </c>
    </row>
    <row r="86" spans="1:24" x14ac:dyDescent="0.25">
      <c r="A86" t="s">
        <v>935</v>
      </c>
      <c r="B86" t="s">
        <v>936</v>
      </c>
      <c r="C86" t="s">
        <v>667</v>
      </c>
      <c r="D86" t="s">
        <v>668</v>
      </c>
      <c r="E86" t="s">
        <v>669</v>
      </c>
      <c r="F86" t="s">
        <v>937</v>
      </c>
      <c r="G86" t="s">
        <v>938</v>
      </c>
      <c r="H86" t="s">
        <v>623</v>
      </c>
      <c r="I86" t="s">
        <v>638</v>
      </c>
      <c r="J86" t="s">
        <v>632</v>
      </c>
      <c r="K86" s="2" t="s">
        <v>620</v>
      </c>
      <c r="L86" s="2" t="s">
        <v>620</v>
      </c>
      <c r="M86" s="2" t="s">
        <v>620</v>
      </c>
      <c r="N86" s="2" t="s">
        <v>620</v>
      </c>
      <c r="O86" t="s">
        <v>639</v>
      </c>
      <c r="P86" t="s">
        <v>639</v>
      </c>
      <c r="Q86" t="s">
        <v>639</v>
      </c>
      <c r="R86" t="s">
        <v>639</v>
      </c>
      <c r="S86" t="s">
        <v>639</v>
      </c>
      <c r="T86" t="s">
        <v>620</v>
      </c>
      <c r="U86" t="s">
        <v>620</v>
      </c>
      <c r="V86" s="3" t="str">
        <f>IF(AND(data[[#This Row],[status]]="OK",data[[#This Row],[approach]]="evoavalla"),data[[#This Row],[asm_path]],"")</f>
        <v/>
      </c>
      <c r="W86" s="3" t="str">
        <f>IF(AND(data[[#This Row],[status]]="OK",data[[#This Row],[approach]]="atgt"),data[[#This Row],[asm_path]],"")</f>
        <v/>
      </c>
      <c r="X86" s="3" t="b">
        <f>COUNTIF(W:W,data[[#This Row],[path_ok_status_evoavalla]]) = 1</f>
        <v>0</v>
      </c>
    </row>
    <row r="87" spans="1:24" x14ac:dyDescent="0.25">
      <c r="A87" t="s">
        <v>939</v>
      </c>
      <c r="B87" t="s">
        <v>940</v>
      </c>
      <c r="C87" t="s">
        <v>682</v>
      </c>
      <c r="D87" t="s">
        <v>636</v>
      </c>
      <c r="E87" t="s">
        <v>620</v>
      </c>
      <c r="F87" t="s">
        <v>635</v>
      </c>
      <c r="G87" t="s">
        <v>941</v>
      </c>
      <c r="H87" t="s">
        <v>623</v>
      </c>
      <c r="I87" t="s">
        <v>638</v>
      </c>
      <c r="J87" t="s">
        <v>632</v>
      </c>
      <c r="K87" s="2" t="s">
        <v>620</v>
      </c>
      <c r="L87" s="2" t="s">
        <v>620</v>
      </c>
      <c r="M87" s="2" t="s">
        <v>620</v>
      </c>
      <c r="N87" s="2" t="s">
        <v>620</v>
      </c>
      <c r="O87" t="s">
        <v>639</v>
      </c>
      <c r="P87" t="s">
        <v>639</v>
      </c>
      <c r="Q87" t="s">
        <v>639</v>
      </c>
      <c r="R87" t="s">
        <v>639</v>
      </c>
      <c r="S87" t="s">
        <v>639</v>
      </c>
      <c r="T87" t="s">
        <v>620</v>
      </c>
      <c r="U87" t="s">
        <v>620</v>
      </c>
      <c r="V87" s="3" t="str">
        <f>IF(AND(data[[#This Row],[status]]="OK",data[[#This Row],[approach]]="evoavalla"),data[[#This Row],[asm_path]],"")</f>
        <v/>
      </c>
      <c r="W87" s="3" t="str">
        <f>IF(AND(data[[#This Row],[status]]="OK",data[[#This Row],[approach]]="atgt"),data[[#This Row],[asm_path]],"")</f>
        <v/>
      </c>
      <c r="X87" s="3" t="b">
        <f>COUNTIF(W:W,data[[#This Row],[path_ok_status_evoavalla]]) = 1</f>
        <v>0</v>
      </c>
    </row>
    <row r="88" spans="1:24" x14ac:dyDescent="0.25">
      <c r="A88" t="s">
        <v>942</v>
      </c>
      <c r="B88" t="s">
        <v>943</v>
      </c>
      <c r="C88" t="s">
        <v>664</v>
      </c>
      <c r="D88" t="s">
        <v>690</v>
      </c>
      <c r="E88" t="s">
        <v>620</v>
      </c>
      <c r="F88" t="s">
        <v>682</v>
      </c>
      <c r="G88" t="s">
        <v>669</v>
      </c>
      <c r="H88" t="s">
        <v>623</v>
      </c>
      <c r="I88" t="s">
        <v>624</v>
      </c>
      <c r="J88" t="s">
        <v>944</v>
      </c>
      <c r="K88" s="2" t="s">
        <v>626</v>
      </c>
      <c r="L88" s="2" t="s">
        <v>781</v>
      </c>
      <c r="M88" s="2" t="s">
        <v>643</v>
      </c>
      <c r="N88" s="2" t="s">
        <v>945</v>
      </c>
      <c r="O88" t="s">
        <v>630</v>
      </c>
      <c r="P88" t="s">
        <v>630</v>
      </c>
      <c r="Q88" t="s">
        <v>632</v>
      </c>
      <c r="R88" t="s">
        <v>630</v>
      </c>
      <c r="S88" t="s">
        <v>630</v>
      </c>
      <c r="T88" t="s">
        <v>620</v>
      </c>
      <c r="U88" t="s">
        <v>620</v>
      </c>
      <c r="V88" s="3" t="str">
        <f>IF(AND(data[[#This Row],[status]]="OK",data[[#This Row],[approach]]="evoavalla"),data[[#This Row],[asm_path]],"")</f>
        <v>../../../asm_examples/examples/landingGearSystem/LGS_GM_withError.asm</v>
      </c>
      <c r="W88" s="3" t="str">
        <f>IF(AND(data[[#This Row],[status]]="OK",data[[#This Row],[approach]]="atgt"),data[[#This Row],[asm_path]],"")</f>
        <v/>
      </c>
      <c r="X88" s="3" t="b">
        <f>COUNTIF(W:W,data[[#This Row],[path_ok_status_evoavalla]]) = 1</f>
        <v>1</v>
      </c>
    </row>
    <row r="89" spans="1:24" x14ac:dyDescent="0.25">
      <c r="A89" t="s">
        <v>946</v>
      </c>
      <c r="B89" t="s">
        <v>947</v>
      </c>
      <c r="C89" t="s">
        <v>639</v>
      </c>
      <c r="D89" t="s">
        <v>639</v>
      </c>
      <c r="E89" t="s">
        <v>639</v>
      </c>
      <c r="F89" t="s">
        <v>639</v>
      </c>
      <c r="G89" t="s">
        <v>639</v>
      </c>
      <c r="H89" t="s">
        <v>623</v>
      </c>
      <c r="I89" t="s">
        <v>948</v>
      </c>
      <c r="J89" t="s">
        <v>632</v>
      </c>
      <c r="K89" s="2" t="s">
        <v>620</v>
      </c>
      <c r="L89" s="2" t="s">
        <v>639</v>
      </c>
      <c r="M89" s="2" t="s">
        <v>639</v>
      </c>
      <c r="N89" s="2" t="s">
        <v>639</v>
      </c>
      <c r="O89" t="s">
        <v>639</v>
      </c>
      <c r="P89" t="s">
        <v>639</v>
      </c>
      <c r="Q89" t="s">
        <v>639</v>
      </c>
      <c r="R89" t="s">
        <v>639</v>
      </c>
      <c r="S89" t="s">
        <v>639</v>
      </c>
      <c r="T89" t="s">
        <v>620</v>
      </c>
      <c r="U89" t="s">
        <v>620</v>
      </c>
      <c r="V89" s="3" t="str">
        <f>IF(AND(data[[#This Row],[status]]="OK",data[[#This Row],[approach]]="evoavalla"),data[[#This Row],[asm_path]],"")</f>
        <v/>
      </c>
      <c r="W89" s="3" t="str">
        <f>IF(AND(data[[#This Row],[status]]="OK",data[[#This Row],[approach]]="atgt"),data[[#This Row],[asm_path]],"")</f>
        <v/>
      </c>
      <c r="X89" s="3" t="b">
        <f>COUNTIF(W:W,data[[#This Row],[path_ok_status_evoavalla]]) = 1</f>
        <v>0</v>
      </c>
    </row>
    <row r="90" spans="1:24" x14ac:dyDescent="0.25">
      <c r="A90" t="s">
        <v>949</v>
      </c>
      <c r="B90" t="s">
        <v>950</v>
      </c>
      <c r="C90" t="s">
        <v>951</v>
      </c>
      <c r="D90" t="s">
        <v>826</v>
      </c>
      <c r="E90" t="s">
        <v>618</v>
      </c>
      <c r="F90" t="s">
        <v>952</v>
      </c>
      <c r="G90" t="s">
        <v>953</v>
      </c>
      <c r="H90" t="s">
        <v>623</v>
      </c>
      <c r="I90" t="s">
        <v>638</v>
      </c>
      <c r="J90" t="s">
        <v>632</v>
      </c>
      <c r="K90" s="2" t="s">
        <v>620</v>
      </c>
      <c r="L90" s="2" t="s">
        <v>620</v>
      </c>
      <c r="M90" s="2" t="s">
        <v>620</v>
      </c>
      <c r="N90" s="2" t="s">
        <v>620</v>
      </c>
      <c r="O90" t="s">
        <v>639</v>
      </c>
      <c r="P90" t="s">
        <v>639</v>
      </c>
      <c r="Q90" t="s">
        <v>639</v>
      </c>
      <c r="R90" t="s">
        <v>639</v>
      </c>
      <c r="S90" t="s">
        <v>639</v>
      </c>
      <c r="T90" t="s">
        <v>620</v>
      </c>
      <c r="U90" t="s">
        <v>620</v>
      </c>
      <c r="V90" s="3" t="str">
        <f>IF(AND(data[[#This Row],[status]]="OK",data[[#This Row],[approach]]="evoavalla"),data[[#This Row],[asm_path]],"")</f>
        <v/>
      </c>
      <c r="W90" s="3" t="str">
        <f>IF(AND(data[[#This Row],[status]]="OK",data[[#This Row],[approach]]="atgt"),data[[#This Row],[asm_path]],"")</f>
        <v/>
      </c>
      <c r="X90" s="3" t="b">
        <f>COUNTIF(W:W,data[[#This Row],[path_ok_status_evoavalla]]) = 1</f>
        <v>0</v>
      </c>
    </row>
    <row r="91" spans="1:24" x14ac:dyDescent="0.25">
      <c r="A91" t="s">
        <v>954</v>
      </c>
      <c r="B91" t="s">
        <v>955</v>
      </c>
      <c r="C91" t="s">
        <v>626</v>
      </c>
      <c r="D91" t="s">
        <v>635</v>
      </c>
      <c r="E91" t="s">
        <v>620</v>
      </c>
      <c r="F91" t="s">
        <v>682</v>
      </c>
      <c r="G91" t="s">
        <v>761</v>
      </c>
      <c r="H91" t="s">
        <v>623</v>
      </c>
      <c r="I91" t="s">
        <v>624</v>
      </c>
      <c r="J91" t="s">
        <v>956</v>
      </c>
      <c r="K91" s="2" t="s">
        <v>636</v>
      </c>
      <c r="L91" s="2" t="s">
        <v>682</v>
      </c>
      <c r="M91" s="2" t="s">
        <v>620</v>
      </c>
      <c r="N91" s="2" t="s">
        <v>664</v>
      </c>
      <c r="O91" t="s">
        <v>630</v>
      </c>
      <c r="P91" t="s">
        <v>630</v>
      </c>
      <c r="Q91" t="s">
        <v>632</v>
      </c>
      <c r="R91" t="s">
        <v>630</v>
      </c>
      <c r="S91" t="s">
        <v>630</v>
      </c>
      <c r="T91" t="s">
        <v>620</v>
      </c>
      <c r="U91" t="s">
        <v>620</v>
      </c>
      <c r="V91" s="3" t="str">
        <f>IF(AND(data[[#This Row],[status]]="OK",data[[#This Row],[approach]]="evoavalla"),data[[#This Row],[asm_path]],"")</f>
        <v>../../../asm_examples/examples/hemodialysisDevice/SCP2017/HemodialysisGround.asm</v>
      </c>
      <c r="W91" s="3" t="str">
        <f>IF(AND(data[[#This Row],[status]]="OK",data[[#This Row],[approach]]="atgt"),data[[#This Row],[asm_path]],"")</f>
        <v/>
      </c>
      <c r="X91" s="3" t="b">
        <f>COUNTIF(W:W,data[[#This Row],[path_ok_status_evoavalla]]) = 1</f>
        <v>1</v>
      </c>
    </row>
    <row r="92" spans="1:24" x14ac:dyDescent="0.25">
      <c r="A92" t="s">
        <v>957</v>
      </c>
      <c r="B92" t="s">
        <v>958</v>
      </c>
      <c r="C92" t="s">
        <v>635</v>
      </c>
      <c r="D92" t="s">
        <v>635</v>
      </c>
      <c r="E92" t="s">
        <v>635</v>
      </c>
      <c r="F92" t="s">
        <v>682</v>
      </c>
      <c r="G92" t="s">
        <v>683</v>
      </c>
      <c r="H92" t="s">
        <v>623</v>
      </c>
      <c r="I92" t="s">
        <v>638</v>
      </c>
      <c r="J92" t="s">
        <v>632</v>
      </c>
      <c r="K92" s="2" t="s">
        <v>620</v>
      </c>
      <c r="L92" s="2" t="s">
        <v>620</v>
      </c>
      <c r="M92" s="2" t="s">
        <v>620</v>
      </c>
      <c r="N92" s="2" t="s">
        <v>620</v>
      </c>
      <c r="O92" t="s">
        <v>639</v>
      </c>
      <c r="P92" t="s">
        <v>639</v>
      </c>
      <c r="Q92" t="s">
        <v>639</v>
      </c>
      <c r="R92" t="s">
        <v>639</v>
      </c>
      <c r="S92" t="s">
        <v>639</v>
      </c>
      <c r="T92" t="s">
        <v>620</v>
      </c>
      <c r="U92" t="s">
        <v>620</v>
      </c>
      <c r="V92" s="3" t="str">
        <f>IF(AND(data[[#This Row],[status]]="OK",data[[#This Row],[approach]]="evoavalla"),data[[#This Row],[asm_path]],"")</f>
        <v/>
      </c>
      <c r="W92" s="3" t="str">
        <f>IF(AND(data[[#This Row],[status]]="OK",data[[#This Row],[approach]]="atgt"),data[[#This Row],[asm_path]],"")</f>
        <v/>
      </c>
      <c r="X92" s="3" t="b">
        <f>COUNTIF(W:W,data[[#This Row],[path_ok_status_evoavalla]]) = 1</f>
        <v>0</v>
      </c>
    </row>
    <row r="93" spans="1:24" x14ac:dyDescent="0.25">
      <c r="A93" t="s">
        <v>959</v>
      </c>
      <c r="B93" t="s">
        <v>960</v>
      </c>
      <c r="C93" t="s">
        <v>716</v>
      </c>
      <c r="D93" t="s">
        <v>618</v>
      </c>
      <c r="E93" t="s">
        <v>682</v>
      </c>
      <c r="F93" t="s">
        <v>761</v>
      </c>
      <c r="G93" t="s">
        <v>622</v>
      </c>
      <c r="H93" t="s">
        <v>623</v>
      </c>
      <c r="I93" t="s">
        <v>638</v>
      </c>
      <c r="J93" t="s">
        <v>632</v>
      </c>
      <c r="K93" s="2" t="s">
        <v>620</v>
      </c>
      <c r="L93" s="2" t="s">
        <v>620</v>
      </c>
      <c r="M93" s="2" t="s">
        <v>620</v>
      </c>
      <c r="N93" s="2" t="s">
        <v>620</v>
      </c>
      <c r="O93" t="s">
        <v>639</v>
      </c>
      <c r="P93" t="s">
        <v>639</v>
      </c>
      <c r="Q93" t="s">
        <v>639</v>
      </c>
      <c r="R93" t="s">
        <v>639</v>
      </c>
      <c r="S93" t="s">
        <v>639</v>
      </c>
      <c r="T93" t="s">
        <v>620</v>
      </c>
      <c r="U93" t="s">
        <v>620</v>
      </c>
      <c r="V93" s="3" t="str">
        <f>IF(AND(data[[#This Row],[status]]="OK",data[[#This Row],[approach]]="evoavalla"),data[[#This Row],[asm_path]],"")</f>
        <v/>
      </c>
      <c r="W93" s="3" t="str">
        <f>IF(AND(data[[#This Row],[status]]="OK",data[[#This Row],[approach]]="atgt"),data[[#This Row],[asm_path]],"")</f>
        <v/>
      </c>
      <c r="X93" s="3" t="b">
        <f>COUNTIF(W:W,data[[#This Row],[path_ok_status_evoavalla]]) = 1</f>
        <v>0</v>
      </c>
    </row>
    <row r="94" spans="1:24" x14ac:dyDescent="0.25">
      <c r="A94" t="s">
        <v>961</v>
      </c>
      <c r="B94" t="s">
        <v>786</v>
      </c>
      <c r="C94" t="s">
        <v>710</v>
      </c>
      <c r="D94" t="s">
        <v>643</v>
      </c>
      <c r="E94" t="s">
        <v>636</v>
      </c>
      <c r="F94" t="s">
        <v>690</v>
      </c>
      <c r="G94" t="s">
        <v>821</v>
      </c>
      <c r="H94" t="s">
        <v>623</v>
      </c>
      <c r="I94" t="s">
        <v>638</v>
      </c>
      <c r="J94" t="s">
        <v>962</v>
      </c>
      <c r="K94" s="2" t="s">
        <v>620</v>
      </c>
      <c r="L94" s="2" t="s">
        <v>620</v>
      </c>
      <c r="M94" s="2" t="s">
        <v>620</v>
      </c>
      <c r="N94" s="2" t="s">
        <v>620</v>
      </c>
      <c r="O94" t="s">
        <v>639</v>
      </c>
      <c r="P94" t="s">
        <v>639</v>
      </c>
      <c r="Q94" t="s">
        <v>639</v>
      </c>
      <c r="R94" t="s">
        <v>639</v>
      </c>
      <c r="S94" t="s">
        <v>639</v>
      </c>
      <c r="T94" t="s">
        <v>620</v>
      </c>
      <c r="U94" t="s">
        <v>620</v>
      </c>
      <c r="V94" s="3" t="str">
        <f>IF(AND(data[[#This Row],[status]]="OK",data[[#This Row],[approach]]="evoavalla"),data[[#This Row],[asm_path]],"")</f>
        <v/>
      </c>
      <c r="W94" s="3" t="str">
        <f>IF(AND(data[[#This Row],[status]]="OK",data[[#This Row],[approach]]="atgt"),data[[#This Row],[asm_path]],"")</f>
        <v/>
      </c>
      <c r="X94" s="3" t="b">
        <f>COUNTIF(W:W,data[[#This Row],[path_ok_status_evoavalla]]) = 1</f>
        <v>0</v>
      </c>
    </row>
    <row r="95" spans="1:24" x14ac:dyDescent="0.25">
      <c r="A95" t="s">
        <v>963</v>
      </c>
      <c r="B95" t="s">
        <v>964</v>
      </c>
      <c r="C95" t="s">
        <v>667</v>
      </c>
      <c r="D95" t="s">
        <v>965</v>
      </c>
      <c r="E95" t="s">
        <v>620</v>
      </c>
      <c r="F95" t="s">
        <v>966</v>
      </c>
      <c r="G95" t="s">
        <v>967</v>
      </c>
      <c r="H95" t="s">
        <v>623</v>
      </c>
      <c r="I95" t="s">
        <v>624</v>
      </c>
      <c r="J95" t="s">
        <v>968</v>
      </c>
      <c r="K95" s="2" t="s">
        <v>675</v>
      </c>
      <c r="L95" s="2" t="s">
        <v>965</v>
      </c>
      <c r="M95" s="2" t="s">
        <v>969</v>
      </c>
      <c r="N95" s="2" t="s">
        <v>629</v>
      </c>
      <c r="O95" t="s">
        <v>630</v>
      </c>
      <c r="P95" t="s">
        <v>970</v>
      </c>
      <c r="Q95" t="s">
        <v>632</v>
      </c>
      <c r="R95" t="s">
        <v>630</v>
      </c>
      <c r="S95" t="s">
        <v>630</v>
      </c>
      <c r="T95" t="s">
        <v>620</v>
      </c>
      <c r="U95" t="s">
        <v>620</v>
      </c>
      <c r="V95" s="3" t="str">
        <f>IF(AND(data[[#This Row],[status]]="OK",data[[#This Row],[approach]]="evoavalla"),data[[#This Row],[asm_path]],"")</f>
        <v>../../../asm_examples/PHD/phd_master_flat2_v0.asm</v>
      </c>
      <c r="W95" s="3" t="str">
        <f>IF(AND(data[[#This Row],[status]]="OK",data[[#This Row],[approach]]="atgt"),data[[#This Row],[asm_path]],"")</f>
        <v/>
      </c>
      <c r="X95" s="3" t="b">
        <f>COUNTIF(W:W,data[[#This Row],[path_ok_status_evoavalla]]) = 1</f>
        <v>1</v>
      </c>
    </row>
    <row r="96" spans="1:24" x14ac:dyDescent="0.25">
      <c r="A96" t="s">
        <v>971</v>
      </c>
      <c r="B96" t="s">
        <v>972</v>
      </c>
      <c r="C96" t="s">
        <v>664</v>
      </c>
      <c r="D96" t="s">
        <v>710</v>
      </c>
      <c r="E96" t="s">
        <v>635</v>
      </c>
      <c r="F96" t="s">
        <v>637</v>
      </c>
      <c r="G96" t="s">
        <v>903</v>
      </c>
      <c r="H96" t="s">
        <v>623</v>
      </c>
      <c r="I96" t="s">
        <v>638</v>
      </c>
      <c r="J96" t="s">
        <v>632</v>
      </c>
      <c r="K96" s="2" t="s">
        <v>620</v>
      </c>
      <c r="L96" s="2" t="s">
        <v>620</v>
      </c>
      <c r="M96" s="2" t="s">
        <v>620</v>
      </c>
      <c r="N96" s="2" t="s">
        <v>620</v>
      </c>
      <c r="O96" t="s">
        <v>639</v>
      </c>
      <c r="P96" t="s">
        <v>639</v>
      </c>
      <c r="Q96" t="s">
        <v>639</v>
      </c>
      <c r="R96" t="s">
        <v>639</v>
      </c>
      <c r="S96" t="s">
        <v>639</v>
      </c>
      <c r="T96" t="s">
        <v>620</v>
      </c>
      <c r="U96" t="s">
        <v>620</v>
      </c>
      <c r="V96" s="3" t="str">
        <f>IF(AND(data[[#This Row],[status]]="OK",data[[#This Row],[approach]]="evoavalla"),data[[#This Row],[asm_path]],"")</f>
        <v/>
      </c>
      <c r="W96" s="3" t="str">
        <f>IF(AND(data[[#This Row],[status]]="OK",data[[#This Row],[approach]]="atgt"),data[[#This Row],[asm_path]],"")</f>
        <v/>
      </c>
      <c r="X96" s="3" t="b">
        <f>COUNTIF(W:W,data[[#This Row],[path_ok_status_evoavalla]]) = 1</f>
        <v>0</v>
      </c>
    </row>
    <row r="97" spans="1:24" x14ac:dyDescent="0.25">
      <c r="A97" t="s">
        <v>973</v>
      </c>
      <c r="B97" t="s">
        <v>974</v>
      </c>
      <c r="C97" t="s">
        <v>682</v>
      </c>
      <c r="D97" t="s">
        <v>635</v>
      </c>
      <c r="E97" t="s">
        <v>620</v>
      </c>
      <c r="F97" t="s">
        <v>664</v>
      </c>
      <c r="G97" t="s">
        <v>710</v>
      </c>
      <c r="H97" t="s">
        <v>623</v>
      </c>
      <c r="I97" t="s">
        <v>624</v>
      </c>
      <c r="J97" t="s">
        <v>975</v>
      </c>
      <c r="K97" s="2" t="s">
        <v>636</v>
      </c>
      <c r="L97" s="2" t="s">
        <v>635</v>
      </c>
      <c r="M97" s="2" t="s">
        <v>635</v>
      </c>
      <c r="N97" s="2" t="s">
        <v>682</v>
      </c>
      <c r="O97" t="s">
        <v>630</v>
      </c>
      <c r="P97" t="s">
        <v>630</v>
      </c>
      <c r="Q97" t="s">
        <v>632</v>
      </c>
      <c r="R97" t="s">
        <v>834</v>
      </c>
      <c r="S97" t="s">
        <v>630</v>
      </c>
      <c r="T97" t="s">
        <v>620</v>
      </c>
      <c r="U97" t="s">
        <v>636</v>
      </c>
      <c r="V97" s="3" t="str">
        <f>IF(AND(data[[#This Row],[status]]="OK",data[[#This Row],[approach]]="evoavalla"),data[[#This Row],[asm_path]],"")</f>
        <v>../../../asm_examples/examples/sluicegate/sluiceGateGround.asm</v>
      </c>
      <c r="W97" s="3" t="str">
        <f>IF(AND(data[[#This Row],[status]]="OK",data[[#This Row],[approach]]="atgt"),data[[#This Row],[asm_path]],"")</f>
        <v/>
      </c>
      <c r="X97" s="3" t="b">
        <f>COUNTIF(W:W,data[[#This Row],[path_ok_status_evoavalla]]) = 1</f>
        <v>0</v>
      </c>
    </row>
    <row r="98" spans="1:24" x14ac:dyDescent="0.25">
      <c r="A98" t="s">
        <v>976</v>
      </c>
      <c r="B98" t="s">
        <v>977</v>
      </c>
      <c r="C98" t="s">
        <v>626</v>
      </c>
      <c r="D98" t="s">
        <v>941</v>
      </c>
      <c r="E98" t="s">
        <v>620</v>
      </c>
      <c r="F98" t="s">
        <v>710</v>
      </c>
      <c r="G98" t="s">
        <v>965</v>
      </c>
      <c r="H98" t="s">
        <v>623</v>
      </c>
      <c r="I98" t="s">
        <v>638</v>
      </c>
      <c r="J98" t="s">
        <v>632</v>
      </c>
      <c r="K98" s="2" t="s">
        <v>620</v>
      </c>
      <c r="L98" s="2" t="s">
        <v>620</v>
      </c>
      <c r="M98" s="2" t="s">
        <v>620</v>
      </c>
      <c r="N98" s="2" t="s">
        <v>620</v>
      </c>
      <c r="O98" t="s">
        <v>639</v>
      </c>
      <c r="P98" t="s">
        <v>639</v>
      </c>
      <c r="Q98" t="s">
        <v>639</v>
      </c>
      <c r="R98" t="s">
        <v>639</v>
      </c>
      <c r="S98" t="s">
        <v>639</v>
      </c>
      <c r="T98" t="s">
        <v>620</v>
      </c>
      <c r="U98" t="s">
        <v>620</v>
      </c>
      <c r="V98" s="3" t="str">
        <f>IF(AND(data[[#This Row],[status]]="OK",data[[#This Row],[approach]]="evoavalla"),data[[#This Row],[asm_path]],"")</f>
        <v/>
      </c>
      <c r="W98" s="3" t="str">
        <f>IF(AND(data[[#This Row],[status]]="OK",data[[#This Row],[approach]]="atgt"),data[[#This Row],[asm_path]],"")</f>
        <v/>
      </c>
      <c r="X98" s="3" t="b">
        <f>COUNTIF(W:W,data[[#This Row],[path_ok_status_evoavalla]]) = 1</f>
        <v>0</v>
      </c>
    </row>
    <row r="99" spans="1:24" x14ac:dyDescent="0.25">
      <c r="A99" t="s">
        <v>978</v>
      </c>
      <c r="B99" t="s">
        <v>979</v>
      </c>
      <c r="C99" t="s">
        <v>621</v>
      </c>
      <c r="D99" t="s">
        <v>626</v>
      </c>
      <c r="E99" t="s">
        <v>620</v>
      </c>
      <c r="F99" t="s">
        <v>716</v>
      </c>
      <c r="G99" t="s">
        <v>980</v>
      </c>
      <c r="H99" t="s">
        <v>623</v>
      </c>
      <c r="I99" t="s">
        <v>638</v>
      </c>
      <c r="J99" t="s">
        <v>981</v>
      </c>
      <c r="K99" s="2" t="s">
        <v>620</v>
      </c>
      <c r="L99" s="2" t="s">
        <v>620</v>
      </c>
      <c r="M99" s="2" t="s">
        <v>620</v>
      </c>
      <c r="N99" s="2" t="s">
        <v>620</v>
      </c>
      <c r="O99" t="s">
        <v>639</v>
      </c>
      <c r="P99" t="s">
        <v>639</v>
      </c>
      <c r="Q99" t="s">
        <v>639</v>
      </c>
      <c r="R99" t="s">
        <v>639</v>
      </c>
      <c r="S99" t="s">
        <v>639</v>
      </c>
      <c r="T99" t="s">
        <v>620</v>
      </c>
      <c r="U99" t="s">
        <v>620</v>
      </c>
      <c r="V99" s="3" t="str">
        <f>IF(AND(data[[#This Row],[status]]="OK",data[[#This Row],[approach]]="evoavalla"),data[[#This Row],[asm_path]],"")</f>
        <v/>
      </c>
      <c r="W99" s="3" t="str">
        <f>IF(AND(data[[#This Row],[status]]="OK",data[[#This Row],[approach]]="atgt"),data[[#This Row],[asm_path]],"")</f>
        <v/>
      </c>
      <c r="X99" s="3" t="b">
        <f>COUNTIF(W:W,data[[#This Row],[path_ok_status_evoavalla]]) = 1</f>
        <v>0</v>
      </c>
    </row>
    <row r="100" spans="1:24" x14ac:dyDescent="0.25">
      <c r="A100" t="s">
        <v>982</v>
      </c>
      <c r="B100" t="s">
        <v>983</v>
      </c>
      <c r="C100" t="s">
        <v>667</v>
      </c>
      <c r="D100" t="s">
        <v>668</v>
      </c>
      <c r="E100" t="s">
        <v>941</v>
      </c>
      <c r="F100" t="s">
        <v>984</v>
      </c>
      <c r="G100" t="s">
        <v>985</v>
      </c>
      <c r="H100" t="s">
        <v>623</v>
      </c>
      <c r="I100" t="s">
        <v>638</v>
      </c>
      <c r="J100" t="s">
        <v>632</v>
      </c>
      <c r="K100" s="2" t="s">
        <v>620</v>
      </c>
      <c r="L100" s="2" t="s">
        <v>620</v>
      </c>
      <c r="M100" s="2" t="s">
        <v>620</v>
      </c>
      <c r="N100" s="2" t="s">
        <v>620</v>
      </c>
      <c r="O100" t="s">
        <v>639</v>
      </c>
      <c r="P100" t="s">
        <v>639</v>
      </c>
      <c r="Q100" t="s">
        <v>639</v>
      </c>
      <c r="R100" t="s">
        <v>639</v>
      </c>
      <c r="S100" t="s">
        <v>639</v>
      </c>
      <c r="T100" t="s">
        <v>620</v>
      </c>
      <c r="U100" t="s">
        <v>620</v>
      </c>
      <c r="V100" s="3" t="str">
        <f>IF(AND(data[[#This Row],[status]]="OK",data[[#This Row],[approach]]="evoavalla"),data[[#This Row],[asm_path]],"")</f>
        <v/>
      </c>
      <c r="W100" s="3" t="str">
        <f>IF(AND(data[[#This Row],[status]]="OK",data[[#This Row],[approach]]="atgt"),data[[#This Row],[asm_path]],"")</f>
        <v/>
      </c>
      <c r="X100" s="3" t="b">
        <f>COUNTIF(W:W,data[[#This Row],[path_ok_status_evoavalla]]) = 1</f>
        <v>0</v>
      </c>
    </row>
    <row r="101" spans="1:24" x14ac:dyDescent="0.25">
      <c r="A101" t="s">
        <v>986</v>
      </c>
      <c r="B101" t="s">
        <v>987</v>
      </c>
      <c r="C101" t="s">
        <v>636</v>
      </c>
      <c r="D101" t="s">
        <v>635</v>
      </c>
      <c r="E101" t="s">
        <v>620</v>
      </c>
      <c r="F101" t="s">
        <v>635</v>
      </c>
      <c r="G101" t="s">
        <v>664</v>
      </c>
      <c r="H101" t="s">
        <v>623</v>
      </c>
      <c r="I101" t="s">
        <v>638</v>
      </c>
      <c r="J101" t="s">
        <v>632</v>
      </c>
      <c r="K101" s="2" t="s">
        <v>620</v>
      </c>
      <c r="L101" s="2" t="s">
        <v>620</v>
      </c>
      <c r="M101" s="2" t="s">
        <v>620</v>
      </c>
      <c r="N101" s="2" t="s">
        <v>620</v>
      </c>
      <c r="O101" t="s">
        <v>639</v>
      </c>
      <c r="P101" t="s">
        <v>639</v>
      </c>
      <c r="Q101" t="s">
        <v>639</v>
      </c>
      <c r="R101" t="s">
        <v>639</v>
      </c>
      <c r="S101" t="s">
        <v>639</v>
      </c>
      <c r="T101" t="s">
        <v>620</v>
      </c>
      <c r="U101" t="s">
        <v>620</v>
      </c>
      <c r="V101" s="3" t="str">
        <f>IF(AND(data[[#This Row],[status]]="OK",data[[#This Row],[approach]]="evoavalla"),data[[#This Row],[asm_path]],"")</f>
        <v/>
      </c>
      <c r="W101" s="3" t="str">
        <f>IF(AND(data[[#This Row],[status]]="OK",data[[#This Row],[approach]]="atgt"),data[[#This Row],[asm_path]],"")</f>
        <v/>
      </c>
      <c r="X101" s="3" t="b">
        <f>COUNTIF(W:W,data[[#This Row],[path_ok_status_evoavalla]]) = 1</f>
        <v>0</v>
      </c>
    </row>
    <row r="102" spans="1:24" x14ac:dyDescent="0.25">
      <c r="A102" t="s">
        <v>988</v>
      </c>
      <c r="B102" t="s">
        <v>989</v>
      </c>
      <c r="C102" t="s">
        <v>635</v>
      </c>
      <c r="D102" t="s">
        <v>635</v>
      </c>
      <c r="E102" t="s">
        <v>620</v>
      </c>
      <c r="F102" t="s">
        <v>620</v>
      </c>
      <c r="G102" t="s">
        <v>683</v>
      </c>
      <c r="H102" t="s">
        <v>623</v>
      </c>
      <c r="I102" t="s">
        <v>638</v>
      </c>
      <c r="J102" t="s">
        <v>632</v>
      </c>
      <c r="K102" s="2" t="s">
        <v>620</v>
      </c>
      <c r="L102" s="2" t="s">
        <v>620</v>
      </c>
      <c r="M102" s="2" t="s">
        <v>620</v>
      </c>
      <c r="N102" s="2" t="s">
        <v>620</v>
      </c>
      <c r="O102" t="s">
        <v>639</v>
      </c>
      <c r="P102" t="s">
        <v>639</v>
      </c>
      <c r="Q102" t="s">
        <v>639</v>
      </c>
      <c r="R102" t="s">
        <v>639</v>
      </c>
      <c r="S102" t="s">
        <v>639</v>
      </c>
      <c r="T102" t="s">
        <v>620</v>
      </c>
      <c r="U102" t="s">
        <v>620</v>
      </c>
      <c r="V102" s="3" t="str">
        <f>IF(AND(data[[#This Row],[status]]="OK",data[[#This Row],[approach]]="evoavalla"),data[[#This Row],[asm_path]],"")</f>
        <v/>
      </c>
      <c r="W102" s="3" t="str">
        <f>IF(AND(data[[#This Row],[status]]="OK",data[[#This Row],[approach]]="atgt"),data[[#This Row],[asm_path]],"")</f>
        <v/>
      </c>
      <c r="X102" s="3" t="b">
        <f>COUNTIF(W:W,data[[#This Row],[path_ok_status_evoavalla]]) = 1</f>
        <v>0</v>
      </c>
    </row>
    <row r="103" spans="1:24" x14ac:dyDescent="0.25">
      <c r="A103" t="s">
        <v>990</v>
      </c>
      <c r="B103" t="s">
        <v>991</v>
      </c>
      <c r="C103" t="s">
        <v>635</v>
      </c>
      <c r="D103" t="s">
        <v>664</v>
      </c>
      <c r="E103" t="s">
        <v>620</v>
      </c>
      <c r="F103" t="s">
        <v>682</v>
      </c>
      <c r="G103" t="s">
        <v>761</v>
      </c>
      <c r="H103" t="s">
        <v>623</v>
      </c>
      <c r="I103" t="s">
        <v>624</v>
      </c>
      <c r="J103" t="s">
        <v>992</v>
      </c>
      <c r="K103" s="2" t="s">
        <v>636</v>
      </c>
      <c r="L103" s="2" t="s">
        <v>621</v>
      </c>
      <c r="M103" s="2" t="s">
        <v>620</v>
      </c>
      <c r="N103" s="2" t="s">
        <v>620</v>
      </c>
      <c r="O103" t="s">
        <v>993</v>
      </c>
      <c r="P103" t="s">
        <v>993</v>
      </c>
      <c r="Q103" t="s">
        <v>632</v>
      </c>
      <c r="R103" t="s">
        <v>993</v>
      </c>
      <c r="S103" t="s">
        <v>994</v>
      </c>
      <c r="T103" t="s">
        <v>620</v>
      </c>
      <c r="U103" t="s">
        <v>620</v>
      </c>
      <c r="V103" s="3" t="str">
        <f>IF(AND(data[[#This Row],[status]]="OK",data[[#This Row],[approach]]="evoavalla"),data[[#This Row],[asm_path]],"")</f>
        <v>../../../asm_examples/examples/simple_example/AdvancedClockDeciSecond.asm</v>
      </c>
      <c r="W103" s="3" t="str">
        <f>IF(AND(data[[#This Row],[status]]="OK",data[[#This Row],[approach]]="atgt"),data[[#This Row],[asm_path]],"")</f>
        <v/>
      </c>
      <c r="X103" s="3" t="b">
        <f>COUNTIF(W:W,data[[#This Row],[path_ok_status_evoavalla]]) = 1</f>
        <v>1</v>
      </c>
    </row>
    <row r="104" spans="1:24" x14ac:dyDescent="0.25">
      <c r="A104" t="s">
        <v>995</v>
      </c>
      <c r="B104" t="s">
        <v>996</v>
      </c>
      <c r="C104" t="s">
        <v>664</v>
      </c>
      <c r="D104" t="s">
        <v>980</v>
      </c>
      <c r="E104" t="s">
        <v>620</v>
      </c>
      <c r="F104" t="s">
        <v>682</v>
      </c>
      <c r="G104" t="s">
        <v>821</v>
      </c>
      <c r="H104" t="s">
        <v>623</v>
      </c>
      <c r="I104" t="s">
        <v>624</v>
      </c>
      <c r="J104" t="s">
        <v>997</v>
      </c>
      <c r="K104" s="2" t="s">
        <v>628</v>
      </c>
      <c r="L104" s="2" t="s">
        <v>717</v>
      </c>
      <c r="M104" s="2" t="s">
        <v>643</v>
      </c>
      <c r="N104" s="2" t="s">
        <v>810</v>
      </c>
      <c r="O104" t="s">
        <v>630</v>
      </c>
      <c r="P104" t="s">
        <v>630</v>
      </c>
      <c r="Q104" t="s">
        <v>632</v>
      </c>
      <c r="R104" t="s">
        <v>630</v>
      </c>
      <c r="S104" t="s">
        <v>630</v>
      </c>
      <c r="T104" t="s">
        <v>620</v>
      </c>
      <c r="U104" t="s">
        <v>620</v>
      </c>
      <c r="V104" s="3" t="str">
        <f>IF(AND(data[[#This Row],[status]]="OK",data[[#This Row],[approach]]="evoavalla"),data[[#This Row],[asm_path]],"")</f>
        <v>../../../asm_examples/examples/landingGearSystem/LGS_EV_v2.asm</v>
      </c>
      <c r="W104" s="3" t="str">
        <f>IF(AND(data[[#This Row],[status]]="OK",data[[#This Row],[approach]]="atgt"),data[[#This Row],[asm_path]],"")</f>
        <v/>
      </c>
      <c r="X104" s="3" t="b">
        <f>COUNTIF(W:W,data[[#This Row],[path_ok_status_evoavalla]]) = 1</f>
        <v>1</v>
      </c>
    </row>
    <row r="105" spans="1:24" x14ac:dyDescent="0.25">
      <c r="A105" t="s">
        <v>998</v>
      </c>
      <c r="B105" t="s">
        <v>999</v>
      </c>
      <c r="C105" t="s">
        <v>628</v>
      </c>
      <c r="D105" t="s">
        <v>683</v>
      </c>
      <c r="E105" t="s">
        <v>682</v>
      </c>
      <c r="F105" t="s">
        <v>664</v>
      </c>
      <c r="G105" t="s">
        <v>669</v>
      </c>
      <c r="H105" t="s">
        <v>623</v>
      </c>
      <c r="I105" t="s">
        <v>638</v>
      </c>
      <c r="J105" t="s">
        <v>632</v>
      </c>
      <c r="K105" s="2" t="s">
        <v>620</v>
      </c>
      <c r="L105" s="2" t="s">
        <v>620</v>
      </c>
      <c r="M105" s="2" t="s">
        <v>620</v>
      </c>
      <c r="N105" s="2" t="s">
        <v>620</v>
      </c>
      <c r="O105" t="s">
        <v>639</v>
      </c>
      <c r="P105" t="s">
        <v>639</v>
      </c>
      <c r="Q105" t="s">
        <v>639</v>
      </c>
      <c r="R105" t="s">
        <v>639</v>
      </c>
      <c r="S105" t="s">
        <v>639</v>
      </c>
      <c r="T105" t="s">
        <v>620</v>
      </c>
      <c r="U105" t="s">
        <v>620</v>
      </c>
      <c r="V105" s="3" t="str">
        <f>IF(AND(data[[#This Row],[status]]="OK",data[[#This Row],[approach]]="evoavalla"),data[[#This Row],[asm_path]],"")</f>
        <v/>
      </c>
      <c r="W105" s="3" t="str">
        <f>IF(AND(data[[#This Row],[status]]="OK",data[[#This Row],[approach]]="atgt"),data[[#This Row],[asm_path]],"")</f>
        <v/>
      </c>
      <c r="X105" s="3" t="b">
        <f>COUNTIF(W:W,data[[#This Row],[path_ok_status_evoavalla]]) = 1</f>
        <v>0</v>
      </c>
    </row>
    <row r="106" spans="1:24" x14ac:dyDescent="0.25">
      <c r="A106" t="s">
        <v>1000</v>
      </c>
      <c r="B106" t="s">
        <v>1001</v>
      </c>
      <c r="C106" t="s">
        <v>635</v>
      </c>
      <c r="D106" t="s">
        <v>635</v>
      </c>
      <c r="E106" t="s">
        <v>636</v>
      </c>
      <c r="F106" t="s">
        <v>664</v>
      </c>
      <c r="G106" t="s">
        <v>683</v>
      </c>
      <c r="H106" t="s">
        <v>623</v>
      </c>
      <c r="I106" t="s">
        <v>638</v>
      </c>
      <c r="J106" t="s">
        <v>632</v>
      </c>
      <c r="K106" s="2" t="s">
        <v>620</v>
      </c>
      <c r="L106" s="2" t="s">
        <v>620</v>
      </c>
      <c r="M106" s="2" t="s">
        <v>620</v>
      </c>
      <c r="N106" s="2" t="s">
        <v>620</v>
      </c>
      <c r="O106" t="s">
        <v>639</v>
      </c>
      <c r="P106" t="s">
        <v>639</v>
      </c>
      <c r="Q106" t="s">
        <v>639</v>
      </c>
      <c r="R106" t="s">
        <v>639</v>
      </c>
      <c r="S106" t="s">
        <v>639</v>
      </c>
      <c r="T106" t="s">
        <v>620</v>
      </c>
      <c r="U106" t="s">
        <v>620</v>
      </c>
      <c r="V106" s="3" t="str">
        <f>IF(AND(data[[#This Row],[status]]="OK",data[[#This Row],[approach]]="evoavalla"),data[[#This Row],[asm_path]],"")</f>
        <v/>
      </c>
      <c r="W106" s="3" t="str">
        <f>IF(AND(data[[#This Row],[status]]="OK",data[[#This Row],[approach]]="atgt"),data[[#This Row],[asm_path]],"")</f>
        <v/>
      </c>
      <c r="X106" s="3" t="b">
        <f>COUNTIF(W:W,data[[#This Row],[path_ok_status_evoavalla]]) = 1</f>
        <v>0</v>
      </c>
    </row>
    <row r="107" spans="1:24" x14ac:dyDescent="0.25">
      <c r="A107" t="s">
        <v>1002</v>
      </c>
      <c r="B107" t="s">
        <v>1003</v>
      </c>
      <c r="C107" t="s">
        <v>677</v>
      </c>
      <c r="D107" t="s">
        <v>697</v>
      </c>
      <c r="E107" t="s">
        <v>637</v>
      </c>
      <c r="F107" t="s">
        <v>741</v>
      </c>
      <c r="G107" t="s">
        <v>849</v>
      </c>
      <c r="H107" t="s">
        <v>623</v>
      </c>
      <c r="I107" t="s">
        <v>638</v>
      </c>
      <c r="J107" t="s">
        <v>632</v>
      </c>
      <c r="K107" s="2" t="s">
        <v>620</v>
      </c>
      <c r="L107" s="2" t="s">
        <v>620</v>
      </c>
      <c r="M107" s="2" t="s">
        <v>620</v>
      </c>
      <c r="N107" s="2" t="s">
        <v>620</v>
      </c>
      <c r="O107" t="s">
        <v>639</v>
      </c>
      <c r="P107" t="s">
        <v>639</v>
      </c>
      <c r="Q107" t="s">
        <v>639</v>
      </c>
      <c r="R107" t="s">
        <v>639</v>
      </c>
      <c r="S107" t="s">
        <v>639</v>
      </c>
      <c r="T107" t="s">
        <v>620</v>
      </c>
      <c r="U107" t="s">
        <v>620</v>
      </c>
      <c r="V107" s="3" t="str">
        <f>IF(AND(data[[#This Row],[status]]="OK",data[[#This Row],[approach]]="evoavalla"),data[[#This Row],[asm_path]],"")</f>
        <v/>
      </c>
      <c r="W107" s="3" t="str">
        <f>IF(AND(data[[#This Row],[status]]="OK",data[[#This Row],[approach]]="atgt"),data[[#This Row],[asm_path]],"")</f>
        <v/>
      </c>
      <c r="X107" s="3" t="b">
        <f>COUNTIF(W:W,data[[#This Row],[path_ok_status_evoavalla]]) = 1</f>
        <v>0</v>
      </c>
    </row>
    <row r="108" spans="1:24" x14ac:dyDescent="0.25">
      <c r="A108" t="s">
        <v>1004</v>
      </c>
      <c r="B108" t="s">
        <v>1005</v>
      </c>
      <c r="C108" t="s">
        <v>636</v>
      </c>
      <c r="D108" t="s">
        <v>620</v>
      </c>
      <c r="E108" t="s">
        <v>620</v>
      </c>
      <c r="F108" t="s">
        <v>620</v>
      </c>
      <c r="G108" t="s">
        <v>636</v>
      </c>
      <c r="H108" t="s">
        <v>623</v>
      </c>
      <c r="I108" t="s">
        <v>638</v>
      </c>
      <c r="J108" t="s">
        <v>632</v>
      </c>
      <c r="K108" s="2" t="s">
        <v>620</v>
      </c>
      <c r="L108" s="2" t="s">
        <v>620</v>
      </c>
      <c r="M108" s="2" t="s">
        <v>620</v>
      </c>
      <c r="N108" s="2" t="s">
        <v>620</v>
      </c>
      <c r="O108" t="s">
        <v>639</v>
      </c>
      <c r="P108" t="s">
        <v>639</v>
      </c>
      <c r="Q108" t="s">
        <v>639</v>
      </c>
      <c r="R108" t="s">
        <v>639</v>
      </c>
      <c r="S108" t="s">
        <v>639</v>
      </c>
      <c r="T108" t="s">
        <v>620</v>
      </c>
      <c r="U108" t="s">
        <v>620</v>
      </c>
      <c r="V108" s="3" t="str">
        <f>IF(AND(data[[#This Row],[status]]="OK",data[[#This Row],[approach]]="evoavalla"),data[[#This Row],[asm_path]],"")</f>
        <v/>
      </c>
      <c r="W108" s="3" t="str">
        <f>IF(AND(data[[#This Row],[status]]="OK",data[[#This Row],[approach]]="atgt"),data[[#This Row],[asm_path]],"")</f>
        <v/>
      </c>
      <c r="X108" s="3" t="b">
        <f>COUNTIF(W:W,data[[#This Row],[path_ok_status_evoavalla]]) = 1</f>
        <v>0</v>
      </c>
    </row>
    <row r="109" spans="1:24" x14ac:dyDescent="0.25">
      <c r="A109" t="s">
        <v>1006</v>
      </c>
      <c r="B109" t="s">
        <v>1007</v>
      </c>
      <c r="C109" t="s">
        <v>717</v>
      </c>
      <c r="D109" t="s">
        <v>1008</v>
      </c>
      <c r="E109" t="s">
        <v>732</v>
      </c>
      <c r="F109" t="s">
        <v>753</v>
      </c>
      <c r="G109" t="s">
        <v>1009</v>
      </c>
      <c r="H109" t="s">
        <v>623</v>
      </c>
      <c r="I109" t="s">
        <v>638</v>
      </c>
      <c r="J109" t="s">
        <v>632</v>
      </c>
      <c r="K109" s="2" t="s">
        <v>620</v>
      </c>
      <c r="L109" s="2" t="s">
        <v>620</v>
      </c>
      <c r="M109" s="2" t="s">
        <v>620</v>
      </c>
      <c r="N109" s="2" t="s">
        <v>620</v>
      </c>
      <c r="O109" t="s">
        <v>639</v>
      </c>
      <c r="P109" t="s">
        <v>639</v>
      </c>
      <c r="Q109" t="s">
        <v>639</v>
      </c>
      <c r="R109" t="s">
        <v>639</v>
      </c>
      <c r="S109" t="s">
        <v>639</v>
      </c>
      <c r="T109" t="s">
        <v>620</v>
      </c>
      <c r="U109" t="s">
        <v>620</v>
      </c>
      <c r="V109" s="3" t="str">
        <f>IF(AND(data[[#This Row],[status]]="OK",data[[#This Row],[approach]]="evoavalla"),data[[#This Row],[asm_path]],"")</f>
        <v/>
      </c>
      <c r="W109" s="3" t="str">
        <f>IF(AND(data[[#This Row],[status]]="OK",data[[#This Row],[approach]]="atgt"),data[[#This Row],[asm_path]],"")</f>
        <v/>
      </c>
      <c r="X109" s="3" t="b">
        <f>COUNTIF(W:W,data[[#This Row],[path_ok_status_evoavalla]]) = 1</f>
        <v>0</v>
      </c>
    </row>
    <row r="110" spans="1:24" x14ac:dyDescent="0.25">
      <c r="A110" t="s">
        <v>1010</v>
      </c>
      <c r="B110" t="s">
        <v>1011</v>
      </c>
      <c r="C110" t="s">
        <v>626</v>
      </c>
      <c r="D110" t="s">
        <v>690</v>
      </c>
      <c r="E110" t="s">
        <v>635</v>
      </c>
      <c r="F110" t="s">
        <v>710</v>
      </c>
      <c r="G110" t="s">
        <v>697</v>
      </c>
      <c r="H110" t="s">
        <v>623</v>
      </c>
      <c r="I110" t="s">
        <v>638</v>
      </c>
      <c r="J110" t="s">
        <v>632</v>
      </c>
      <c r="K110" s="2" t="s">
        <v>620</v>
      </c>
      <c r="L110" s="2" t="s">
        <v>620</v>
      </c>
      <c r="M110" s="2" t="s">
        <v>620</v>
      </c>
      <c r="N110" s="2" t="s">
        <v>620</v>
      </c>
      <c r="O110" t="s">
        <v>639</v>
      </c>
      <c r="P110" t="s">
        <v>639</v>
      </c>
      <c r="Q110" t="s">
        <v>639</v>
      </c>
      <c r="R110" t="s">
        <v>639</v>
      </c>
      <c r="S110" t="s">
        <v>639</v>
      </c>
      <c r="T110" t="s">
        <v>620</v>
      </c>
      <c r="U110" t="s">
        <v>620</v>
      </c>
      <c r="V110" s="3" t="str">
        <f>IF(AND(data[[#This Row],[status]]="OK",data[[#This Row],[approach]]="evoavalla"),data[[#This Row],[asm_path]],"")</f>
        <v/>
      </c>
      <c r="W110" s="3" t="str">
        <f>IF(AND(data[[#This Row],[status]]="OK",data[[#This Row],[approach]]="atgt"),data[[#This Row],[asm_path]],"")</f>
        <v/>
      </c>
      <c r="X110" s="3" t="b">
        <f>COUNTIF(W:W,data[[#This Row],[path_ok_status_evoavalla]]) = 1</f>
        <v>0</v>
      </c>
    </row>
    <row r="111" spans="1:24" x14ac:dyDescent="0.25">
      <c r="A111" t="s">
        <v>1012</v>
      </c>
      <c r="B111" t="s">
        <v>1013</v>
      </c>
      <c r="C111" t="s">
        <v>635</v>
      </c>
      <c r="D111" t="s">
        <v>635</v>
      </c>
      <c r="E111" t="s">
        <v>620</v>
      </c>
      <c r="F111" t="s">
        <v>620</v>
      </c>
      <c r="G111" t="s">
        <v>761</v>
      </c>
      <c r="H111" t="s">
        <v>623</v>
      </c>
      <c r="I111" t="s">
        <v>638</v>
      </c>
      <c r="J111" t="s">
        <v>632</v>
      </c>
      <c r="K111" s="2" t="s">
        <v>620</v>
      </c>
      <c r="L111" s="2" t="s">
        <v>620</v>
      </c>
      <c r="M111" s="2" t="s">
        <v>620</v>
      </c>
      <c r="N111" s="2" t="s">
        <v>620</v>
      </c>
      <c r="O111" t="s">
        <v>639</v>
      </c>
      <c r="P111" t="s">
        <v>639</v>
      </c>
      <c r="Q111" t="s">
        <v>639</v>
      </c>
      <c r="R111" t="s">
        <v>639</v>
      </c>
      <c r="S111" t="s">
        <v>639</v>
      </c>
      <c r="T111" t="s">
        <v>620</v>
      </c>
      <c r="U111" t="s">
        <v>620</v>
      </c>
      <c r="V111" s="3" t="str">
        <f>IF(AND(data[[#This Row],[status]]="OK",data[[#This Row],[approach]]="evoavalla"),data[[#This Row],[asm_path]],"")</f>
        <v/>
      </c>
      <c r="W111" s="3" t="str">
        <f>IF(AND(data[[#This Row],[status]]="OK",data[[#This Row],[approach]]="atgt"),data[[#This Row],[asm_path]],"")</f>
        <v/>
      </c>
      <c r="X111" s="3" t="b">
        <f>COUNTIF(W:W,data[[#This Row],[path_ok_status_evoavalla]]) = 1</f>
        <v>0</v>
      </c>
    </row>
    <row r="112" spans="1:24" x14ac:dyDescent="0.25">
      <c r="A112" t="s">
        <v>1014</v>
      </c>
      <c r="B112" t="s">
        <v>1015</v>
      </c>
      <c r="C112" t="s">
        <v>1016</v>
      </c>
      <c r="D112" t="s">
        <v>1017</v>
      </c>
      <c r="E112" t="s">
        <v>636</v>
      </c>
      <c r="F112" t="s">
        <v>953</v>
      </c>
      <c r="G112" t="s">
        <v>1018</v>
      </c>
      <c r="H112" t="s">
        <v>623</v>
      </c>
      <c r="I112" t="s">
        <v>624</v>
      </c>
      <c r="J112" t="s">
        <v>1019</v>
      </c>
      <c r="K112" s="2" t="s">
        <v>635</v>
      </c>
      <c r="L112" s="2" t="s">
        <v>635</v>
      </c>
      <c r="M112" s="2" t="s">
        <v>635</v>
      </c>
      <c r="N112" s="2" t="s">
        <v>1020</v>
      </c>
      <c r="O112" t="s">
        <v>1021</v>
      </c>
      <c r="P112" t="s">
        <v>1022</v>
      </c>
      <c r="Q112" t="s">
        <v>896</v>
      </c>
      <c r="R112" t="s">
        <v>1023</v>
      </c>
      <c r="S112" t="s">
        <v>1024</v>
      </c>
      <c r="T112" t="s">
        <v>620</v>
      </c>
      <c r="U112" t="s">
        <v>620</v>
      </c>
      <c r="V112" s="3" t="str">
        <f>IF(AND(data[[#This Row],[status]]="OK",data[[#This Row],[approach]]="evoavalla"),data[[#This Row],[asm_path]],"")</f>
        <v>../../../asm_examples/examples/hemodialysisDevice/ABZ2016/Hemodialysis_ref4_forMC.asm</v>
      </c>
      <c r="W112" s="3" t="str">
        <f>IF(AND(data[[#This Row],[status]]="OK",data[[#This Row],[approach]]="atgt"),data[[#This Row],[asm_path]],"")</f>
        <v/>
      </c>
      <c r="X112" s="3" t="b">
        <f>COUNTIF(W:W,data[[#This Row],[path_ok_status_evoavalla]]) = 1</f>
        <v>0</v>
      </c>
    </row>
    <row r="113" spans="1:24" x14ac:dyDescent="0.25">
      <c r="A113" t="s">
        <v>1025</v>
      </c>
      <c r="B113" t="s">
        <v>820</v>
      </c>
      <c r="C113" t="s">
        <v>618</v>
      </c>
      <c r="D113" t="s">
        <v>643</v>
      </c>
      <c r="E113" t="s">
        <v>636</v>
      </c>
      <c r="F113" t="s">
        <v>690</v>
      </c>
      <c r="G113" t="s">
        <v>821</v>
      </c>
      <c r="H113" t="s">
        <v>623</v>
      </c>
      <c r="I113" t="s">
        <v>638</v>
      </c>
      <c r="J113" t="s">
        <v>632</v>
      </c>
      <c r="K113" s="2" t="s">
        <v>620</v>
      </c>
      <c r="L113" s="2" t="s">
        <v>620</v>
      </c>
      <c r="M113" s="2" t="s">
        <v>620</v>
      </c>
      <c r="N113" s="2" t="s">
        <v>620</v>
      </c>
      <c r="O113" t="s">
        <v>639</v>
      </c>
      <c r="P113" t="s">
        <v>639</v>
      </c>
      <c r="Q113" t="s">
        <v>639</v>
      </c>
      <c r="R113" t="s">
        <v>639</v>
      </c>
      <c r="S113" t="s">
        <v>639</v>
      </c>
      <c r="T113" t="s">
        <v>620</v>
      </c>
      <c r="U113" t="s">
        <v>620</v>
      </c>
      <c r="V113" s="3" t="str">
        <f>IF(AND(data[[#This Row],[status]]="OK",data[[#This Row],[approach]]="evoavalla"),data[[#This Row],[asm_path]],"")</f>
        <v/>
      </c>
      <c r="W113" s="3" t="str">
        <f>IF(AND(data[[#This Row],[status]]="OK",data[[#This Row],[approach]]="atgt"),data[[#This Row],[asm_path]],"")</f>
        <v/>
      </c>
      <c r="X113" s="3" t="b">
        <f>COUNTIF(W:W,data[[#This Row],[path_ok_status_evoavalla]]) = 1</f>
        <v>0</v>
      </c>
    </row>
    <row r="114" spans="1:24" x14ac:dyDescent="0.25">
      <c r="A114" t="s">
        <v>1026</v>
      </c>
      <c r="B114" t="s">
        <v>1027</v>
      </c>
      <c r="C114" t="s">
        <v>621</v>
      </c>
      <c r="D114" t="s">
        <v>903</v>
      </c>
      <c r="E114" t="s">
        <v>620</v>
      </c>
      <c r="F114" t="s">
        <v>941</v>
      </c>
      <c r="G114" t="s">
        <v>945</v>
      </c>
      <c r="H114" t="s">
        <v>623</v>
      </c>
      <c r="I114" t="s">
        <v>638</v>
      </c>
      <c r="J114" t="s">
        <v>1028</v>
      </c>
      <c r="K114" s="2" t="s">
        <v>620</v>
      </c>
      <c r="L114" s="2" t="s">
        <v>620</v>
      </c>
      <c r="M114" s="2" t="s">
        <v>620</v>
      </c>
      <c r="N114" s="2" t="s">
        <v>620</v>
      </c>
      <c r="O114" t="s">
        <v>639</v>
      </c>
      <c r="P114" t="s">
        <v>639</v>
      </c>
      <c r="Q114" t="s">
        <v>639</v>
      </c>
      <c r="R114" t="s">
        <v>639</v>
      </c>
      <c r="S114" t="s">
        <v>639</v>
      </c>
      <c r="T114" t="s">
        <v>620</v>
      </c>
      <c r="U114" t="s">
        <v>620</v>
      </c>
      <c r="V114" s="3" t="str">
        <f>IF(AND(data[[#This Row],[status]]="OK",data[[#This Row],[approach]]="evoavalla"),data[[#This Row],[asm_path]],"")</f>
        <v/>
      </c>
      <c r="W114" s="3" t="str">
        <f>IF(AND(data[[#This Row],[status]]="OK",data[[#This Row],[approach]]="atgt"),data[[#This Row],[asm_path]],"")</f>
        <v/>
      </c>
      <c r="X114" s="3" t="b">
        <f>COUNTIF(W:W,data[[#This Row],[path_ok_status_evoavalla]]) = 1</f>
        <v>0</v>
      </c>
    </row>
    <row r="115" spans="1:24" x14ac:dyDescent="0.25">
      <c r="A115" t="s">
        <v>1029</v>
      </c>
      <c r="B115" t="s">
        <v>1030</v>
      </c>
      <c r="C115" t="s">
        <v>635</v>
      </c>
      <c r="D115" t="s">
        <v>664</v>
      </c>
      <c r="E115" t="s">
        <v>620</v>
      </c>
      <c r="F115" t="s">
        <v>620</v>
      </c>
      <c r="G115" t="s">
        <v>798</v>
      </c>
      <c r="H115" t="s">
        <v>623</v>
      </c>
      <c r="I115" t="s">
        <v>638</v>
      </c>
      <c r="J115" t="s">
        <v>632</v>
      </c>
      <c r="K115" s="2" t="s">
        <v>620</v>
      </c>
      <c r="L115" s="2" t="s">
        <v>620</v>
      </c>
      <c r="M115" s="2" t="s">
        <v>620</v>
      </c>
      <c r="N115" s="2" t="s">
        <v>620</v>
      </c>
      <c r="O115" t="s">
        <v>639</v>
      </c>
      <c r="P115" t="s">
        <v>639</v>
      </c>
      <c r="Q115" t="s">
        <v>639</v>
      </c>
      <c r="R115" t="s">
        <v>639</v>
      </c>
      <c r="S115" t="s">
        <v>639</v>
      </c>
      <c r="T115" t="s">
        <v>620</v>
      </c>
      <c r="U115" t="s">
        <v>620</v>
      </c>
      <c r="V115" s="3" t="str">
        <f>IF(AND(data[[#This Row],[status]]="OK",data[[#This Row],[approach]]="evoavalla"),data[[#This Row],[asm_path]],"")</f>
        <v/>
      </c>
      <c r="W115" s="3" t="str">
        <f>IF(AND(data[[#This Row],[status]]="OK",data[[#This Row],[approach]]="atgt"),data[[#This Row],[asm_path]],"")</f>
        <v/>
      </c>
      <c r="X115" s="3" t="b">
        <f>COUNTIF(W:W,data[[#This Row],[path_ok_status_evoavalla]]) = 1</f>
        <v>0</v>
      </c>
    </row>
    <row r="116" spans="1:24" x14ac:dyDescent="0.25">
      <c r="A116" t="s">
        <v>1031</v>
      </c>
      <c r="B116" t="s">
        <v>1032</v>
      </c>
      <c r="C116" t="s">
        <v>635</v>
      </c>
      <c r="D116" t="s">
        <v>761</v>
      </c>
      <c r="E116" t="s">
        <v>620</v>
      </c>
      <c r="F116" t="s">
        <v>642</v>
      </c>
      <c r="G116" t="s">
        <v>644</v>
      </c>
      <c r="H116" t="s">
        <v>623</v>
      </c>
      <c r="I116" t="s">
        <v>638</v>
      </c>
      <c r="J116" t="s">
        <v>632</v>
      </c>
      <c r="K116" s="2" t="s">
        <v>620</v>
      </c>
      <c r="L116" s="2" t="s">
        <v>620</v>
      </c>
      <c r="M116" s="2" t="s">
        <v>620</v>
      </c>
      <c r="N116" s="2" t="s">
        <v>620</v>
      </c>
      <c r="O116" t="s">
        <v>639</v>
      </c>
      <c r="P116" t="s">
        <v>639</v>
      </c>
      <c r="Q116" t="s">
        <v>639</v>
      </c>
      <c r="R116" t="s">
        <v>639</v>
      </c>
      <c r="S116" t="s">
        <v>639</v>
      </c>
      <c r="T116" t="s">
        <v>620</v>
      </c>
      <c r="U116" t="s">
        <v>620</v>
      </c>
      <c r="V116" s="3" t="str">
        <f>IF(AND(data[[#This Row],[status]]="OK",data[[#This Row],[approach]]="evoavalla"),data[[#This Row],[asm_path]],"")</f>
        <v/>
      </c>
      <c r="W116" s="3" t="str">
        <f>IF(AND(data[[#This Row],[status]]="OK",data[[#This Row],[approach]]="atgt"),data[[#This Row],[asm_path]],"")</f>
        <v/>
      </c>
      <c r="X116" s="3" t="b">
        <f>COUNTIF(W:W,data[[#This Row],[path_ok_status_evoavalla]]) = 1</f>
        <v>0</v>
      </c>
    </row>
    <row r="117" spans="1:24" x14ac:dyDescent="0.25">
      <c r="A117" t="s">
        <v>1033</v>
      </c>
      <c r="B117" t="s">
        <v>1034</v>
      </c>
      <c r="C117" t="s">
        <v>626</v>
      </c>
      <c r="D117" t="s">
        <v>1035</v>
      </c>
      <c r="E117" t="s">
        <v>620</v>
      </c>
      <c r="F117" t="s">
        <v>710</v>
      </c>
      <c r="G117" t="s">
        <v>1036</v>
      </c>
      <c r="H117" t="s">
        <v>623</v>
      </c>
      <c r="I117" t="s">
        <v>638</v>
      </c>
      <c r="J117" t="s">
        <v>632</v>
      </c>
      <c r="K117" s="2" t="s">
        <v>620</v>
      </c>
      <c r="L117" s="2" t="s">
        <v>620</v>
      </c>
      <c r="M117" s="2" t="s">
        <v>620</v>
      </c>
      <c r="N117" s="2" t="s">
        <v>620</v>
      </c>
      <c r="O117" t="s">
        <v>639</v>
      </c>
      <c r="P117" t="s">
        <v>639</v>
      </c>
      <c r="Q117" t="s">
        <v>639</v>
      </c>
      <c r="R117" t="s">
        <v>639</v>
      </c>
      <c r="S117" t="s">
        <v>639</v>
      </c>
      <c r="T117" t="s">
        <v>620</v>
      </c>
      <c r="U117" t="s">
        <v>620</v>
      </c>
      <c r="V117" s="3" t="str">
        <f>IF(AND(data[[#This Row],[status]]="OK",data[[#This Row],[approach]]="evoavalla"),data[[#This Row],[asm_path]],"")</f>
        <v/>
      </c>
      <c r="W117" s="3" t="str">
        <f>IF(AND(data[[#This Row],[status]]="OK",data[[#This Row],[approach]]="atgt"),data[[#This Row],[asm_path]],"")</f>
        <v/>
      </c>
      <c r="X117" s="3" t="b">
        <f>COUNTIF(W:W,data[[#This Row],[path_ok_status_evoavalla]]) = 1</f>
        <v>0</v>
      </c>
    </row>
    <row r="118" spans="1:24" x14ac:dyDescent="0.25">
      <c r="A118" t="s">
        <v>1037</v>
      </c>
      <c r="B118" t="s">
        <v>1038</v>
      </c>
      <c r="C118" t="s">
        <v>635</v>
      </c>
      <c r="D118" t="s">
        <v>635</v>
      </c>
      <c r="E118" t="s">
        <v>635</v>
      </c>
      <c r="F118" t="s">
        <v>682</v>
      </c>
      <c r="G118" t="s">
        <v>683</v>
      </c>
      <c r="H118" t="s">
        <v>623</v>
      </c>
      <c r="I118" t="s">
        <v>638</v>
      </c>
      <c r="J118" t="s">
        <v>632</v>
      </c>
      <c r="K118" s="2" t="s">
        <v>620</v>
      </c>
      <c r="L118" s="2" t="s">
        <v>620</v>
      </c>
      <c r="M118" s="2" t="s">
        <v>620</v>
      </c>
      <c r="N118" s="2" t="s">
        <v>620</v>
      </c>
      <c r="O118" t="s">
        <v>639</v>
      </c>
      <c r="P118" t="s">
        <v>639</v>
      </c>
      <c r="Q118" t="s">
        <v>639</v>
      </c>
      <c r="R118" t="s">
        <v>639</v>
      </c>
      <c r="S118" t="s">
        <v>639</v>
      </c>
      <c r="T118" t="s">
        <v>620</v>
      </c>
      <c r="U118" t="s">
        <v>620</v>
      </c>
      <c r="V118" s="3" t="str">
        <f>IF(AND(data[[#This Row],[status]]="OK",data[[#This Row],[approach]]="evoavalla"),data[[#This Row],[asm_path]],"")</f>
        <v/>
      </c>
      <c r="W118" s="3" t="str">
        <f>IF(AND(data[[#This Row],[status]]="OK",data[[#This Row],[approach]]="atgt"),data[[#This Row],[asm_path]],"")</f>
        <v/>
      </c>
      <c r="X118" s="3" t="b">
        <f>COUNTIF(W:W,data[[#This Row],[path_ok_status_evoavalla]]) = 1</f>
        <v>0</v>
      </c>
    </row>
    <row r="119" spans="1:24" x14ac:dyDescent="0.25">
      <c r="A119" t="s">
        <v>1039</v>
      </c>
      <c r="B119" t="s">
        <v>1040</v>
      </c>
      <c r="C119" t="s">
        <v>636</v>
      </c>
      <c r="D119" t="s">
        <v>664</v>
      </c>
      <c r="E119" t="s">
        <v>620</v>
      </c>
      <c r="F119" t="s">
        <v>636</v>
      </c>
      <c r="G119" t="s">
        <v>628</v>
      </c>
      <c r="H119" t="s">
        <v>623</v>
      </c>
      <c r="I119" t="s">
        <v>638</v>
      </c>
      <c r="J119" t="s">
        <v>632</v>
      </c>
      <c r="K119" s="2" t="s">
        <v>620</v>
      </c>
      <c r="L119" s="2" t="s">
        <v>620</v>
      </c>
      <c r="M119" s="2" t="s">
        <v>620</v>
      </c>
      <c r="N119" s="2" t="s">
        <v>620</v>
      </c>
      <c r="O119" t="s">
        <v>639</v>
      </c>
      <c r="P119" t="s">
        <v>639</v>
      </c>
      <c r="Q119" t="s">
        <v>639</v>
      </c>
      <c r="R119" t="s">
        <v>639</v>
      </c>
      <c r="S119" t="s">
        <v>639</v>
      </c>
      <c r="T119" t="s">
        <v>620</v>
      </c>
      <c r="U119" t="s">
        <v>620</v>
      </c>
      <c r="V119" s="3" t="str">
        <f>IF(AND(data[[#This Row],[status]]="OK",data[[#This Row],[approach]]="evoavalla"),data[[#This Row],[asm_path]],"")</f>
        <v/>
      </c>
      <c r="W119" s="3" t="str">
        <f>IF(AND(data[[#This Row],[status]]="OK",data[[#This Row],[approach]]="atgt"),data[[#This Row],[asm_path]],"")</f>
        <v/>
      </c>
      <c r="X119" s="3" t="b">
        <f>COUNTIF(W:W,data[[#This Row],[path_ok_status_evoavalla]]) = 1</f>
        <v>0</v>
      </c>
    </row>
    <row r="120" spans="1:24" x14ac:dyDescent="0.25">
      <c r="A120" t="s">
        <v>1041</v>
      </c>
      <c r="B120" t="s">
        <v>1042</v>
      </c>
      <c r="C120" t="s">
        <v>716</v>
      </c>
      <c r="D120" t="s">
        <v>626</v>
      </c>
      <c r="E120" t="s">
        <v>620</v>
      </c>
      <c r="F120" t="s">
        <v>716</v>
      </c>
      <c r="G120" t="s">
        <v>717</v>
      </c>
      <c r="H120" t="s">
        <v>623</v>
      </c>
      <c r="I120" t="s">
        <v>638</v>
      </c>
      <c r="J120" t="s">
        <v>1043</v>
      </c>
      <c r="K120" s="2" t="s">
        <v>620</v>
      </c>
      <c r="L120" s="2" t="s">
        <v>620</v>
      </c>
      <c r="M120" s="2" t="s">
        <v>620</v>
      </c>
      <c r="N120" s="2" t="s">
        <v>620</v>
      </c>
      <c r="O120" t="s">
        <v>639</v>
      </c>
      <c r="P120" t="s">
        <v>639</v>
      </c>
      <c r="Q120" t="s">
        <v>639</v>
      </c>
      <c r="R120" t="s">
        <v>639</v>
      </c>
      <c r="S120" t="s">
        <v>639</v>
      </c>
      <c r="T120" t="s">
        <v>620</v>
      </c>
      <c r="U120" t="s">
        <v>620</v>
      </c>
      <c r="V120" s="3" t="str">
        <f>IF(AND(data[[#This Row],[status]]="OK",data[[#This Row],[approach]]="evoavalla"),data[[#This Row],[asm_path]],"")</f>
        <v/>
      </c>
      <c r="W120" s="3" t="str">
        <f>IF(AND(data[[#This Row],[status]]="OK",data[[#This Row],[approach]]="atgt"),data[[#This Row],[asm_path]],"")</f>
        <v/>
      </c>
      <c r="X120" s="3" t="b">
        <f>COUNTIF(W:W,data[[#This Row],[path_ok_status_evoavalla]]) = 1</f>
        <v>0</v>
      </c>
    </row>
    <row r="121" spans="1:24" x14ac:dyDescent="0.25">
      <c r="A121" t="s">
        <v>1044</v>
      </c>
      <c r="B121" t="s">
        <v>892</v>
      </c>
      <c r="C121" t="s">
        <v>636</v>
      </c>
      <c r="D121" t="s">
        <v>620</v>
      </c>
      <c r="E121" t="s">
        <v>620</v>
      </c>
      <c r="F121" t="s">
        <v>620</v>
      </c>
      <c r="G121" t="s">
        <v>636</v>
      </c>
      <c r="H121" t="s">
        <v>623</v>
      </c>
      <c r="I121" t="s">
        <v>638</v>
      </c>
      <c r="J121" t="s">
        <v>632</v>
      </c>
      <c r="K121" s="2" t="s">
        <v>620</v>
      </c>
      <c r="L121" s="2" t="s">
        <v>620</v>
      </c>
      <c r="M121" s="2" t="s">
        <v>620</v>
      </c>
      <c r="N121" s="2" t="s">
        <v>620</v>
      </c>
      <c r="O121" t="s">
        <v>639</v>
      </c>
      <c r="P121" t="s">
        <v>639</v>
      </c>
      <c r="Q121" t="s">
        <v>639</v>
      </c>
      <c r="R121" t="s">
        <v>639</v>
      </c>
      <c r="S121" t="s">
        <v>639</v>
      </c>
      <c r="T121" t="s">
        <v>620</v>
      </c>
      <c r="U121" t="s">
        <v>620</v>
      </c>
      <c r="V121" s="3" t="str">
        <f>IF(AND(data[[#This Row],[status]]="OK",data[[#This Row],[approach]]="evoavalla"),data[[#This Row],[asm_path]],"")</f>
        <v/>
      </c>
      <c r="W121" s="3" t="str">
        <f>IF(AND(data[[#This Row],[status]]="OK",data[[#This Row],[approach]]="atgt"),data[[#This Row],[asm_path]],"")</f>
        <v/>
      </c>
      <c r="X121" s="3" t="b">
        <f>COUNTIF(W:W,data[[#This Row],[path_ok_status_evoavalla]]) = 1</f>
        <v>0</v>
      </c>
    </row>
    <row r="122" spans="1:24" x14ac:dyDescent="0.25">
      <c r="A122" t="s">
        <v>1045</v>
      </c>
      <c r="B122" t="s">
        <v>1046</v>
      </c>
      <c r="C122" t="s">
        <v>635</v>
      </c>
      <c r="D122" t="s">
        <v>636</v>
      </c>
      <c r="E122" t="s">
        <v>636</v>
      </c>
      <c r="F122" t="s">
        <v>635</v>
      </c>
      <c r="G122" t="s">
        <v>664</v>
      </c>
      <c r="H122" t="s">
        <v>623</v>
      </c>
      <c r="I122" t="s">
        <v>638</v>
      </c>
      <c r="J122" t="s">
        <v>632</v>
      </c>
      <c r="K122" s="2" t="s">
        <v>620</v>
      </c>
      <c r="L122" s="2" t="s">
        <v>620</v>
      </c>
      <c r="M122" s="2" t="s">
        <v>620</v>
      </c>
      <c r="N122" s="2" t="s">
        <v>620</v>
      </c>
      <c r="O122" t="s">
        <v>639</v>
      </c>
      <c r="P122" t="s">
        <v>639</v>
      </c>
      <c r="Q122" t="s">
        <v>639</v>
      </c>
      <c r="R122" t="s">
        <v>639</v>
      </c>
      <c r="S122" t="s">
        <v>639</v>
      </c>
      <c r="T122" t="s">
        <v>620</v>
      </c>
      <c r="U122" t="s">
        <v>620</v>
      </c>
      <c r="V122" s="3" t="str">
        <f>IF(AND(data[[#This Row],[status]]="OK",data[[#This Row],[approach]]="evoavalla"),data[[#This Row],[asm_path]],"")</f>
        <v/>
      </c>
      <c r="W122" s="3" t="str">
        <f>IF(AND(data[[#This Row],[status]]="OK",data[[#This Row],[approach]]="atgt"),data[[#This Row],[asm_path]],"")</f>
        <v/>
      </c>
      <c r="X122" s="3" t="b">
        <f>COUNTIF(W:W,data[[#This Row],[path_ok_status_evoavalla]]) = 1</f>
        <v>0</v>
      </c>
    </row>
    <row r="123" spans="1:24" x14ac:dyDescent="0.25">
      <c r="A123" t="s">
        <v>1047</v>
      </c>
      <c r="B123" t="s">
        <v>1048</v>
      </c>
      <c r="C123" t="s">
        <v>664</v>
      </c>
      <c r="D123" t="s">
        <v>980</v>
      </c>
      <c r="E123" t="s">
        <v>620</v>
      </c>
      <c r="F123" t="s">
        <v>637</v>
      </c>
      <c r="G123" t="s">
        <v>837</v>
      </c>
      <c r="H123" t="s">
        <v>623</v>
      </c>
      <c r="I123" t="s">
        <v>624</v>
      </c>
      <c r="J123" t="s">
        <v>1049</v>
      </c>
      <c r="K123" s="2" t="s">
        <v>683</v>
      </c>
      <c r="L123" s="2" t="s">
        <v>903</v>
      </c>
      <c r="M123" s="2" t="s">
        <v>750</v>
      </c>
      <c r="N123" s="2" t="s">
        <v>1050</v>
      </c>
      <c r="O123" t="s">
        <v>630</v>
      </c>
      <c r="P123" t="s">
        <v>630</v>
      </c>
      <c r="Q123" t="s">
        <v>632</v>
      </c>
      <c r="R123" t="s">
        <v>1051</v>
      </c>
      <c r="S123" t="s">
        <v>630</v>
      </c>
      <c r="T123" t="s">
        <v>620</v>
      </c>
      <c r="U123" t="s">
        <v>620</v>
      </c>
      <c r="V123" s="3" t="str">
        <f>IF(AND(data[[#This Row],[status]]="OK",data[[#This Row],[approach]]="evoavalla"),data[[#This Row],[asm_path]],"")</f>
        <v>../../../asm_examples/examples/landingGearSystem/LGS_SE.asm</v>
      </c>
      <c r="W123" s="3" t="str">
        <f>IF(AND(data[[#This Row],[status]]="OK",data[[#This Row],[approach]]="atgt"),data[[#This Row],[asm_path]],"")</f>
        <v/>
      </c>
      <c r="X123" s="3" t="b">
        <f>COUNTIF(W:W,data[[#This Row],[path_ok_status_evoavalla]]) = 1</f>
        <v>1</v>
      </c>
    </row>
    <row r="124" spans="1:24" x14ac:dyDescent="0.25">
      <c r="A124" t="s">
        <v>1052</v>
      </c>
      <c r="B124" t="s">
        <v>1053</v>
      </c>
      <c r="C124" t="s">
        <v>635</v>
      </c>
      <c r="D124" t="s">
        <v>682</v>
      </c>
      <c r="E124" t="s">
        <v>620</v>
      </c>
      <c r="F124" t="s">
        <v>682</v>
      </c>
      <c r="G124" t="s">
        <v>716</v>
      </c>
      <c r="H124" t="s">
        <v>623</v>
      </c>
      <c r="I124" t="s">
        <v>638</v>
      </c>
      <c r="J124" t="s">
        <v>632</v>
      </c>
      <c r="K124" s="2" t="s">
        <v>620</v>
      </c>
      <c r="L124" s="2" t="s">
        <v>620</v>
      </c>
      <c r="M124" s="2" t="s">
        <v>620</v>
      </c>
      <c r="N124" s="2" t="s">
        <v>620</v>
      </c>
      <c r="O124" t="s">
        <v>639</v>
      </c>
      <c r="P124" t="s">
        <v>639</v>
      </c>
      <c r="Q124" t="s">
        <v>639</v>
      </c>
      <c r="R124" t="s">
        <v>639</v>
      </c>
      <c r="S124" t="s">
        <v>639</v>
      </c>
      <c r="T124" t="s">
        <v>620</v>
      </c>
      <c r="U124" t="s">
        <v>620</v>
      </c>
      <c r="V124" s="3" t="str">
        <f>IF(AND(data[[#This Row],[status]]="OK",data[[#This Row],[approach]]="evoavalla"),data[[#This Row],[asm_path]],"")</f>
        <v/>
      </c>
      <c r="W124" s="3" t="str">
        <f>IF(AND(data[[#This Row],[status]]="OK",data[[#This Row],[approach]]="atgt"),data[[#This Row],[asm_path]],"")</f>
        <v/>
      </c>
      <c r="X124" s="3" t="b">
        <f>COUNTIF(W:W,data[[#This Row],[path_ok_status_evoavalla]]) = 1</f>
        <v>0</v>
      </c>
    </row>
    <row r="125" spans="1:24" x14ac:dyDescent="0.25">
      <c r="A125" t="s">
        <v>1054</v>
      </c>
      <c r="B125" t="s">
        <v>1055</v>
      </c>
      <c r="C125" t="s">
        <v>628</v>
      </c>
      <c r="D125" t="s">
        <v>626</v>
      </c>
      <c r="E125" t="s">
        <v>620</v>
      </c>
      <c r="F125" t="s">
        <v>716</v>
      </c>
      <c r="G125" t="s">
        <v>816</v>
      </c>
      <c r="H125" t="s">
        <v>623</v>
      </c>
      <c r="I125" t="s">
        <v>638</v>
      </c>
      <c r="J125" t="s">
        <v>1056</v>
      </c>
      <c r="K125" s="2" t="s">
        <v>620</v>
      </c>
      <c r="L125" s="2" t="s">
        <v>620</v>
      </c>
      <c r="M125" s="2" t="s">
        <v>620</v>
      </c>
      <c r="N125" s="2" t="s">
        <v>620</v>
      </c>
      <c r="O125" t="s">
        <v>639</v>
      </c>
      <c r="P125" t="s">
        <v>639</v>
      </c>
      <c r="Q125" t="s">
        <v>639</v>
      </c>
      <c r="R125" t="s">
        <v>639</v>
      </c>
      <c r="S125" t="s">
        <v>639</v>
      </c>
      <c r="T125" t="s">
        <v>620</v>
      </c>
      <c r="U125" t="s">
        <v>620</v>
      </c>
      <c r="V125" s="3" t="str">
        <f>IF(AND(data[[#This Row],[status]]="OK",data[[#This Row],[approach]]="evoavalla"),data[[#This Row],[asm_path]],"")</f>
        <v/>
      </c>
      <c r="W125" s="3" t="str">
        <f>IF(AND(data[[#This Row],[status]]="OK",data[[#This Row],[approach]]="atgt"),data[[#This Row],[asm_path]],"")</f>
        <v/>
      </c>
      <c r="X125" s="3" t="b">
        <f>COUNTIF(W:W,data[[#This Row],[path_ok_status_evoavalla]]) = 1</f>
        <v>0</v>
      </c>
    </row>
    <row r="126" spans="1:24" x14ac:dyDescent="0.25">
      <c r="A126" t="s">
        <v>1057</v>
      </c>
      <c r="B126" t="s">
        <v>1058</v>
      </c>
      <c r="C126" t="s">
        <v>635</v>
      </c>
      <c r="D126" t="s">
        <v>664</v>
      </c>
      <c r="E126" t="s">
        <v>620</v>
      </c>
      <c r="F126" t="s">
        <v>636</v>
      </c>
      <c r="G126" t="s">
        <v>683</v>
      </c>
      <c r="H126" t="s">
        <v>623</v>
      </c>
      <c r="I126" t="s">
        <v>638</v>
      </c>
      <c r="J126" t="s">
        <v>632</v>
      </c>
      <c r="K126" s="2" t="s">
        <v>620</v>
      </c>
      <c r="L126" s="2" t="s">
        <v>620</v>
      </c>
      <c r="M126" s="2" t="s">
        <v>620</v>
      </c>
      <c r="N126" s="2" t="s">
        <v>620</v>
      </c>
      <c r="O126" t="s">
        <v>639</v>
      </c>
      <c r="P126" t="s">
        <v>639</v>
      </c>
      <c r="Q126" t="s">
        <v>639</v>
      </c>
      <c r="R126" t="s">
        <v>639</v>
      </c>
      <c r="S126" t="s">
        <v>639</v>
      </c>
      <c r="T126" t="s">
        <v>620</v>
      </c>
      <c r="U126" t="s">
        <v>620</v>
      </c>
      <c r="V126" s="3" t="str">
        <f>IF(AND(data[[#This Row],[status]]="OK",data[[#This Row],[approach]]="evoavalla"),data[[#This Row],[asm_path]],"")</f>
        <v/>
      </c>
      <c r="W126" s="3" t="str">
        <f>IF(AND(data[[#This Row],[status]]="OK",data[[#This Row],[approach]]="atgt"),data[[#This Row],[asm_path]],"")</f>
        <v/>
      </c>
      <c r="X126" s="3" t="b">
        <f>COUNTIF(W:W,data[[#This Row],[path_ok_status_evoavalla]]) = 1</f>
        <v>0</v>
      </c>
    </row>
    <row r="127" spans="1:24" x14ac:dyDescent="0.25">
      <c r="A127" t="s">
        <v>1059</v>
      </c>
      <c r="B127" t="s">
        <v>1060</v>
      </c>
      <c r="C127" t="s">
        <v>951</v>
      </c>
      <c r="D127" t="s">
        <v>826</v>
      </c>
      <c r="E127" t="s">
        <v>618</v>
      </c>
      <c r="F127" t="s">
        <v>952</v>
      </c>
      <c r="G127" t="s">
        <v>953</v>
      </c>
      <c r="H127" t="s">
        <v>623</v>
      </c>
      <c r="I127" t="s">
        <v>638</v>
      </c>
      <c r="J127" t="s">
        <v>632</v>
      </c>
      <c r="K127" s="2" t="s">
        <v>620</v>
      </c>
      <c r="L127" s="2" t="s">
        <v>620</v>
      </c>
      <c r="M127" s="2" t="s">
        <v>620</v>
      </c>
      <c r="N127" s="2" t="s">
        <v>620</v>
      </c>
      <c r="O127" t="s">
        <v>639</v>
      </c>
      <c r="P127" t="s">
        <v>639</v>
      </c>
      <c r="Q127" t="s">
        <v>639</v>
      </c>
      <c r="R127" t="s">
        <v>639</v>
      </c>
      <c r="S127" t="s">
        <v>639</v>
      </c>
      <c r="T127" t="s">
        <v>620</v>
      </c>
      <c r="U127" t="s">
        <v>620</v>
      </c>
      <c r="V127" s="3" t="str">
        <f>IF(AND(data[[#This Row],[status]]="OK",data[[#This Row],[approach]]="evoavalla"),data[[#This Row],[asm_path]],"")</f>
        <v/>
      </c>
      <c r="W127" s="3" t="str">
        <f>IF(AND(data[[#This Row],[status]]="OK",data[[#This Row],[approach]]="atgt"),data[[#This Row],[asm_path]],"")</f>
        <v/>
      </c>
      <c r="X127" s="3" t="b">
        <f>COUNTIF(W:W,data[[#This Row],[path_ok_status_evoavalla]]) = 1</f>
        <v>0</v>
      </c>
    </row>
    <row r="128" spans="1:24" x14ac:dyDescent="0.25">
      <c r="A128" t="s">
        <v>1061</v>
      </c>
      <c r="B128" t="s">
        <v>1062</v>
      </c>
      <c r="C128" t="s">
        <v>637</v>
      </c>
      <c r="D128" t="s">
        <v>717</v>
      </c>
      <c r="E128" t="s">
        <v>620</v>
      </c>
      <c r="F128" t="s">
        <v>798</v>
      </c>
      <c r="G128" t="s">
        <v>799</v>
      </c>
      <c r="H128" t="s">
        <v>623</v>
      </c>
      <c r="I128" t="s">
        <v>638</v>
      </c>
      <c r="J128" t="s">
        <v>632</v>
      </c>
      <c r="K128" s="2" t="s">
        <v>620</v>
      </c>
      <c r="L128" s="2" t="s">
        <v>620</v>
      </c>
      <c r="M128" s="2" t="s">
        <v>620</v>
      </c>
      <c r="N128" s="2" t="s">
        <v>620</v>
      </c>
      <c r="O128" t="s">
        <v>639</v>
      </c>
      <c r="P128" t="s">
        <v>639</v>
      </c>
      <c r="Q128" t="s">
        <v>639</v>
      </c>
      <c r="R128" t="s">
        <v>639</v>
      </c>
      <c r="S128" t="s">
        <v>639</v>
      </c>
      <c r="T128" t="s">
        <v>620</v>
      </c>
      <c r="U128" t="s">
        <v>620</v>
      </c>
      <c r="V128" s="3" t="str">
        <f>IF(AND(data[[#This Row],[status]]="OK",data[[#This Row],[approach]]="evoavalla"),data[[#This Row],[asm_path]],"")</f>
        <v/>
      </c>
      <c r="W128" s="3" t="str">
        <f>IF(AND(data[[#This Row],[status]]="OK",data[[#This Row],[approach]]="atgt"),data[[#This Row],[asm_path]],"")</f>
        <v/>
      </c>
      <c r="X128" s="3" t="b">
        <f>COUNTIF(W:W,data[[#This Row],[path_ok_status_evoavalla]]) = 1</f>
        <v>0</v>
      </c>
    </row>
    <row r="129" spans="1:24" x14ac:dyDescent="0.25">
      <c r="A129" t="s">
        <v>1063</v>
      </c>
      <c r="B129" t="s">
        <v>1064</v>
      </c>
      <c r="C129" t="s">
        <v>1065</v>
      </c>
      <c r="D129" t="s">
        <v>1066</v>
      </c>
      <c r="E129" t="s">
        <v>620</v>
      </c>
      <c r="F129" t="s">
        <v>952</v>
      </c>
      <c r="G129" t="s">
        <v>1067</v>
      </c>
      <c r="H129" t="s">
        <v>623</v>
      </c>
      <c r="I129" t="s">
        <v>624</v>
      </c>
      <c r="J129" t="s">
        <v>1068</v>
      </c>
      <c r="K129" s="2" t="s">
        <v>1069</v>
      </c>
      <c r="L129" s="2" t="s">
        <v>648</v>
      </c>
      <c r="M129" s="2" t="s">
        <v>647</v>
      </c>
      <c r="N129" s="2" t="s">
        <v>1070</v>
      </c>
      <c r="O129" t="s">
        <v>630</v>
      </c>
      <c r="P129" t="s">
        <v>1071</v>
      </c>
      <c r="Q129" t="s">
        <v>632</v>
      </c>
      <c r="R129" t="s">
        <v>1072</v>
      </c>
      <c r="S129" t="s">
        <v>1073</v>
      </c>
      <c r="T129" t="s">
        <v>620</v>
      </c>
      <c r="U129" t="s">
        <v>620</v>
      </c>
      <c r="V129" s="3" t="str">
        <f>IF(AND(data[[#This Row],[status]]="OK",data[[#This Row],[approach]]="evoavalla"),data[[#This Row],[asm_path]],"")</f>
        <v>../../../asm_examples/PHD/phd_master_flat2_v2.asm</v>
      </c>
      <c r="W129" s="3" t="str">
        <f>IF(AND(data[[#This Row],[status]]="OK",data[[#This Row],[approach]]="atgt"),data[[#This Row],[asm_path]],"")</f>
        <v/>
      </c>
      <c r="X129" s="3" t="b">
        <f>COUNTIF(W:W,data[[#This Row],[path_ok_status_evoavalla]]) = 1</f>
        <v>1</v>
      </c>
    </row>
    <row r="130" spans="1:24" x14ac:dyDescent="0.25">
      <c r="A130" t="s">
        <v>1074</v>
      </c>
      <c r="B130" t="s">
        <v>1075</v>
      </c>
      <c r="C130" t="s">
        <v>690</v>
      </c>
      <c r="D130" t="s">
        <v>1076</v>
      </c>
      <c r="E130" t="s">
        <v>627</v>
      </c>
      <c r="F130" t="s">
        <v>697</v>
      </c>
      <c r="G130" t="s">
        <v>1077</v>
      </c>
      <c r="H130" t="s">
        <v>623</v>
      </c>
      <c r="I130" t="s">
        <v>638</v>
      </c>
      <c r="J130" t="s">
        <v>632</v>
      </c>
      <c r="K130" s="2" t="s">
        <v>620</v>
      </c>
      <c r="L130" s="2" t="s">
        <v>620</v>
      </c>
      <c r="M130" s="2" t="s">
        <v>620</v>
      </c>
      <c r="N130" s="2" t="s">
        <v>620</v>
      </c>
      <c r="O130" t="s">
        <v>639</v>
      </c>
      <c r="P130" t="s">
        <v>639</v>
      </c>
      <c r="Q130" t="s">
        <v>639</v>
      </c>
      <c r="R130" t="s">
        <v>639</v>
      </c>
      <c r="S130" t="s">
        <v>639</v>
      </c>
      <c r="T130" t="s">
        <v>620</v>
      </c>
      <c r="U130" t="s">
        <v>620</v>
      </c>
      <c r="V130" s="3" t="str">
        <f>IF(AND(data[[#This Row],[status]]="OK",data[[#This Row],[approach]]="evoavalla"),data[[#This Row],[asm_path]],"")</f>
        <v/>
      </c>
      <c r="W130" s="3" t="str">
        <f>IF(AND(data[[#This Row],[status]]="OK",data[[#This Row],[approach]]="atgt"),data[[#This Row],[asm_path]],"")</f>
        <v/>
      </c>
      <c r="X130" s="3" t="b">
        <f>COUNTIF(W:W,data[[#This Row],[path_ok_status_evoavalla]]) = 1</f>
        <v>0</v>
      </c>
    </row>
    <row r="131" spans="1:24" x14ac:dyDescent="0.25">
      <c r="A131" t="s">
        <v>1078</v>
      </c>
      <c r="B131" t="s">
        <v>1079</v>
      </c>
      <c r="C131" t="s">
        <v>635</v>
      </c>
      <c r="D131" t="s">
        <v>682</v>
      </c>
      <c r="E131" t="s">
        <v>620</v>
      </c>
      <c r="F131" t="s">
        <v>682</v>
      </c>
      <c r="G131" t="s">
        <v>637</v>
      </c>
      <c r="H131" t="s">
        <v>623</v>
      </c>
      <c r="I131" t="s">
        <v>624</v>
      </c>
      <c r="J131" t="s">
        <v>1080</v>
      </c>
      <c r="K131" s="2" t="s">
        <v>635</v>
      </c>
      <c r="L131" s="2" t="s">
        <v>664</v>
      </c>
      <c r="M131" s="2" t="s">
        <v>636</v>
      </c>
      <c r="N131" s="2" t="s">
        <v>620</v>
      </c>
      <c r="O131" t="s">
        <v>630</v>
      </c>
      <c r="P131" t="s">
        <v>1051</v>
      </c>
      <c r="Q131" t="s">
        <v>632</v>
      </c>
      <c r="R131" t="s">
        <v>863</v>
      </c>
      <c r="S131" t="s">
        <v>1081</v>
      </c>
      <c r="T131" t="s">
        <v>620</v>
      </c>
      <c r="U131" t="s">
        <v>620</v>
      </c>
      <c r="V131" s="3" t="str">
        <f>IF(AND(data[[#This Row],[status]]="OK",data[[#This Row],[approach]]="evoavalla"),data[[#This Row],[asm_path]],"")</f>
        <v>../../../asm_examples/examples/simple_example/AdvancedClock2.asm</v>
      </c>
      <c r="W131" s="3" t="str">
        <f>IF(AND(data[[#This Row],[status]]="OK",data[[#This Row],[approach]]="atgt"),data[[#This Row],[asm_path]],"")</f>
        <v/>
      </c>
      <c r="X131" s="3" t="b">
        <f>COUNTIF(W:W,data[[#This Row],[path_ok_status_evoavalla]]) = 1</f>
        <v>1</v>
      </c>
    </row>
    <row r="132" spans="1:24" x14ac:dyDescent="0.25">
      <c r="A132" t="s">
        <v>1082</v>
      </c>
      <c r="B132" t="s">
        <v>1083</v>
      </c>
      <c r="C132" t="s">
        <v>675</v>
      </c>
      <c r="D132" t="s">
        <v>808</v>
      </c>
      <c r="E132" t="s">
        <v>620</v>
      </c>
      <c r="F132" t="s">
        <v>816</v>
      </c>
      <c r="G132" t="s">
        <v>1084</v>
      </c>
      <c r="H132" t="s">
        <v>623</v>
      </c>
      <c r="I132" t="s">
        <v>638</v>
      </c>
      <c r="J132" t="s">
        <v>632</v>
      </c>
      <c r="K132" s="2" t="s">
        <v>620</v>
      </c>
      <c r="L132" s="2" t="s">
        <v>620</v>
      </c>
      <c r="M132" s="2" t="s">
        <v>620</v>
      </c>
      <c r="N132" s="2" t="s">
        <v>620</v>
      </c>
      <c r="O132" t="s">
        <v>639</v>
      </c>
      <c r="P132" t="s">
        <v>639</v>
      </c>
      <c r="Q132" t="s">
        <v>639</v>
      </c>
      <c r="R132" t="s">
        <v>639</v>
      </c>
      <c r="S132" t="s">
        <v>639</v>
      </c>
      <c r="T132" t="s">
        <v>620</v>
      </c>
      <c r="U132" t="s">
        <v>620</v>
      </c>
      <c r="V132" s="3" t="str">
        <f>IF(AND(data[[#This Row],[status]]="OK",data[[#This Row],[approach]]="evoavalla"),data[[#This Row],[asm_path]],"")</f>
        <v/>
      </c>
      <c r="W132" s="3" t="str">
        <f>IF(AND(data[[#This Row],[status]]="OK",data[[#This Row],[approach]]="atgt"),data[[#This Row],[asm_path]],"")</f>
        <v/>
      </c>
      <c r="X132" s="3" t="b">
        <f>COUNTIF(W:W,data[[#This Row],[path_ok_status_evoavalla]]) = 1</f>
        <v>0</v>
      </c>
    </row>
    <row r="133" spans="1:24" x14ac:dyDescent="0.25">
      <c r="A133" t="s">
        <v>1085</v>
      </c>
      <c r="B133" t="s">
        <v>1086</v>
      </c>
      <c r="C133" t="s">
        <v>635</v>
      </c>
      <c r="D133" t="s">
        <v>635</v>
      </c>
      <c r="E133" t="s">
        <v>636</v>
      </c>
      <c r="F133" t="s">
        <v>637</v>
      </c>
      <c r="G133" t="s">
        <v>740</v>
      </c>
      <c r="H133" t="s">
        <v>623</v>
      </c>
      <c r="I133" t="s">
        <v>638</v>
      </c>
      <c r="J133" t="s">
        <v>632</v>
      </c>
      <c r="K133" s="2" t="s">
        <v>620</v>
      </c>
      <c r="L133" s="2" t="s">
        <v>620</v>
      </c>
      <c r="M133" s="2" t="s">
        <v>620</v>
      </c>
      <c r="N133" s="2" t="s">
        <v>620</v>
      </c>
      <c r="O133" t="s">
        <v>639</v>
      </c>
      <c r="P133" t="s">
        <v>639</v>
      </c>
      <c r="Q133" t="s">
        <v>639</v>
      </c>
      <c r="R133" t="s">
        <v>639</v>
      </c>
      <c r="S133" t="s">
        <v>639</v>
      </c>
      <c r="T133" t="s">
        <v>620</v>
      </c>
      <c r="U133" t="s">
        <v>620</v>
      </c>
      <c r="V133" s="3" t="str">
        <f>IF(AND(data[[#This Row],[status]]="OK",data[[#This Row],[approach]]="evoavalla"),data[[#This Row],[asm_path]],"")</f>
        <v/>
      </c>
      <c r="W133" s="3" t="str">
        <f>IF(AND(data[[#This Row],[status]]="OK",data[[#This Row],[approach]]="atgt"),data[[#This Row],[asm_path]],"")</f>
        <v/>
      </c>
      <c r="X133" s="3" t="b">
        <f>COUNTIF(W:W,data[[#This Row],[path_ok_status_evoavalla]]) = 1</f>
        <v>0</v>
      </c>
    </row>
    <row r="134" spans="1:24" x14ac:dyDescent="0.25">
      <c r="A134" t="s">
        <v>1087</v>
      </c>
      <c r="B134" t="s">
        <v>1088</v>
      </c>
      <c r="C134" t="s">
        <v>682</v>
      </c>
      <c r="D134" t="s">
        <v>635</v>
      </c>
      <c r="E134" t="s">
        <v>620</v>
      </c>
      <c r="F134" t="s">
        <v>636</v>
      </c>
      <c r="G134" t="s">
        <v>683</v>
      </c>
      <c r="H134" t="s">
        <v>623</v>
      </c>
      <c r="I134" t="s">
        <v>638</v>
      </c>
      <c r="J134" t="s">
        <v>632</v>
      </c>
      <c r="K134" s="2" t="s">
        <v>620</v>
      </c>
      <c r="L134" s="2" t="s">
        <v>620</v>
      </c>
      <c r="M134" s="2" t="s">
        <v>620</v>
      </c>
      <c r="N134" s="2" t="s">
        <v>620</v>
      </c>
      <c r="O134" t="s">
        <v>639</v>
      </c>
      <c r="P134" t="s">
        <v>639</v>
      </c>
      <c r="Q134" t="s">
        <v>639</v>
      </c>
      <c r="R134" t="s">
        <v>639</v>
      </c>
      <c r="S134" t="s">
        <v>639</v>
      </c>
      <c r="T134" t="s">
        <v>620</v>
      </c>
      <c r="U134" t="s">
        <v>620</v>
      </c>
      <c r="V134" s="3" t="str">
        <f>IF(AND(data[[#This Row],[status]]="OK",data[[#This Row],[approach]]="evoavalla"),data[[#This Row],[asm_path]],"")</f>
        <v/>
      </c>
      <c r="W134" s="3" t="str">
        <f>IF(AND(data[[#This Row],[status]]="OK",data[[#This Row],[approach]]="atgt"),data[[#This Row],[asm_path]],"")</f>
        <v/>
      </c>
      <c r="X134" s="3" t="b">
        <f>COUNTIF(W:W,data[[#This Row],[path_ok_status_evoavalla]]) = 1</f>
        <v>0</v>
      </c>
    </row>
    <row r="135" spans="1:24" x14ac:dyDescent="0.25">
      <c r="A135" t="s">
        <v>1089</v>
      </c>
      <c r="B135" t="s">
        <v>1090</v>
      </c>
      <c r="C135" t="s">
        <v>710</v>
      </c>
      <c r="D135" t="s">
        <v>690</v>
      </c>
      <c r="E135" t="s">
        <v>620</v>
      </c>
      <c r="F135" t="s">
        <v>637</v>
      </c>
      <c r="G135" t="s">
        <v>951</v>
      </c>
      <c r="H135" t="s">
        <v>623</v>
      </c>
      <c r="I135" t="s">
        <v>624</v>
      </c>
      <c r="J135" t="s">
        <v>1091</v>
      </c>
      <c r="K135" s="2" t="s">
        <v>626</v>
      </c>
      <c r="L135" s="2" t="s">
        <v>690</v>
      </c>
      <c r="M135" s="2" t="s">
        <v>628</v>
      </c>
      <c r="N135" s="2" t="s">
        <v>1092</v>
      </c>
      <c r="O135" t="s">
        <v>630</v>
      </c>
      <c r="P135" t="s">
        <v>1093</v>
      </c>
      <c r="Q135" t="s">
        <v>632</v>
      </c>
      <c r="R135" t="s">
        <v>630</v>
      </c>
      <c r="S135" t="s">
        <v>630</v>
      </c>
      <c r="T135" t="s">
        <v>620</v>
      </c>
      <c r="U135" t="s">
        <v>620</v>
      </c>
      <c r="V135" s="3" t="str">
        <f>IF(AND(data[[#This Row],[status]]="OK",data[[#This Row],[approach]]="evoavalla"),data[[#This Row],[asm_path]],"")</f>
        <v>../../../asm_examples/stereoacuity/certifierRaff1.asm</v>
      </c>
      <c r="W135" s="3" t="str">
        <f>IF(AND(data[[#This Row],[status]]="OK",data[[#This Row],[approach]]="atgt"),data[[#This Row],[asm_path]],"")</f>
        <v/>
      </c>
      <c r="X135" s="3" t="b">
        <f>COUNTIF(W:W,data[[#This Row],[path_ok_status_evoavalla]]) = 1</f>
        <v>1</v>
      </c>
    </row>
    <row r="136" spans="1:24" x14ac:dyDescent="0.25">
      <c r="A136" t="s">
        <v>1094</v>
      </c>
      <c r="B136" t="s">
        <v>1095</v>
      </c>
      <c r="C136" t="s">
        <v>635</v>
      </c>
      <c r="D136" t="s">
        <v>636</v>
      </c>
      <c r="E136" t="s">
        <v>636</v>
      </c>
      <c r="F136" t="s">
        <v>635</v>
      </c>
      <c r="G136" t="s">
        <v>664</v>
      </c>
      <c r="H136" t="s">
        <v>623</v>
      </c>
      <c r="I136" t="s">
        <v>638</v>
      </c>
      <c r="J136" t="s">
        <v>632</v>
      </c>
      <c r="K136" s="2" t="s">
        <v>620</v>
      </c>
      <c r="L136" s="2" t="s">
        <v>620</v>
      </c>
      <c r="M136" s="2" t="s">
        <v>620</v>
      </c>
      <c r="N136" s="2" t="s">
        <v>620</v>
      </c>
      <c r="O136" t="s">
        <v>639</v>
      </c>
      <c r="P136" t="s">
        <v>639</v>
      </c>
      <c r="Q136" t="s">
        <v>639</v>
      </c>
      <c r="R136" t="s">
        <v>639</v>
      </c>
      <c r="S136" t="s">
        <v>639</v>
      </c>
      <c r="T136" t="s">
        <v>620</v>
      </c>
      <c r="U136" t="s">
        <v>620</v>
      </c>
      <c r="V136" s="3" t="str">
        <f>IF(AND(data[[#This Row],[status]]="OK",data[[#This Row],[approach]]="evoavalla"),data[[#This Row],[asm_path]],"")</f>
        <v/>
      </c>
      <c r="W136" s="3" t="str">
        <f>IF(AND(data[[#This Row],[status]]="OK",data[[#This Row],[approach]]="atgt"),data[[#This Row],[asm_path]],"")</f>
        <v/>
      </c>
      <c r="X136" s="3" t="b">
        <f>COUNTIF(W:W,data[[#This Row],[path_ok_status_evoavalla]]) = 1</f>
        <v>0</v>
      </c>
    </row>
    <row r="137" spans="1:24" x14ac:dyDescent="0.25">
      <c r="A137" t="s">
        <v>1096</v>
      </c>
      <c r="B137" t="s">
        <v>1097</v>
      </c>
      <c r="C137" t="s">
        <v>1098</v>
      </c>
      <c r="D137" t="s">
        <v>1099</v>
      </c>
      <c r="E137" t="s">
        <v>636</v>
      </c>
      <c r="F137" t="s">
        <v>913</v>
      </c>
      <c r="G137" t="s">
        <v>1100</v>
      </c>
      <c r="H137" t="s">
        <v>623</v>
      </c>
      <c r="I137" t="s">
        <v>638</v>
      </c>
      <c r="J137" t="s">
        <v>1101</v>
      </c>
      <c r="K137" s="2" t="s">
        <v>620</v>
      </c>
      <c r="L137" s="2" t="s">
        <v>620</v>
      </c>
      <c r="M137" s="2" t="s">
        <v>620</v>
      </c>
      <c r="N137" s="2" t="s">
        <v>620</v>
      </c>
      <c r="O137" t="s">
        <v>639</v>
      </c>
      <c r="P137" t="s">
        <v>639</v>
      </c>
      <c r="Q137" t="s">
        <v>639</v>
      </c>
      <c r="R137" t="s">
        <v>639</v>
      </c>
      <c r="S137" t="s">
        <v>639</v>
      </c>
      <c r="T137" t="s">
        <v>620</v>
      </c>
      <c r="U137" t="s">
        <v>635</v>
      </c>
      <c r="V137" s="3" t="str">
        <f>IF(AND(data[[#This Row],[status]]="OK",data[[#This Row],[approach]]="evoavalla"),data[[#This Row],[asm_path]],"")</f>
        <v/>
      </c>
      <c r="W137" s="3" t="str">
        <f>IF(AND(data[[#This Row],[status]]="OK",data[[#This Row],[approach]]="atgt"),data[[#This Row],[asm_path]],"")</f>
        <v/>
      </c>
      <c r="X137" s="3" t="b">
        <f>COUNTIF(W:W,data[[#This Row],[path_ok_status_evoavalla]]) = 1</f>
        <v>0</v>
      </c>
    </row>
    <row r="138" spans="1:24" x14ac:dyDescent="0.25">
      <c r="A138" t="s">
        <v>1102</v>
      </c>
      <c r="B138" t="s">
        <v>979</v>
      </c>
      <c r="C138" t="s">
        <v>626</v>
      </c>
      <c r="D138" t="s">
        <v>664</v>
      </c>
      <c r="E138" t="s">
        <v>620</v>
      </c>
      <c r="F138" t="s">
        <v>664</v>
      </c>
      <c r="G138" t="s">
        <v>710</v>
      </c>
      <c r="H138" t="s">
        <v>623</v>
      </c>
      <c r="I138" t="s">
        <v>638</v>
      </c>
      <c r="J138" t="s">
        <v>632</v>
      </c>
      <c r="K138" s="2" t="s">
        <v>620</v>
      </c>
      <c r="L138" s="2" t="s">
        <v>620</v>
      </c>
      <c r="M138" s="2" t="s">
        <v>620</v>
      </c>
      <c r="N138" s="2" t="s">
        <v>620</v>
      </c>
      <c r="O138" t="s">
        <v>639</v>
      </c>
      <c r="P138" t="s">
        <v>639</v>
      </c>
      <c r="Q138" t="s">
        <v>639</v>
      </c>
      <c r="R138" t="s">
        <v>639</v>
      </c>
      <c r="S138" t="s">
        <v>639</v>
      </c>
      <c r="T138" t="s">
        <v>620</v>
      </c>
      <c r="U138" t="s">
        <v>620</v>
      </c>
      <c r="V138" s="3" t="str">
        <f>IF(AND(data[[#This Row],[status]]="OK",data[[#This Row],[approach]]="evoavalla"),data[[#This Row],[asm_path]],"")</f>
        <v/>
      </c>
      <c r="W138" s="3" t="str">
        <f>IF(AND(data[[#This Row],[status]]="OK",data[[#This Row],[approach]]="atgt"),data[[#This Row],[asm_path]],"")</f>
        <v/>
      </c>
      <c r="X138" s="3" t="b">
        <f>COUNTIF(W:W,data[[#This Row],[path_ok_status_evoavalla]]) = 1</f>
        <v>0</v>
      </c>
    </row>
    <row r="139" spans="1:24" x14ac:dyDescent="0.25">
      <c r="A139" t="s">
        <v>1103</v>
      </c>
      <c r="B139" t="s">
        <v>1104</v>
      </c>
      <c r="C139" t="s">
        <v>635</v>
      </c>
      <c r="D139" t="s">
        <v>635</v>
      </c>
      <c r="E139" t="s">
        <v>635</v>
      </c>
      <c r="F139" t="s">
        <v>682</v>
      </c>
      <c r="G139" t="s">
        <v>683</v>
      </c>
      <c r="H139" t="s">
        <v>623</v>
      </c>
      <c r="I139" t="s">
        <v>638</v>
      </c>
      <c r="J139" t="s">
        <v>632</v>
      </c>
      <c r="K139" s="2" t="s">
        <v>620</v>
      </c>
      <c r="L139" s="2" t="s">
        <v>620</v>
      </c>
      <c r="M139" s="2" t="s">
        <v>620</v>
      </c>
      <c r="N139" s="2" t="s">
        <v>620</v>
      </c>
      <c r="O139" t="s">
        <v>639</v>
      </c>
      <c r="P139" t="s">
        <v>639</v>
      </c>
      <c r="Q139" t="s">
        <v>639</v>
      </c>
      <c r="R139" t="s">
        <v>639</v>
      </c>
      <c r="S139" t="s">
        <v>639</v>
      </c>
      <c r="T139" t="s">
        <v>620</v>
      </c>
      <c r="U139" t="s">
        <v>620</v>
      </c>
      <c r="V139" s="3" t="str">
        <f>IF(AND(data[[#This Row],[status]]="OK",data[[#This Row],[approach]]="evoavalla"),data[[#This Row],[asm_path]],"")</f>
        <v/>
      </c>
      <c r="W139" s="3" t="str">
        <f>IF(AND(data[[#This Row],[status]]="OK",data[[#This Row],[approach]]="atgt"),data[[#This Row],[asm_path]],"")</f>
        <v/>
      </c>
      <c r="X139" s="3" t="b">
        <f>COUNTIF(W:W,data[[#This Row],[path_ok_status_evoavalla]]) = 1</f>
        <v>0</v>
      </c>
    </row>
    <row r="140" spans="1:24" x14ac:dyDescent="0.25">
      <c r="A140" t="s">
        <v>1105</v>
      </c>
      <c r="B140" t="s">
        <v>1106</v>
      </c>
      <c r="C140" t="s">
        <v>683</v>
      </c>
      <c r="D140" t="s">
        <v>798</v>
      </c>
      <c r="E140" t="s">
        <v>636</v>
      </c>
      <c r="F140" t="s">
        <v>621</v>
      </c>
      <c r="G140" t="s">
        <v>951</v>
      </c>
      <c r="H140" t="s">
        <v>623</v>
      </c>
      <c r="I140" t="s">
        <v>638</v>
      </c>
      <c r="J140" t="s">
        <v>632</v>
      </c>
      <c r="K140" s="2" t="s">
        <v>620</v>
      </c>
      <c r="L140" s="2" t="s">
        <v>620</v>
      </c>
      <c r="M140" s="2" t="s">
        <v>620</v>
      </c>
      <c r="N140" s="2" t="s">
        <v>620</v>
      </c>
      <c r="O140" t="s">
        <v>639</v>
      </c>
      <c r="P140" t="s">
        <v>639</v>
      </c>
      <c r="Q140" t="s">
        <v>639</v>
      </c>
      <c r="R140" t="s">
        <v>639</v>
      </c>
      <c r="S140" t="s">
        <v>639</v>
      </c>
      <c r="T140" t="s">
        <v>620</v>
      </c>
      <c r="U140" t="s">
        <v>620</v>
      </c>
      <c r="V140" s="3" t="str">
        <f>IF(AND(data[[#This Row],[status]]="OK",data[[#This Row],[approach]]="evoavalla"),data[[#This Row],[asm_path]],"")</f>
        <v/>
      </c>
      <c r="W140" s="3" t="str">
        <f>IF(AND(data[[#This Row],[status]]="OK",data[[#This Row],[approach]]="atgt"),data[[#This Row],[asm_path]],"")</f>
        <v/>
      </c>
      <c r="X140" s="3" t="b">
        <f>COUNTIF(W:W,data[[#This Row],[path_ok_status_evoavalla]]) = 1</f>
        <v>0</v>
      </c>
    </row>
    <row r="141" spans="1:24" x14ac:dyDescent="0.25">
      <c r="A141" t="s">
        <v>1107</v>
      </c>
      <c r="B141" t="s">
        <v>892</v>
      </c>
      <c r="C141" t="s">
        <v>636</v>
      </c>
      <c r="D141" t="s">
        <v>620</v>
      </c>
      <c r="E141" t="s">
        <v>620</v>
      </c>
      <c r="F141" t="s">
        <v>620</v>
      </c>
      <c r="G141" t="s">
        <v>636</v>
      </c>
      <c r="H141" t="s">
        <v>623</v>
      </c>
      <c r="I141" t="s">
        <v>638</v>
      </c>
      <c r="J141" t="s">
        <v>632</v>
      </c>
      <c r="K141" s="2" t="s">
        <v>620</v>
      </c>
      <c r="L141" s="2" t="s">
        <v>620</v>
      </c>
      <c r="M141" s="2" t="s">
        <v>620</v>
      </c>
      <c r="N141" s="2" t="s">
        <v>620</v>
      </c>
      <c r="O141" t="s">
        <v>639</v>
      </c>
      <c r="P141" t="s">
        <v>639</v>
      </c>
      <c r="Q141" t="s">
        <v>639</v>
      </c>
      <c r="R141" t="s">
        <v>639</v>
      </c>
      <c r="S141" t="s">
        <v>639</v>
      </c>
      <c r="T141" t="s">
        <v>620</v>
      </c>
      <c r="U141" t="s">
        <v>620</v>
      </c>
      <c r="V141" s="3" t="str">
        <f>IF(AND(data[[#This Row],[status]]="OK",data[[#This Row],[approach]]="evoavalla"),data[[#This Row],[asm_path]],"")</f>
        <v/>
      </c>
      <c r="W141" s="3" t="str">
        <f>IF(AND(data[[#This Row],[status]]="OK",data[[#This Row],[approach]]="atgt"),data[[#This Row],[asm_path]],"")</f>
        <v/>
      </c>
      <c r="X141" s="3" t="b">
        <f>COUNTIF(W:W,data[[#This Row],[path_ok_status_evoavalla]]) = 1</f>
        <v>0</v>
      </c>
    </row>
    <row r="142" spans="1:24" x14ac:dyDescent="0.25">
      <c r="A142" t="s">
        <v>1108</v>
      </c>
      <c r="B142" t="s">
        <v>1109</v>
      </c>
      <c r="C142" t="s">
        <v>683</v>
      </c>
      <c r="D142" t="s">
        <v>628</v>
      </c>
      <c r="E142" t="s">
        <v>636</v>
      </c>
      <c r="F142" t="s">
        <v>683</v>
      </c>
      <c r="G142" t="s">
        <v>745</v>
      </c>
      <c r="H142" t="s">
        <v>623</v>
      </c>
      <c r="I142" t="s">
        <v>638</v>
      </c>
      <c r="J142" t="s">
        <v>632</v>
      </c>
      <c r="K142" s="2" t="s">
        <v>620</v>
      </c>
      <c r="L142" s="2" t="s">
        <v>620</v>
      </c>
      <c r="M142" s="2" t="s">
        <v>620</v>
      </c>
      <c r="N142" s="2" t="s">
        <v>620</v>
      </c>
      <c r="O142" t="s">
        <v>639</v>
      </c>
      <c r="P142" t="s">
        <v>639</v>
      </c>
      <c r="Q142" t="s">
        <v>639</v>
      </c>
      <c r="R142" t="s">
        <v>639</v>
      </c>
      <c r="S142" t="s">
        <v>639</v>
      </c>
      <c r="T142" t="s">
        <v>620</v>
      </c>
      <c r="U142" t="s">
        <v>620</v>
      </c>
      <c r="V142" s="3" t="str">
        <f>IF(AND(data[[#This Row],[status]]="OK",data[[#This Row],[approach]]="evoavalla"),data[[#This Row],[asm_path]],"")</f>
        <v/>
      </c>
      <c r="W142" s="3" t="str">
        <f>IF(AND(data[[#This Row],[status]]="OK",data[[#This Row],[approach]]="atgt"),data[[#This Row],[asm_path]],"")</f>
        <v/>
      </c>
      <c r="X142" s="3" t="b">
        <f>COUNTIF(W:W,data[[#This Row],[path_ok_status_evoavalla]]) = 1</f>
        <v>0</v>
      </c>
    </row>
    <row r="143" spans="1:24" x14ac:dyDescent="0.25">
      <c r="A143" t="s">
        <v>1110</v>
      </c>
      <c r="B143" t="s">
        <v>892</v>
      </c>
      <c r="C143" t="s">
        <v>636</v>
      </c>
      <c r="D143" t="s">
        <v>620</v>
      </c>
      <c r="E143" t="s">
        <v>620</v>
      </c>
      <c r="F143" t="s">
        <v>620</v>
      </c>
      <c r="G143" t="s">
        <v>636</v>
      </c>
      <c r="H143" t="s">
        <v>623</v>
      </c>
      <c r="I143" t="s">
        <v>638</v>
      </c>
      <c r="J143" t="s">
        <v>632</v>
      </c>
      <c r="K143" s="2" t="s">
        <v>620</v>
      </c>
      <c r="L143" s="2" t="s">
        <v>620</v>
      </c>
      <c r="M143" s="2" t="s">
        <v>620</v>
      </c>
      <c r="N143" s="2" t="s">
        <v>620</v>
      </c>
      <c r="O143" t="s">
        <v>639</v>
      </c>
      <c r="P143" t="s">
        <v>639</v>
      </c>
      <c r="Q143" t="s">
        <v>639</v>
      </c>
      <c r="R143" t="s">
        <v>639</v>
      </c>
      <c r="S143" t="s">
        <v>639</v>
      </c>
      <c r="T143" t="s">
        <v>620</v>
      </c>
      <c r="U143" t="s">
        <v>620</v>
      </c>
      <c r="V143" s="3" t="str">
        <f>IF(AND(data[[#This Row],[status]]="OK",data[[#This Row],[approach]]="evoavalla"),data[[#This Row],[asm_path]],"")</f>
        <v/>
      </c>
      <c r="W143" s="3" t="str">
        <f>IF(AND(data[[#This Row],[status]]="OK",data[[#This Row],[approach]]="atgt"),data[[#This Row],[asm_path]],"")</f>
        <v/>
      </c>
      <c r="X143" s="3" t="b">
        <f>COUNTIF(W:W,data[[#This Row],[path_ok_status_evoavalla]]) = 1</f>
        <v>0</v>
      </c>
    </row>
    <row r="144" spans="1:24" x14ac:dyDescent="0.25">
      <c r="A144" t="s">
        <v>1111</v>
      </c>
      <c r="B144" t="s">
        <v>1112</v>
      </c>
      <c r="C144" t="s">
        <v>635</v>
      </c>
      <c r="D144" t="s">
        <v>635</v>
      </c>
      <c r="E144" t="s">
        <v>620</v>
      </c>
      <c r="F144" t="s">
        <v>620</v>
      </c>
      <c r="G144" t="s">
        <v>637</v>
      </c>
      <c r="H144" t="s">
        <v>623</v>
      </c>
      <c r="I144" t="s">
        <v>638</v>
      </c>
      <c r="J144" t="s">
        <v>632</v>
      </c>
      <c r="K144" s="2" t="s">
        <v>620</v>
      </c>
      <c r="L144" s="2" t="s">
        <v>620</v>
      </c>
      <c r="M144" s="2" t="s">
        <v>620</v>
      </c>
      <c r="N144" s="2" t="s">
        <v>620</v>
      </c>
      <c r="O144" t="s">
        <v>639</v>
      </c>
      <c r="P144" t="s">
        <v>639</v>
      </c>
      <c r="Q144" t="s">
        <v>639</v>
      </c>
      <c r="R144" t="s">
        <v>639</v>
      </c>
      <c r="S144" t="s">
        <v>639</v>
      </c>
      <c r="T144" t="s">
        <v>620</v>
      </c>
      <c r="U144" t="s">
        <v>620</v>
      </c>
      <c r="V144" s="3" t="str">
        <f>IF(AND(data[[#This Row],[status]]="OK",data[[#This Row],[approach]]="evoavalla"),data[[#This Row],[asm_path]],"")</f>
        <v/>
      </c>
      <c r="W144" s="3" t="str">
        <f>IF(AND(data[[#This Row],[status]]="OK",data[[#This Row],[approach]]="atgt"),data[[#This Row],[asm_path]],"")</f>
        <v/>
      </c>
      <c r="X144" s="3" t="b">
        <f>COUNTIF(W:W,data[[#This Row],[path_ok_status_evoavalla]]) = 1</f>
        <v>0</v>
      </c>
    </row>
    <row r="145" spans="1:24" x14ac:dyDescent="0.25">
      <c r="A145" t="s">
        <v>1113</v>
      </c>
      <c r="B145" t="s">
        <v>1114</v>
      </c>
      <c r="C145" t="s">
        <v>664</v>
      </c>
      <c r="D145" t="s">
        <v>628</v>
      </c>
      <c r="E145" t="s">
        <v>636</v>
      </c>
      <c r="F145" t="s">
        <v>626</v>
      </c>
      <c r="G145" t="s">
        <v>627</v>
      </c>
      <c r="H145" t="s">
        <v>623</v>
      </c>
      <c r="I145" t="s">
        <v>638</v>
      </c>
      <c r="J145" t="s">
        <v>632</v>
      </c>
      <c r="K145" s="2" t="s">
        <v>620</v>
      </c>
      <c r="L145" s="2" t="s">
        <v>620</v>
      </c>
      <c r="M145" s="2" t="s">
        <v>620</v>
      </c>
      <c r="N145" s="2" t="s">
        <v>620</v>
      </c>
      <c r="O145" t="s">
        <v>639</v>
      </c>
      <c r="P145" t="s">
        <v>639</v>
      </c>
      <c r="Q145" t="s">
        <v>639</v>
      </c>
      <c r="R145" t="s">
        <v>639</v>
      </c>
      <c r="S145" t="s">
        <v>639</v>
      </c>
      <c r="T145" t="s">
        <v>620</v>
      </c>
      <c r="U145" t="s">
        <v>620</v>
      </c>
      <c r="V145" s="3" t="str">
        <f>IF(AND(data[[#This Row],[status]]="OK",data[[#This Row],[approach]]="evoavalla"),data[[#This Row],[asm_path]],"")</f>
        <v/>
      </c>
      <c r="W145" s="3" t="str">
        <f>IF(AND(data[[#This Row],[status]]="OK",data[[#This Row],[approach]]="atgt"),data[[#This Row],[asm_path]],"")</f>
        <v/>
      </c>
      <c r="X145" s="3" t="b">
        <f>COUNTIF(W:W,data[[#This Row],[path_ok_status_evoavalla]]) = 1</f>
        <v>0</v>
      </c>
    </row>
    <row r="146" spans="1:24" x14ac:dyDescent="0.25">
      <c r="A146" t="s">
        <v>1115</v>
      </c>
      <c r="B146" t="s">
        <v>1116</v>
      </c>
      <c r="C146" t="s">
        <v>716</v>
      </c>
      <c r="D146" t="s">
        <v>683</v>
      </c>
      <c r="E146" t="s">
        <v>620</v>
      </c>
      <c r="F146" t="s">
        <v>628</v>
      </c>
      <c r="G146" t="s">
        <v>750</v>
      </c>
      <c r="H146" t="s">
        <v>623</v>
      </c>
      <c r="I146" t="s">
        <v>638</v>
      </c>
      <c r="J146" t="s">
        <v>632</v>
      </c>
      <c r="K146" s="2" t="s">
        <v>620</v>
      </c>
      <c r="L146" s="2" t="s">
        <v>620</v>
      </c>
      <c r="M146" s="2" t="s">
        <v>620</v>
      </c>
      <c r="N146" s="2" t="s">
        <v>620</v>
      </c>
      <c r="O146" t="s">
        <v>639</v>
      </c>
      <c r="P146" t="s">
        <v>639</v>
      </c>
      <c r="Q146" t="s">
        <v>639</v>
      </c>
      <c r="R146" t="s">
        <v>639</v>
      </c>
      <c r="S146" t="s">
        <v>639</v>
      </c>
      <c r="T146" t="s">
        <v>620</v>
      </c>
      <c r="U146" t="s">
        <v>620</v>
      </c>
      <c r="V146" s="3" t="str">
        <f>IF(AND(data[[#This Row],[status]]="OK",data[[#This Row],[approach]]="evoavalla"),data[[#This Row],[asm_path]],"")</f>
        <v/>
      </c>
      <c r="W146" s="3" t="str">
        <f>IF(AND(data[[#This Row],[status]]="OK",data[[#This Row],[approach]]="atgt"),data[[#This Row],[asm_path]],"")</f>
        <v/>
      </c>
      <c r="X146" s="3" t="b">
        <f>COUNTIF(W:W,data[[#This Row],[path_ok_status_evoavalla]]) = 1</f>
        <v>0</v>
      </c>
    </row>
    <row r="147" spans="1:24" x14ac:dyDescent="0.25">
      <c r="A147" t="s">
        <v>1117</v>
      </c>
      <c r="B147" t="s">
        <v>1118</v>
      </c>
      <c r="C147" t="s">
        <v>716</v>
      </c>
      <c r="D147" t="s">
        <v>941</v>
      </c>
      <c r="E147" t="s">
        <v>620</v>
      </c>
      <c r="F147" t="s">
        <v>643</v>
      </c>
      <c r="G147" t="s">
        <v>746</v>
      </c>
      <c r="H147" t="s">
        <v>623</v>
      </c>
      <c r="I147" t="s">
        <v>624</v>
      </c>
      <c r="J147" t="s">
        <v>1119</v>
      </c>
      <c r="K147" s="2" t="s">
        <v>682</v>
      </c>
      <c r="L147" s="2" t="s">
        <v>628</v>
      </c>
      <c r="M147" s="2" t="s">
        <v>637</v>
      </c>
      <c r="N147" s="2" t="s">
        <v>619</v>
      </c>
      <c r="O147" t="s">
        <v>888</v>
      </c>
      <c r="P147" t="s">
        <v>1120</v>
      </c>
      <c r="Q147" t="s">
        <v>632</v>
      </c>
      <c r="R147" t="s">
        <v>888</v>
      </c>
      <c r="S147" t="s">
        <v>1121</v>
      </c>
      <c r="T147" t="s">
        <v>620</v>
      </c>
      <c r="U147" t="s">
        <v>636</v>
      </c>
      <c r="V147" s="3" t="str">
        <f>IF(AND(data[[#This Row],[status]]="OK",data[[#This Row],[approach]]="evoavalla"),data[[#This Row],[asm_path]],"")</f>
        <v>../../../asm_examples/unibgstudents/RegistroDiCassa.asm</v>
      </c>
      <c r="W147" s="3" t="str">
        <f>IF(AND(data[[#This Row],[status]]="OK",data[[#This Row],[approach]]="atgt"),data[[#This Row],[asm_path]],"")</f>
        <v/>
      </c>
      <c r="X147" s="3" t="b">
        <f>COUNTIF(W:W,data[[#This Row],[path_ok_status_evoavalla]]) = 1</f>
        <v>0</v>
      </c>
    </row>
    <row r="148" spans="1:24" x14ac:dyDescent="0.25">
      <c r="A148" t="s">
        <v>1122</v>
      </c>
      <c r="B148" t="s">
        <v>1123</v>
      </c>
      <c r="C148" t="s">
        <v>675</v>
      </c>
      <c r="D148" t="s">
        <v>717</v>
      </c>
      <c r="E148" t="s">
        <v>628</v>
      </c>
      <c r="F148" t="s">
        <v>980</v>
      </c>
      <c r="G148" t="s">
        <v>1124</v>
      </c>
      <c r="H148" t="s">
        <v>623</v>
      </c>
      <c r="I148" t="s">
        <v>638</v>
      </c>
      <c r="J148" t="s">
        <v>632</v>
      </c>
      <c r="K148" s="2" t="s">
        <v>620</v>
      </c>
      <c r="L148" s="2" t="s">
        <v>620</v>
      </c>
      <c r="M148" s="2" t="s">
        <v>620</v>
      </c>
      <c r="N148" s="2" t="s">
        <v>620</v>
      </c>
      <c r="O148" t="s">
        <v>639</v>
      </c>
      <c r="P148" t="s">
        <v>639</v>
      </c>
      <c r="Q148" t="s">
        <v>639</v>
      </c>
      <c r="R148" t="s">
        <v>639</v>
      </c>
      <c r="S148" t="s">
        <v>639</v>
      </c>
      <c r="T148" t="s">
        <v>620</v>
      </c>
      <c r="U148" t="s">
        <v>620</v>
      </c>
      <c r="V148" s="3" t="str">
        <f>IF(AND(data[[#This Row],[status]]="OK",data[[#This Row],[approach]]="evoavalla"),data[[#This Row],[asm_path]],"")</f>
        <v/>
      </c>
      <c r="W148" s="3" t="str">
        <f>IF(AND(data[[#This Row],[status]]="OK",data[[#This Row],[approach]]="atgt"),data[[#This Row],[asm_path]],"")</f>
        <v/>
      </c>
      <c r="X148" s="3" t="b">
        <f>COUNTIF(W:W,data[[#This Row],[path_ok_status_evoavalla]]) = 1</f>
        <v>0</v>
      </c>
    </row>
    <row r="149" spans="1:24" x14ac:dyDescent="0.25">
      <c r="A149" t="s">
        <v>1125</v>
      </c>
      <c r="B149" t="s">
        <v>1126</v>
      </c>
      <c r="C149" t="s">
        <v>664</v>
      </c>
      <c r="D149" t="s">
        <v>683</v>
      </c>
      <c r="E149" t="s">
        <v>636</v>
      </c>
      <c r="F149" t="s">
        <v>716</v>
      </c>
      <c r="G149" t="s">
        <v>740</v>
      </c>
      <c r="H149" t="s">
        <v>623</v>
      </c>
      <c r="I149" t="s">
        <v>638</v>
      </c>
      <c r="J149" t="s">
        <v>632</v>
      </c>
      <c r="K149" s="2" t="s">
        <v>620</v>
      </c>
      <c r="L149" s="2" t="s">
        <v>620</v>
      </c>
      <c r="M149" s="2" t="s">
        <v>620</v>
      </c>
      <c r="N149" s="2" t="s">
        <v>620</v>
      </c>
      <c r="O149" t="s">
        <v>639</v>
      </c>
      <c r="P149" t="s">
        <v>639</v>
      </c>
      <c r="Q149" t="s">
        <v>639</v>
      </c>
      <c r="R149" t="s">
        <v>639</v>
      </c>
      <c r="S149" t="s">
        <v>639</v>
      </c>
      <c r="T149" t="s">
        <v>620</v>
      </c>
      <c r="U149" t="s">
        <v>620</v>
      </c>
      <c r="V149" s="3" t="str">
        <f>IF(AND(data[[#This Row],[status]]="OK",data[[#This Row],[approach]]="evoavalla"),data[[#This Row],[asm_path]],"")</f>
        <v/>
      </c>
      <c r="W149" s="3" t="str">
        <f>IF(AND(data[[#This Row],[status]]="OK",data[[#This Row],[approach]]="atgt"),data[[#This Row],[asm_path]],"")</f>
        <v/>
      </c>
      <c r="X149" s="3" t="b">
        <f>COUNTIF(W:W,data[[#This Row],[path_ok_status_evoavalla]]) = 1</f>
        <v>0</v>
      </c>
    </row>
    <row r="150" spans="1:24" x14ac:dyDescent="0.25">
      <c r="A150" t="s">
        <v>1127</v>
      </c>
      <c r="B150" t="s">
        <v>1128</v>
      </c>
      <c r="C150" t="s">
        <v>664</v>
      </c>
      <c r="D150" t="s">
        <v>626</v>
      </c>
      <c r="E150" t="s">
        <v>636</v>
      </c>
      <c r="F150" t="s">
        <v>664</v>
      </c>
      <c r="G150" t="s">
        <v>618</v>
      </c>
      <c r="H150" t="s">
        <v>623</v>
      </c>
      <c r="I150" t="s">
        <v>624</v>
      </c>
      <c r="J150" t="s">
        <v>1129</v>
      </c>
      <c r="K150" s="2" t="s">
        <v>636</v>
      </c>
      <c r="L150" s="2" t="s">
        <v>636</v>
      </c>
      <c r="M150" s="2" t="s">
        <v>620</v>
      </c>
      <c r="N150" s="2" t="s">
        <v>620</v>
      </c>
      <c r="O150" t="s">
        <v>897</v>
      </c>
      <c r="P150" t="s">
        <v>896</v>
      </c>
      <c r="Q150" t="s">
        <v>1130</v>
      </c>
      <c r="R150" t="s">
        <v>1131</v>
      </c>
      <c r="S150" t="s">
        <v>1132</v>
      </c>
      <c r="T150" t="s">
        <v>620</v>
      </c>
      <c r="U150" t="s">
        <v>620</v>
      </c>
      <c r="V150" s="3" t="str">
        <f>IF(AND(data[[#This Row],[status]]="OK",data[[#This Row],[approach]]="evoavalla"),data[[#This Row],[asm_path]],"")</f>
        <v>../../../asm_examples/examples/production_cell/DEPOSITBELT.asm</v>
      </c>
      <c r="W150" s="3" t="str">
        <f>IF(AND(data[[#This Row],[status]]="OK",data[[#This Row],[approach]]="atgt"),data[[#This Row],[asm_path]],"")</f>
        <v/>
      </c>
      <c r="X150" s="3" t="b">
        <f>COUNTIF(W:W,data[[#This Row],[path_ok_status_evoavalla]]) = 1</f>
        <v>0</v>
      </c>
    </row>
    <row r="151" spans="1:24" x14ac:dyDescent="0.25">
      <c r="A151" t="s">
        <v>1133</v>
      </c>
      <c r="B151" t="s">
        <v>1134</v>
      </c>
      <c r="C151" t="s">
        <v>635</v>
      </c>
      <c r="D151" t="s">
        <v>636</v>
      </c>
      <c r="E151" t="s">
        <v>636</v>
      </c>
      <c r="F151" t="s">
        <v>635</v>
      </c>
      <c r="G151" t="s">
        <v>664</v>
      </c>
      <c r="H151" t="s">
        <v>623</v>
      </c>
      <c r="I151" t="s">
        <v>638</v>
      </c>
      <c r="J151" t="s">
        <v>632</v>
      </c>
      <c r="K151" s="2" t="s">
        <v>620</v>
      </c>
      <c r="L151" s="2" t="s">
        <v>620</v>
      </c>
      <c r="M151" s="2" t="s">
        <v>620</v>
      </c>
      <c r="N151" s="2" t="s">
        <v>620</v>
      </c>
      <c r="O151" t="s">
        <v>639</v>
      </c>
      <c r="P151" t="s">
        <v>639</v>
      </c>
      <c r="Q151" t="s">
        <v>639</v>
      </c>
      <c r="R151" t="s">
        <v>639</v>
      </c>
      <c r="S151" t="s">
        <v>639</v>
      </c>
      <c r="T151" t="s">
        <v>620</v>
      </c>
      <c r="U151" t="s">
        <v>620</v>
      </c>
      <c r="V151" s="3" t="str">
        <f>IF(AND(data[[#This Row],[status]]="OK",data[[#This Row],[approach]]="evoavalla"),data[[#This Row],[asm_path]],"")</f>
        <v/>
      </c>
      <c r="W151" s="3" t="str">
        <f>IF(AND(data[[#This Row],[status]]="OK",data[[#This Row],[approach]]="atgt"),data[[#This Row],[asm_path]],"")</f>
        <v/>
      </c>
      <c r="X151" s="3" t="b">
        <f>COUNTIF(W:W,data[[#This Row],[path_ok_status_evoavalla]]) = 1</f>
        <v>0</v>
      </c>
    </row>
    <row r="152" spans="1:24" x14ac:dyDescent="0.25">
      <c r="A152" t="s">
        <v>1135</v>
      </c>
      <c r="B152" t="s">
        <v>1136</v>
      </c>
      <c r="C152" t="s">
        <v>618</v>
      </c>
      <c r="D152" t="s">
        <v>732</v>
      </c>
      <c r="E152" t="s">
        <v>620</v>
      </c>
      <c r="F152" t="s">
        <v>941</v>
      </c>
      <c r="G152" t="s">
        <v>1137</v>
      </c>
      <c r="H152" t="s">
        <v>623</v>
      </c>
      <c r="I152" t="s">
        <v>624</v>
      </c>
      <c r="J152" t="s">
        <v>1138</v>
      </c>
      <c r="K152" s="2" t="s">
        <v>664</v>
      </c>
      <c r="L152" s="2" t="s">
        <v>618</v>
      </c>
      <c r="M152" s="2" t="s">
        <v>643</v>
      </c>
      <c r="N152" s="2" t="s">
        <v>817</v>
      </c>
      <c r="O152" t="s">
        <v>630</v>
      </c>
      <c r="P152" t="s">
        <v>1139</v>
      </c>
      <c r="Q152" t="s">
        <v>632</v>
      </c>
      <c r="R152" t="s">
        <v>1140</v>
      </c>
      <c r="S152" t="s">
        <v>630</v>
      </c>
      <c r="T152" t="s">
        <v>620</v>
      </c>
      <c r="U152" t="s">
        <v>620</v>
      </c>
      <c r="V152" s="3" t="str">
        <f>IF(AND(data[[#This Row],[status]]="OK",data[[#This Row],[approach]]="evoavalla"),data[[#This Row],[asm_path]],"")</f>
        <v>../../../asm_examples/examples/TrafficLightYakindu/TrafficLight3/TrafficLight_3.asm</v>
      </c>
      <c r="W152" s="3" t="str">
        <f>IF(AND(data[[#This Row],[status]]="OK",data[[#This Row],[approach]]="atgt"),data[[#This Row],[asm_path]],"")</f>
        <v/>
      </c>
      <c r="X152" s="3" t="b">
        <f>COUNTIF(W:W,data[[#This Row],[path_ok_status_evoavalla]]) = 1</f>
        <v>1</v>
      </c>
    </row>
    <row r="153" spans="1:24" x14ac:dyDescent="0.25">
      <c r="A153" t="s">
        <v>1141</v>
      </c>
      <c r="B153" t="s">
        <v>1142</v>
      </c>
      <c r="C153" t="s">
        <v>683</v>
      </c>
      <c r="D153" t="s">
        <v>642</v>
      </c>
      <c r="E153" t="s">
        <v>664</v>
      </c>
      <c r="F153" t="s">
        <v>710</v>
      </c>
      <c r="G153" t="s">
        <v>735</v>
      </c>
      <c r="H153" t="s">
        <v>623</v>
      </c>
      <c r="I153" t="s">
        <v>638</v>
      </c>
      <c r="J153" t="s">
        <v>632</v>
      </c>
      <c r="K153" s="2" t="s">
        <v>620</v>
      </c>
      <c r="L153" s="2" t="s">
        <v>620</v>
      </c>
      <c r="M153" s="2" t="s">
        <v>620</v>
      </c>
      <c r="N153" s="2" t="s">
        <v>620</v>
      </c>
      <c r="O153" t="s">
        <v>639</v>
      </c>
      <c r="P153" t="s">
        <v>639</v>
      </c>
      <c r="Q153" t="s">
        <v>639</v>
      </c>
      <c r="R153" t="s">
        <v>639</v>
      </c>
      <c r="S153" t="s">
        <v>639</v>
      </c>
      <c r="T153" t="s">
        <v>620</v>
      </c>
      <c r="U153" t="s">
        <v>620</v>
      </c>
      <c r="V153" s="3" t="str">
        <f>IF(AND(data[[#This Row],[status]]="OK",data[[#This Row],[approach]]="evoavalla"),data[[#This Row],[asm_path]],"")</f>
        <v/>
      </c>
      <c r="W153" s="3" t="str">
        <f>IF(AND(data[[#This Row],[status]]="OK",data[[#This Row],[approach]]="atgt"),data[[#This Row],[asm_path]],"")</f>
        <v/>
      </c>
      <c r="X153" s="3" t="b">
        <f>COUNTIF(W:W,data[[#This Row],[path_ok_status_evoavalla]]) = 1</f>
        <v>0</v>
      </c>
    </row>
    <row r="154" spans="1:24" x14ac:dyDescent="0.25">
      <c r="A154" t="s">
        <v>1143</v>
      </c>
      <c r="B154" t="s">
        <v>1144</v>
      </c>
      <c r="C154" t="s">
        <v>682</v>
      </c>
      <c r="D154" t="s">
        <v>635</v>
      </c>
      <c r="E154" t="s">
        <v>620</v>
      </c>
      <c r="F154" t="s">
        <v>636</v>
      </c>
      <c r="G154" t="s">
        <v>628</v>
      </c>
      <c r="H154" t="s">
        <v>623</v>
      </c>
      <c r="I154" t="s">
        <v>638</v>
      </c>
      <c r="J154" t="s">
        <v>1145</v>
      </c>
      <c r="K154" s="2" t="s">
        <v>620</v>
      </c>
      <c r="L154" s="2" t="s">
        <v>620</v>
      </c>
      <c r="M154" s="2" t="s">
        <v>620</v>
      </c>
      <c r="N154" s="2" t="s">
        <v>620</v>
      </c>
      <c r="O154" t="s">
        <v>639</v>
      </c>
      <c r="P154" t="s">
        <v>639</v>
      </c>
      <c r="Q154" t="s">
        <v>639</v>
      </c>
      <c r="R154" t="s">
        <v>639</v>
      </c>
      <c r="S154" t="s">
        <v>639</v>
      </c>
      <c r="T154" t="s">
        <v>620</v>
      </c>
      <c r="U154" t="s">
        <v>620</v>
      </c>
      <c r="V154" s="3" t="str">
        <f>IF(AND(data[[#This Row],[status]]="OK",data[[#This Row],[approach]]="evoavalla"),data[[#This Row],[asm_path]],"")</f>
        <v/>
      </c>
      <c r="W154" s="3" t="str">
        <f>IF(AND(data[[#This Row],[status]]="OK",data[[#This Row],[approach]]="atgt"),data[[#This Row],[asm_path]],"")</f>
        <v/>
      </c>
      <c r="X154" s="3" t="b">
        <f>COUNTIF(W:W,data[[#This Row],[path_ok_status_evoavalla]]) = 1</f>
        <v>0</v>
      </c>
    </row>
    <row r="155" spans="1:24" x14ac:dyDescent="0.25">
      <c r="A155" t="s">
        <v>1146</v>
      </c>
      <c r="B155" t="s">
        <v>1147</v>
      </c>
      <c r="C155" t="s">
        <v>682</v>
      </c>
      <c r="D155" t="s">
        <v>664</v>
      </c>
      <c r="E155" t="s">
        <v>620</v>
      </c>
      <c r="F155" t="s">
        <v>664</v>
      </c>
      <c r="G155" t="s">
        <v>643</v>
      </c>
      <c r="H155" t="s">
        <v>623</v>
      </c>
      <c r="I155" t="s">
        <v>638</v>
      </c>
      <c r="J155" t="s">
        <v>632</v>
      </c>
      <c r="K155" s="2" t="s">
        <v>620</v>
      </c>
      <c r="L155" s="2" t="s">
        <v>620</v>
      </c>
      <c r="M155" s="2" t="s">
        <v>620</v>
      </c>
      <c r="N155" s="2" t="s">
        <v>620</v>
      </c>
      <c r="O155" t="s">
        <v>639</v>
      </c>
      <c r="P155" t="s">
        <v>639</v>
      </c>
      <c r="Q155" t="s">
        <v>639</v>
      </c>
      <c r="R155" t="s">
        <v>639</v>
      </c>
      <c r="S155" t="s">
        <v>639</v>
      </c>
      <c r="T155" t="s">
        <v>620</v>
      </c>
      <c r="U155" t="s">
        <v>620</v>
      </c>
      <c r="V155" s="3" t="str">
        <f>IF(AND(data[[#This Row],[status]]="OK",data[[#This Row],[approach]]="evoavalla"),data[[#This Row],[asm_path]],"")</f>
        <v/>
      </c>
      <c r="W155" s="3" t="str">
        <f>IF(AND(data[[#This Row],[status]]="OK",data[[#This Row],[approach]]="atgt"),data[[#This Row],[asm_path]],"")</f>
        <v/>
      </c>
      <c r="X155" s="3" t="b">
        <f>COUNTIF(W:W,data[[#This Row],[path_ok_status_evoavalla]]) = 1</f>
        <v>0</v>
      </c>
    </row>
    <row r="156" spans="1:24" x14ac:dyDescent="0.25">
      <c r="A156" t="s">
        <v>1148</v>
      </c>
      <c r="B156" t="s">
        <v>1149</v>
      </c>
      <c r="C156" t="s">
        <v>682</v>
      </c>
      <c r="D156" t="s">
        <v>664</v>
      </c>
      <c r="E156" t="s">
        <v>620</v>
      </c>
      <c r="F156" t="s">
        <v>635</v>
      </c>
      <c r="G156" t="s">
        <v>637</v>
      </c>
      <c r="H156" t="s">
        <v>623</v>
      </c>
      <c r="I156" t="s">
        <v>638</v>
      </c>
      <c r="J156" t="s">
        <v>1150</v>
      </c>
      <c r="K156" s="2" t="s">
        <v>620</v>
      </c>
      <c r="L156" s="2" t="s">
        <v>620</v>
      </c>
      <c r="M156" s="2" t="s">
        <v>620</v>
      </c>
      <c r="N156" s="2" t="s">
        <v>620</v>
      </c>
      <c r="O156" t="s">
        <v>639</v>
      </c>
      <c r="P156" t="s">
        <v>639</v>
      </c>
      <c r="Q156" t="s">
        <v>639</v>
      </c>
      <c r="R156" t="s">
        <v>639</v>
      </c>
      <c r="S156" t="s">
        <v>639</v>
      </c>
      <c r="T156" t="s">
        <v>635</v>
      </c>
      <c r="U156" t="s">
        <v>620</v>
      </c>
      <c r="V156" s="3" t="str">
        <f>IF(AND(data[[#This Row],[status]]="OK",data[[#This Row],[approach]]="evoavalla"),data[[#This Row],[asm_path]],"")</f>
        <v/>
      </c>
      <c r="W156" s="3" t="str">
        <f>IF(AND(data[[#This Row],[status]]="OK",data[[#This Row],[approach]]="atgt"),data[[#This Row],[asm_path]],"")</f>
        <v/>
      </c>
      <c r="X156" s="3" t="b">
        <f>COUNTIF(W:W,data[[#This Row],[path_ok_status_evoavalla]]) = 1</f>
        <v>0</v>
      </c>
    </row>
    <row r="157" spans="1:24" x14ac:dyDescent="0.25">
      <c r="A157" t="s">
        <v>1151</v>
      </c>
      <c r="B157" t="s">
        <v>1152</v>
      </c>
      <c r="C157" t="s">
        <v>621</v>
      </c>
      <c r="D157" t="s">
        <v>808</v>
      </c>
      <c r="E157" t="s">
        <v>620</v>
      </c>
      <c r="F157" t="s">
        <v>619</v>
      </c>
      <c r="G157" t="s">
        <v>771</v>
      </c>
      <c r="H157" t="s">
        <v>623</v>
      </c>
      <c r="I157" t="s">
        <v>624</v>
      </c>
      <c r="J157" t="s">
        <v>1153</v>
      </c>
      <c r="K157" s="2" t="s">
        <v>636</v>
      </c>
      <c r="L157" s="2" t="s">
        <v>636</v>
      </c>
      <c r="M157" s="2" t="s">
        <v>620</v>
      </c>
      <c r="N157" s="2" t="s">
        <v>643</v>
      </c>
      <c r="O157" t="s">
        <v>1154</v>
      </c>
      <c r="P157" t="s">
        <v>1155</v>
      </c>
      <c r="Q157" t="s">
        <v>632</v>
      </c>
      <c r="R157" t="s">
        <v>1156</v>
      </c>
      <c r="S157" t="s">
        <v>1157</v>
      </c>
      <c r="T157" t="s">
        <v>682</v>
      </c>
      <c r="U157" t="s">
        <v>620</v>
      </c>
      <c r="V157" s="3" t="str">
        <f>IF(AND(data[[#This Row],[status]]="OK",data[[#This Row],[approach]]="evoavalla"),data[[#This Row],[asm_path]],"")</f>
        <v>../../../asm_examples/examples/TrafficLightYakindu/TrafficLight_NOREF/TrafficLight_4.asm</v>
      </c>
      <c r="W157" s="3" t="str">
        <f>IF(AND(data[[#This Row],[status]]="OK",data[[#This Row],[approach]]="atgt"),data[[#This Row],[asm_path]],"")</f>
        <v/>
      </c>
      <c r="X157" s="3" t="b">
        <f>COUNTIF(W:W,data[[#This Row],[path_ok_status_evoavalla]]) = 1</f>
        <v>1</v>
      </c>
    </row>
    <row r="158" spans="1:24" x14ac:dyDescent="0.25">
      <c r="A158" t="s">
        <v>1158</v>
      </c>
      <c r="B158" t="s">
        <v>1159</v>
      </c>
      <c r="C158" t="s">
        <v>667</v>
      </c>
      <c r="D158" t="s">
        <v>668</v>
      </c>
      <c r="E158" t="s">
        <v>941</v>
      </c>
      <c r="F158" t="s">
        <v>842</v>
      </c>
      <c r="G158" t="s">
        <v>1160</v>
      </c>
      <c r="H158" t="s">
        <v>623</v>
      </c>
      <c r="I158" t="s">
        <v>638</v>
      </c>
      <c r="J158" t="s">
        <v>632</v>
      </c>
      <c r="K158" s="2" t="s">
        <v>620</v>
      </c>
      <c r="L158" s="2" t="s">
        <v>620</v>
      </c>
      <c r="M158" s="2" t="s">
        <v>620</v>
      </c>
      <c r="N158" s="2" t="s">
        <v>620</v>
      </c>
      <c r="O158" t="s">
        <v>639</v>
      </c>
      <c r="P158" t="s">
        <v>639</v>
      </c>
      <c r="Q158" t="s">
        <v>639</v>
      </c>
      <c r="R158" t="s">
        <v>639</v>
      </c>
      <c r="S158" t="s">
        <v>639</v>
      </c>
      <c r="T158" t="s">
        <v>620</v>
      </c>
      <c r="U158" t="s">
        <v>620</v>
      </c>
      <c r="V158" s="3" t="str">
        <f>IF(AND(data[[#This Row],[status]]="OK",data[[#This Row],[approach]]="evoavalla"),data[[#This Row],[asm_path]],"")</f>
        <v/>
      </c>
      <c r="W158" s="3" t="str">
        <f>IF(AND(data[[#This Row],[status]]="OK",data[[#This Row],[approach]]="atgt"),data[[#This Row],[asm_path]],"")</f>
        <v/>
      </c>
      <c r="X158" s="3" t="b">
        <f>COUNTIF(W:W,data[[#This Row],[path_ok_status_evoavalla]]) = 1</f>
        <v>0</v>
      </c>
    </row>
    <row r="159" spans="1:24" x14ac:dyDescent="0.25">
      <c r="A159" t="s">
        <v>1161</v>
      </c>
      <c r="B159" t="s">
        <v>1162</v>
      </c>
      <c r="C159" t="s">
        <v>626</v>
      </c>
      <c r="D159" t="s">
        <v>664</v>
      </c>
      <c r="E159" t="s">
        <v>620</v>
      </c>
      <c r="F159" t="s">
        <v>626</v>
      </c>
      <c r="G159" t="s">
        <v>642</v>
      </c>
      <c r="H159" t="s">
        <v>623</v>
      </c>
      <c r="I159" t="s">
        <v>638</v>
      </c>
      <c r="J159" t="s">
        <v>632</v>
      </c>
      <c r="K159" s="2" t="s">
        <v>620</v>
      </c>
      <c r="L159" s="2" t="s">
        <v>620</v>
      </c>
      <c r="M159" s="2" t="s">
        <v>620</v>
      </c>
      <c r="N159" s="2" t="s">
        <v>620</v>
      </c>
      <c r="O159" t="s">
        <v>639</v>
      </c>
      <c r="P159" t="s">
        <v>639</v>
      </c>
      <c r="Q159" t="s">
        <v>639</v>
      </c>
      <c r="R159" t="s">
        <v>639</v>
      </c>
      <c r="S159" t="s">
        <v>639</v>
      </c>
      <c r="T159" t="s">
        <v>620</v>
      </c>
      <c r="U159" t="s">
        <v>620</v>
      </c>
      <c r="V159" s="3" t="str">
        <f>IF(AND(data[[#This Row],[status]]="OK",data[[#This Row],[approach]]="evoavalla"),data[[#This Row],[asm_path]],"")</f>
        <v/>
      </c>
      <c r="W159" s="3" t="str">
        <f>IF(AND(data[[#This Row],[status]]="OK",data[[#This Row],[approach]]="atgt"),data[[#This Row],[asm_path]],"")</f>
        <v/>
      </c>
      <c r="X159" s="3" t="b">
        <f>COUNTIF(W:W,data[[#This Row],[path_ok_status_evoavalla]]) = 1</f>
        <v>0</v>
      </c>
    </row>
    <row r="160" spans="1:24" x14ac:dyDescent="0.25">
      <c r="A160" t="s">
        <v>1163</v>
      </c>
      <c r="B160" t="s">
        <v>1164</v>
      </c>
      <c r="C160" t="s">
        <v>626</v>
      </c>
      <c r="D160" t="s">
        <v>664</v>
      </c>
      <c r="E160" t="s">
        <v>620</v>
      </c>
      <c r="F160" t="s">
        <v>664</v>
      </c>
      <c r="G160" t="s">
        <v>690</v>
      </c>
      <c r="H160" t="s">
        <v>623</v>
      </c>
      <c r="I160" t="s">
        <v>624</v>
      </c>
      <c r="J160" t="s">
        <v>1165</v>
      </c>
      <c r="K160" s="2" t="s">
        <v>635</v>
      </c>
      <c r="L160" s="2" t="s">
        <v>635</v>
      </c>
      <c r="M160" s="2" t="s">
        <v>636</v>
      </c>
      <c r="N160" s="2" t="s">
        <v>620</v>
      </c>
      <c r="O160" t="s">
        <v>1166</v>
      </c>
      <c r="P160" t="s">
        <v>897</v>
      </c>
      <c r="Q160" t="s">
        <v>632</v>
      </c>
      <c r="R160" t="s">
        <v>1167</v>
      </c>
      <c r="S160" t="s">
        <v>1130</v>
      </c>
      <c r="T160" t="s">
        <v>620</v>
      </c>
      <c r="U160" t="s">
        <v>620</v>
      </c>
      <c r="V160" s="3" t="str">
        <f>IF(AND(data[[#This Row],[status]]="OK",data[[#This Row],[approach]]="evoavalla"),data[[#This Row],[asm_path]],"")</f>
        <v>../../../asm_examples/unibgstudents/Contatore_U_DA_H.asm</v>
      </c>
      <c r="W160" s="3" t="str">
        <f>IF(AND(data[[#This Row],[status]]="OK",data[[#This Row],[approach]]="atgt"),data[[#This Row],[asm_path]],"")</f>
        <v/>
      </c>
      <c r="X160" s="3" t="b">
        <f>COUNTIF(W:W,data[[#This Row],[path_ok_status_evoavalla]]) = 1</f>
        <v>0</v>
      </c>
    </row>
    <row r="161" spans="1:24" x14ac:dyDescent="0.25">
      <c r="A161" t="s">
        <v>1168</v>
      </c>
      <c r="B161" t="s">
        <v>1169</v>
      </c>
      <c r="C161" t="s">
        <v>664</v>
      </c>
      <c r="D161" t="s">
        <v>664</v>
      </c>
      <c r="E161" t="s">
        <v>620</v>
      </c>
      <c r="F161" t="s">
        <v>664</v>
      </c>
      <c r="G161" t="s">
        <v>618</v>
      </c>
      <c r="H161" t="s">
        <v>623</v>
      </c>
      <c r="I161" t="s">
        <v>638</v>
      </c>
      <c r="J161" t="s">
        <v>632</v>
      </c>
      <c r="K161" s="2" t="s">
        <v>620</v>
      </c>
      <c r="L161" s="2" t="s">
        <v>620</v>
      </c>
      <c r="M161" s="2" t="s">
        <v>620</v>
      </c>
      <c r="N161" s="2" t="s">
        <v>620</v>
      </c>
      <c r="O161" t="s">
        <v>639</v>
      </c>
      <c r="P161" t="s">
        <v>639</v>
      </c>
      <c r="Q161" t="s">
        <v>639</v>
      </c>
      <c r="R161" t="s">
        <v>639</v>
      </c>
      <c r="S161" t="s">
        <v>639</v>
      </c>
      <c r="T161" t="s">
        <v>620</v>
      </c>
      <c r="U161" t="s">
        <v>620</v>
      </c>
      <c r="V161" s="3" t="str">
        <f>IF(AND(data[[#This Row],[status]]="OK",data[[#This Row],[approach]]="evoavalla"),data[[#This Row],[asm_path]],"")</f>
        <v/>
      </c>
      <c r="W161" s="3" t="str">
        <f>IF(AND(data[[#This Row],[status]]="OK",data[[#This Row],[approach]]="atgt"),data[[#This Row],[asm_path]],"")</f>
        <v/>
      </c>
      <c r="X161" s="3" t="b">
        <f>COUNTIF(W:W,data[[#This Row],[path_ok_status_evoavalla]]) = 1</f>
        <v>0</v>
      </c>
    </row>
    <row r="162" spans="1:24" x14ac:dyDescent="0.25">
      <c r="A162" t="s">
        <v>1170</v>
      </c>
      <c r="B162" t="s">
        <v>1171</v>
      </c>
      <c r="C162" t="s">
        <v>643</v>
      </c>
      <c r="D162" t="s">
        <v>643</v>
      </c>
      <c r="E162" t="s">
        <v>620</v>
      </c>
      <c r="F162" t="s">
        <v>716</v>
      </c>
      <c r="G162" t="s">
        <v>1172</v>
      </c>
      <c r="H162" t="s">
        <v>623</v>
      </c>
      <c r="I162" t="s">
        <v>638</v>
      </c>
      <c r="J162" t="s">
        <v>632</v>
      </c>
      <c r="K162" s="2" t="s">
        <v>620</v>
      </c>
      <c r="L162" s="2" t="s">
        <v>620</v>
      </c>
      <c r="M162" s="2" t="s">
        <v>620</v>
      </c>
      <c r="N162" s="2" t="s">
        <v>620</v>
      </c>
      <c r="O162" t="s">
        <v>639</v>
      </c>
      <c r="P162" t="s">
        <v>639</v>
      </c>
      <c r="Q162" t="s">
        <v>639</v>
      </c>
      <c r="R162" t="s">
        <v>639</v>
      </c>
      <c r="S162" t="s">
        <v>639</v>
      </c>
      <c r="T162" t="s">
        <v>620</v>
      </c>
      <c r="U162" t="s">
        <v>620</v>
      </c>
      <c r="V162" s="3" t="str">
        <f>IF(AND(data[[#This Row],[status]]="OK",data[[#This Row],[approach]]="evoavalla"),data[[#This Row],[asm_path]],"")</f>
        <v/>
      </c>
      <c r="W162" s="3" t="str">
        <f>IF(AND(data[[#This Row],[status]]="OK",data[[#This Row],[approach]]="atgt"),data[[#This Row],[asm_path]],"")</f>
        <v/>
      </c>
      <c r="X162" s="3" t="b">
        <f>COUNTIF(W:W,data[[#This Row],[path_ok_status_evoavalla]]) = 1</f>
        <v>0</v>
      </c>
    </row>
    <row r="163" spans="1:24" x14ac:dyDescent="0.25">
      <c r="A163" t="s">
        <v>1173</v>
      </c>
      <c r="B163" t="s">
        <v>1174</v>
      </c>
      <c r="C163" t="s">
        <v>677</v>
      </c>
      <c r="D163" t="s">
        <v>697</v>
      </c>
      <c r="E163" t="s">
        <v>637</v>
      </c>
      <c r="F163" t="s">
        <v>741</v>
      </c>
      <c r="G163" t="s">
        <v>849</v>
      </c>
      <c r="H163" t="s">
        <v>623</v>
      </c>
      <c r="I163" t="s">
        <v>638</v>
      </c>
      <c r="J163" t="s">
        <v>632</v>
      </c>
      <c r="K163" s="2" t="s">
        <v>620</v>
      </c>
      <c r="L163" s="2" t="s">
        <v>620</v>
      </c>
      <c r="M163" s="2" t="s">
        <v>620</v>
      </c>
      <c r="N163" s="2" t="s">
        <v>620</v>
      </c>
      <c r="O163" t="s">
        <v>639</v>
      </c>
      <c r="P163" t="s">
        <v>639</v>
      </c>
      <c r="Q163" t="s">
        <v>639</v>
      </c>
      <c r="R163" t="s">
        <v>639</v>
      </c>
      <c r="S163" t="s">
        <v>639</v>
      </c>
      <c r="T163" t="s">
        <v>620</v>
      </c>
      <c r="U163" t="s">
        <v>620</v>
      </c>
      <c r="V163" s="3" t="str">
        <f>IF(AND(data[[#This Row],[status]]="OK",data[[#This Row],[approach]]="evoavalla"),data[[#This Row],[asm_path]],"")</f>
        <v/>
      </c>
      <c r="W163" s="3" t="str">
        <f>IF(AND(data[[#This Row],[status]]="OK",data[[#This Row],[approach]]="atgt"),data[[#This Row],[asm_path]],"")</f>
        <v/>
      </c>
      <c r="X163" s="3" t="b">
        <f>COUNTIF(W:W,data[[#This Row],[path_ok_status_evoavalla]]) = 1</f>
        <v>0</v>
      </c>
    </row>
    <row r="164" spans="1:24" x14ac:dyDescent="0.25">
      <c r="A164" t="s">
        <v>1175</v>
      </c>
      <c r="B164" t="s">
        <v>1176</v>
      </c>
      <c r="C164" t="s">
        <v>635</v>
      </c>
      <c r="D164" t="s">
        <v>635</v>
      </c>
      <c r="E164" t="s">
        <v>620</v>
      </c>
      <c r="F164" t="s">
        <v>664</v>
      </c>
      <c r="G164" t="s">
        <v>637</v>
      </c>
      <c r="H164" t="s">
        <v>623</v>
      </c>
      <c r="I164" t="s">
        <v>624</v>
      </c>
      <c r="J164" t="s">
        <v>1177</v>
      </c>
      <c r="K164" s="2" t="s">
        <v>636</v>
      </c>
      <c r="L164" s="2" t="s">
        <v>636</v>
      </c>
      <c r="M164" s="2" t="s">
        <v>636</v>
      </c>
      <c r="N164" s="2" t="s">
        <v>716</v>
      </c>
      <c r="O164" t="s">
        <v>630</v>
      </c>
      <c r="P164" t="s">
        <v>630</v>
      </c>
      <c r="Q164" t="s">
        <v>632</v>
      </c>
      <c r="R164" t="s">
        <v>1178</v>
      </c>
      <c r="S164" t="s">
        <v>630</v>
      </c>
      <c r="T164" t="s">
        <v>636</v>
      </c>
      <c r="U164" t="s">
        <v>620</v>
      </c>
      <c r="V164" s="3" t="str">
        <f>IF(AND(data[[#This Row],[status]]="OK",data[[#This Row],[approach]]="evoavalla"),data[[#This Row],[asm_path]],"")</f>
        <v>../../../asm_examples/examples/coffeeVendingMachine/coffeeVendingMachine.asm</v>
      </c>
      <c r="W164" s="3" t="str">
        <f>IF(AND(data[[#This Row],[status]]="OK",data[[#This Row],[approach]]="atgt"),data[[#This Row],[asm_path]],"")</f>
        <v/>
      </c>
      <c r="X164" s="3" t="b">
        <f>COUNTIF(W:W,data[[#This Row],[path_ok_status_evoavalla]]) = 1</f>
        <v>0</v>
      </c>
    </row>
    <row r="165" spans="1:24" x14ac:dyDescent="0.25">
      <c r="A165" t="s">
        <v>1179</v>
      </c>
      <c r="B165" t="s">
        <v>1180</v>
      </c>
      <c r="C165" t="s">
        <v>683</v>
      </c>
      <c r="D165" t="s">
        <v>626</v>
      </c>
      <c r="E165" t="s">
        <v>620</v>
      </c>
      <c r="F165" t="s">
        <v>635</v>
      </c>
      <c r="G165" t="s">
        <v>619</v>
      </c>
      <c r="H165" t="s">
        <v>623</v>
      </c>
      <c r="I165" t="s">
        <v>638</v>
      </c>
      <c r="J165" t="s">
        <v>632</v>
      </c>
      <c r="K165" s="2" t="s">
        <v>620</v>
      </c>
      <c r="L165" s="2" t="s">
        <v>620</v>
      </c>
      <c r="M165" s="2" t="s">
        <v>620</v>
      </c>
      <c r="N165" s="2" t="s">
        <v>620</v>
      </c>
      <c r="O165" t="s">
        <v>639</v>
      </c>
      <c r="P165" t="s">
        <v>639</v>
      </c>
      <c r="Q165" t="s">
        <v>639</v>
      </c>
      <c r="R165" t="s">
        <v>639</v>
      </c>
      <c r="S165" t="s">
        <v>639</v>
      </c>
      <c r="T165" t="s">
        <v>620</v>
      </c>
      <c r="U165" t="s">
        <v>620</v>
      </c>
      <c r="V165" s="3" t="str">
        <f>IF(AND(data[[#This Row],[status]]="OK",data[[#This Row],[approach]]="evoavalla"),data[[#This Row],[asm_path]],"")</f>
        <v/>
      </c>
      <c r="W165" s="3" t="str">
        <f>IF(AND(data[[#This Row],[status]]="OK",data[[#This Row],[approach]]="atgt"),data[[#This Row],[asm_path]],"")</f>
        <v/>
      </c>
      <c r="X165" s="3" t="b">
        <f>COUNTIF(W:W,data[[#This Row],[path_ok_status_evoavalla]]) = 1</f>
        <v>0</v>
      </c>
    </row>
    <row r="166" spans="1:24" x14ac:dyDescent="0.25">
      <c r="A166" t="s">
        <v>1181</v>
      </c>
      <c r="B166" t="s">
        <v>1182</v>
      </c>
      <c r="C166" t="s">
        <v>636</v>
      </c>
      <c r="D166" t="s">
        <v>683</v>
      </c>
      <c r="E166" t="s">
        <v>620</v>
      </c>
      <c r="F166" t="s">
        <v>635</v>
      </c>
      <c r="G166" t="s">
        <v>710</v>
      </c>
      <c r="H166" t="s">
        <v>623</v>
      </c>
      <c r="I166" t="s">
        <v>638</v>
      </c>
      <c r="J166" t="s">
        <v>632</v>
      </c>
      <c r="K166" s="2" t="s">
        <v>620</v>
      </c>
      <c r="L166" s="2" t="s">
        <v>620</v>
      </c>
      <c r="M166" s="2" t="s">
        <v>620</v>
      </c>
      <c r="N166" s="2" t="s">
        <v>620</v>
      </c>
      <c r="O166" t="s">
        <v>639</v>
      </c>
      <c r="P166" t="s">
        <v>639</v>
      </c>
      <c r="Q166" t="s">
        <v>639</v>
      </c>
      <c r="R166" t="s">
        <v>639</v>
      </c>
      <c r="S166" t="s">
        <v>639</v>
      </c>
      <c r="T166" t="s">
        <v>620</v>
      </c>
      <c r="U166" t="s">
        <v>620</v>
      </c>
      <c r="V166" s="3" t="str">
        <f>IF(AND(data[[#This Row],[status]]="OK",data[[#This Row],[approach]]="evoavalla"),data[[#This Row],[asm_path]],"")</f>
        <v/>
      </c>
      <c r="W166" s="3" t="str">
        <f>IF(AND(data[[#This Row],[status]]="OK",data[[#This Row],[approach]]="atgt"),data[[#This Row],[asm_path]],"")</f>
        <v/>
      </c>
      <c r="X166" s="3" t="b">
        <f>COUNTIF(W:W,data[[#This Row],[path_ok_status_evoavalla]]) = 1</f>
        <v>0</v>
      </c>
    </row>
    <row r="167" spans="1:24" x14ac:dyDescent="0.25">
      <c r="A167" t="s">
        <v>1183</v>
      </c>
      <c r="B167" t="s">
        <v>1184</v>
      </c>
      <c r="C167" t="s">
        <v>710</v>
      </c>
      <c r="D167" t="s">
        <v>745</v>
      </c>
      <c r="E167" t="s">
        <v>636</v>
      </c>
      <c r="F167" t="s">
        <v>761</v>
      </c>
      <c r="G167" t="s">
        <v>1185</v>
      </c>
      <c r="H167" t="s">
        <v>623</v>
      </c>
      <c r="I167" t="s">
        <v>638</v>
      </c>
      <c r="J167" t="s">
        <v>632</v>
      </c>
      <c r="K167" s="2" t="s">
        <v>620</v>
      </c>
      <c r="L167" s="2" t="s">
        <v>620</v>
      </c>
      <c r="M167" s="2" t="s">
        <v>620</v>
      </c>
      <c r="N167" s="2" t="s">
        <v>620</v>
      </c>
      <c r="O167" t="s">
        <v>639</v>
      </c>
      <c r="P167" t="s">
        <v>639</v>
      </c>
      <c r="Q167" t="s">
        <v>639</v>
      </c>
      <c r="R167" t="s">
        <v>639</v>
      </c>
      <c r="S167" t="s">
        <v>639</v>
      </c>
      <c r="T167" t="s">
        <v>620</v>
      </c>
      <c r="U167" t="s">
        <v>620</v>
      </c>
      <c r="V167" s="3" t="str">
        <f>IF(AND(data[[#This Row],[status]]="OK",data[[#This Row],[approach]]="evoavalla"),data[[#This Row],[asm_path]],"")</f>
        <v/>
      </c>
      <c r="W167" s="3" t="str">
        <f>IF(AND(data[[#This Row],[status]]="OK",data[[#This Row],[approach]]="atgt"),data[[#This Row],[asm_path]],"")</f>
        <v/>
      </c>
      <c r="X167" s="3" t="b">
        <f>COUNTIF(W:W,data[[#This Row],[path_ok_status_evoavalla]]) = 1</f>
        <v>0</v>
      </c>
    </row>
    <row r="168" spans="1:24" x14ac:dyDescent="0.25">
      <c r="A168" t="s">
        <v>1186</v>
      </c>
      <c r="B168" t="s">
        <v>892</v>
      </c>
      <c r="C168" t="s">
        <v>636</v>
      </c>
      <c r="D168" t="s">
        <v>620</v>
      </c>
      <c r="E168" t="s">
        <v>620</v>
      </c>
      <c r="F168" t="s">
        <v>620</v>
      </c>
      <c r="G168" t="s">
        <v>636</v>
      </c>
      <c r="H168" t="s">
        <v>623</v>
      </c>
      <c r="I168" t="s">
        <v>638</v>
      </c>
      <c r="J168" t="s">
        <v>632</v>
      </c>
      <c r="K168" s="2" t="s">
        <v>620</v>
      </c>
      <c r="L168" s="2" t="s">
        <v>620</v>
      </c>
      <c r="M168" s="2" t="s">
        <v>620</v>
      </c>
      <c r="N168" s="2" t="s">
        <v>620</v>
      </c>
      <c r="O168" t="s">
        <v>639</v>
      </c>
      <c r="P168" t="s">
        <v>639</v>
      </c>
      <c r="Q168" t="s">
        <v>639</v>
      </c>
      <c r="R168" t="s">
        <v>639</v>
      </c>
      <c r="S168" t="s">
        <v>639</v>
      </c>
      <c r="T168" t="s">
        <v>620</v>
      </c>
      <c r="U168" t="s">
        <v>620</v>
      </c>
      <c r="V168" s="3" t="str">
        <f>IF(AND(data[[#This Row],[status]]="OK",data[[#This Row],[approach]]="evoavalla"),data[[#This Row],[asm_path]],"")</f>
        <v/>
      </c>
      <c r="W168" s="3" t="str">
        <f>IF(AND(data[[#This Row],[status]]="OK",data[[#This Row],[approach]]="atgt"),data[[#This Row],[asm_path]],"")</f>
        <v/>
      </c>
      <c r="X168" s="3" t="b">
        <f>COUNTIF(W:W,data[[#This Row],[path_ok_status_evoavalla]]) = 1</f>
        <v>0</v>
      </c>
    </row>
    <row r="169" spans="1:24" x14ac:dyDescent="0.25">
      <c r="A169" t="s">
        <v>1187</v>
      </c>
      <c r="B169" t="s">
        <v>1188</v>
      </c>
      <c r="C169" t="s">
        <v>626</v>
      </c>
      <c r="D169" t="s">
        <v>643</v>
      </c>
      <c r="E169" t="s">
        <v>620</v>
      </c>
      <c r="F169" t="s">
        <v>626</v>
      </c>
      <c r="G169" t="s">
        <v>966</v>
      </c>
      <c r="H169" t="s">
        <v>623</v>
      </c>
      <c r="I169" t="s">
        <v>624</v>
      </c>
      <c r="J169" t="s">
        <v>1189</v>
      </c>
      <c r="K169" s="2" t="s">
        <v>636</v>
      </c>
      <c r="L169" s="2" t="s">
        <v>664</v>
      </c>
      <c r="M169" s="2" t="s">
        <v>636</v>
      </c>
      <c r="N169" s="2" t="s">
        <v>808</v>
      </c>
      <c r="O169" t="s">
        <v>630</v>
      </c>
      <c r="P169" t="s">
        <v>630</v>
      </c>
      <c r="Q169" t="s">
        <v>632</v>
      </c>
      <c r="R169" t="s">
        <v>1190</v>
      </c>
      <c r="S169" t="s">
        <v>630</v>
      </c>
      <c r="T169" t="s">
        <v>620</v>
      </c>
      <c r="U169" t="s">
        <v>636</v>
      </c>
      <c r="V169" s="3" t="str">
        <f>IF(AND(data[[#This Row],[status]]="OK",data[[#This Row],[approach]]="evoavalla"),data[[#This Row],[asm_path]],"")</f>
        <v>../../../asm_examples/examples/traffic_light/oneWayTrafficLightOnlyPassedFlat.asm</v>
      </c>
      <c r="W169" s="3" t="str">
        <f>IF(AND(data[[#This Row],[status]]="OK",data[[#This Row],[approach]]="atgt"),data[[#This Row],[asm_path]],"")</f>
        <v/>
      </c>
      <c r="X169" s="3" t="b">
        <f>COUNTIF(W:W,data[[#This Row],[path_ok_status_evoavalla]]) = 1</f>
        <v>1</v>
      </c>
    </row>
    <row r="170" spans="1:24" x14ac:dyDescent="0.25">
      <c r="A170" t="s">
        <v>1191</v>
      </c>
      <c r="B170" t="s">
        <v>1192</v>
      </c>
      <c r="C170" t="s">
        <v>682</v>
      </c>
      <c r="D170" t="s">
        <v>635</v>
      </c>
      <c r="E170" t="s">
        <v>620</v>
      </c>
      <c r="F170" t="s">
        <v>636</v>
      </c>
      <c r="G170" t="s">
        <v>683</v>
      </c>
      <c r="H170" t="s">
        <v>623</v>
      </c>
      <c r="I170" t="s">
        <v>638</v>
      </c>
      <c r="J170" t="s">
        <v>632</v>
      </c>
      <c r="K170" s="2" t="s">
        <v>620</v>
      </c>
      <c r="L170" s="2" t="s">
        <v>620</v>
      </c>
      <c r="M170" s="2" t="s">
        <v>620</v>
      </c>
      <c r="N170" s="2" t="s">
        <v>620</v>
      </c>
      <c r="O170" t="s">
        <v>639</v>
      </c>
      <c r="P170" t="s">
        <v>639</v>
      </c>
      <c r="Q170" t="s">
        <v>639</v>
      </c>
      <c r="R170" t="s">
        <v>639</v>
      </c>
      <c r="S170" t="s">
        <v>639</v>
      </c>
      <c r="T170" t="s">
        <v>620</v>
      </c>
      <c r="U170" t="s">
        <v>620</v>
      </c>
      <c r="V170" s="3" t="str">
        <f>IF(AND(data[[#This Row],[status]]="OK",data[[#This Row],[approach]]="evoavalla"),data[[#This Row],[asm_path]],"")</f>
        <v/>
      </c>
      <c r="W170" s="3" t="str">
        <f>IF(AND(data[[#This Row],[status]]="OK",data[[#This Row],[approach]]="atgt"),data[[#This Row],[asm_path]],"")</f>
        <v/>
      </c>
      <c r="X170" s="3" t="b">
        <f>COUNTIF(W:W,data[[#This Row],[path_ok_status_evoavalla]]) = 1</f>
        <v>0</v>
      </c>
    </row>
    <row r="171" spans="1:24" x14ac:dyDescent="0.25">
      <c r="A171" t="s">
        <v>1193</v>
      </c>
      <c r="B171" t="s">
        <v>1194</v>
      </c>
      <c r="C171" t="s">
        <v>1092</v>
      </c>
      <c r="D171" t="s">
        <v>1195</v>
      </c>
      <c r="E171" t="s">
        <v>620</v>
      </c>
      <c r="F171" t="s">
        <v>1196</v>
      </c>
      <c r="G171" t="s">
        <v>1197</v>
      </c>
      <c r="H171" t="s">
        <v>623</v>
      </c>
      <c r="I171" t="s">
        <v>624</v>
      </c>
      <c r="J171" t="s">
        <v>1198</v>
      </c>
      <c r="K171" s="2" t="s">
        <v>635</v>
      </c>
      <c r="L171" s="2" t="s">
        <v>621</v>
      </c>
      <c r="M171" s="2" t="s">
        <v>682</v>
      </c>
      <c r="N171" s="2" t="s">
        <v>1199</v>
      </c>
      <c r="O171" t="s">
        <v>1200</v>
      </c>
      <c r="P171" t="s">
        <v>1201</v>
      </c>
      <c r="Q171" t="s">
        <v>632</v>
      </c>
      <c r="R171" t="s">
        <v>1202</v>
      </c>
      <c r="S171" t="s">
        <v>1203</v>
      </c>
      <c r="T171" t="s">
        <v>620</v>
      </c>
      <c r="U171" t="s">
        <v>620</v>
      </c>
      <c r="V171" s="3" t="str">
        <f>IF(AND(data[[#This Row],[status]]="OK",data[[#This Row],[approach]]="evoavalla"),data[[#This Row],[asm_path]],"")</f>
        <v>../../../asm_examples/examples/hemodialysisDevice/ABZ2016/Hemodialysis_ref3_forMC.asm</v>
      </c>
      <c r="W171" s="3" t="str">
        <f>IF(AND(data[[#This Row],[status]]="OK",data[[#This Row],[approach]]="atgt"),data[[#This Row],[asm_path]],"")</f>
        <v/>
      </c>
      <c r="X171" s="3" t="b">
        <f>COUNTIF(W:W,data[[#This Row],[path_ok_status_evoavalla]]) = 1</f>
        <v>0</v>
      </c>
    </row>
    <row r="172" spans="1:24" x14ac:dyDescent="0.25">
      <c r="A172" t="s">
        <v>1204</v>
      </c>
      <c r="B172" t="s">
        <v>1205</v>
      </c>
      <c r="C172" t="s">
        <v>664</v>
      </c>
      <c r="D172" t="s">
        <v>683</v>
      </c>
      <c r="E172" t="s">
        <v>636</v>
      </c>
      <c r="F172" t="s">
        <v>716</v>
      </c>
      <c r="G172" t="s">
        <v>745</v>
      </c>
      <c r="H172" t="s">
        <v>623</v>
      </c>
      <c r="I172" t="s">
        <v>638</v>
      </c>
      <c r="J172" t="s">
        <v>632</v>
      </c>
      <c r="K172" s="2" t="s">
        <v>620</v>
      </c>
      <c r="L172" s="2" t="s">
        <v>620</v>
      </c>
      <c r="M172" s="2" t="s">
        <v>620</v>
      </c>
      <c r="N172" s="2" t="s">
        <v>620</v>
      </c>
      <c r="O172" t="s">
        <v>639</v>
      </c>
      <c r="P172" t="s">
        <v>639</v>
      </c>
      <c r="Q172" t="s">
        <v>639</v>
      </c>
      <c r="R172" t="s">
        <v>639</v>
      </c>
      <c r="S172" t="s">
        <v>639</v>
      </c>
      <c r="T172" t="s">
        <v>620</v>
      </c>
      <c r="U172" t="s">
        <v>620</v>
      </c>
      <c r="V172" s="3" t="str">
        <f>IF(AND(data[[#This Row],[status]]="OK",data[[#This Row],[approach]]="evoavalla"),data[[#This Row],[asm_path]],"")</f>
        <v/>
      </c>
      <c r="W172" s="3" t="str">
        <f>IF(AND(data[[#This Row],[status]]="OK",data[[#This Row],[approach]]="atgt"),data[[#This Row],[asm_path]],"")</f>
        <v/>
      </c>
      <c r="X172" s="3" t="b">
        <f>COUNTIF(W:W,data[[#This Row],[path_ok_status_evoavalla]]) = 1</f>
        <v>0</v>
      </c>
    </row>
    <row r="173" spans="1:24" x14ac:dyDescent="0.25">
      <c r="A173" t="s">
        <v>1206</v>
      </c>
      <c r="B173" t="s">
        <v>1207</v>
      </c>
      <c r="C173" t="s">
        <v>635</v>
      </c>
      <c r="D173" t="s">
        <v>636</v>
      </c>
      <c r="E173" t="s">
        <v>636</v>
      </c>
      <c r="F173" t="s">
        <v>635</v>
      </c>
      <c r="G173" t="s">
        <v>664</v>
      </c>
      <c r="H173" t="s">
        <v>623</v>
      </c>
      <c r="I173" t="s">
        <v>638</v>
      </c>
      <c r="J173" t="s">
        <v>632</v>
      </c>
      <c r="K173" s="2" t="s">
        <v>620</v>
      </c>
      <c r="L173" s="2" t="s">
        <v>620</v>
      </c>
      <c r="M173" s="2" t="s">
        <v>620</v>
      </c>
      <c r="N173" s="2" t="s">
        <v>620</v>
      </c>
      <c r="O173" t="s">
        <v>639</v>
      </c>
      <c r="P173" t="s">
        <v>639</v>
      </c>
      <c r="Q173" t="s">
        <v>639</v>
      </c>
      <c r="R173" t="s">
        <v>639</v>
      </c>
      <c r="S173" t="s">
        <v>639</v>
      </c>
      <c r="T173" t="s">
        <v>620</v>
      </c>
      <c r="U173" t="s">
        <v>620</v>
      </c>
      <c r="V173" s="3" t="str">
        <f>IF(AND(data[[#This Row],[status]]="OK",data[[#This Row],[approach]]="evoavalla"),data[[#This Row],[asm_path]],"")</f>
        <v/>
      </c>
      <c r="W173" s="3" t="str">
        <f>IF(AND(data[[#This Row],[status]]="OK",data[[#This Row],[approach]]="atgt"),data[[#This Row],[asm_path]],"")</f>
        <v/>
      </c>
      <c r="X173" s="3" t="b">
        <f>COUNTIF(W:W,data[[#This Row],[path_ok_status_evoavalla]]) = 1</f>
        <v>0</v>
      </c>
    </row>
    <row r="174" spans="1:24" x14ac:dyDescent="0.25">
      <c r="A174" t="s">
        <v>1208</v>
      </c>
      <c r="B174" t="s">
        <v>1209</v>
      </c>
      <c r="C174" t="s">
        <v>636</v>
      </c>
      <c r="D174" t="s">
        <v>636</v>
      </c>
      <c r="E174" t="s">
        <v>620</v>
      </c>
      <c r="F174" t="s">
        <v>636</v>
      </c>
      <c r="G174" t="s">
        <v>635</v>
      </c>
      <c r="H174" t="s">
        <v>623</v>
      </c>
      <c r="I174" t="s">
        <v>638</v>
      </c>
      <c r="J174" t="s">
        <v>1210</v>
      </c>
      <c r="K174" s="2" t="s">
        <v>620</v>
      </c>
      <c r="L174" s="2" t="s">
        <v>620</v>
      </c>
      <c r="M174" s="2" t="s">
        <v>620</v>
      </c>
      <c r="N174" s="2" t="s">
        <v>620</v>
      </c>
      <c r="O174" t="s">
        <v>639</v>
      </c>
      <c r="P174" t="s">
        <v>639</v>
      </c>
      <c r="Q174" t="s">
        <v>639</v>
      </c>
      <c r="R174" t="s">
        <v>639</v>
      </c>
      <c r="S174" t="s">
        <v>639</v>
      </c>
      <c r="T174" t="s">
        <v>620</v>
      </c>
      <c r="U174" t="s">
        <v>620</v>
      </c>
      <c r="V174" s="3" t="str">
        <f>IF(AND(data[[#This Row],[status]]="OK",data[[#This Row],[approach]]="evoavalla"),data[[#This Row],[asm_path]],"")</f>
        <v/>
      </c>
      <c r="W174" s="3" t="str">
        <f>IF(AND(data[[#This Row],[status]]="OK",data[[#This Row],[approach]]="atgt"),data[[#This Row],[asm_path]],"")</f>
        <v/>
      </c>
      <c r="X174" s="3" t="b">
        <f>COUNTIF(W:W,data[[#This Row],[path_ok_status_evoavalla]]) = 1</f>
        <v>0</v>
      </c>
    </row>
    <row r="175" spans="1:24" x14ac:dyDescent="0.25">
      <c r="A175" t="s">
        <v>1211</v>
      </c>
      <c r="B175" t="s">
        <v>1212</v>
      </c>
      <c r="C175" t="s">
        <v>798</v>
      </c>
      <c r="D175" t="s">
        <v>1065</v>
      </c>
      <c r="E175" t="s">
        <v>798</v>
      </c>
      <c r="F175" t="s">
        <v>1069</v>
      </c>
      <c r="G175" t="s">
        <v>1213</v>
      </c>
      <c r="H175" t="s">
        <v>623</v>
      </c>
      <c r="I175" t="s">
        <v>638</v>
      </c>
      <c r="J175" t="s">
        <v>632</v>
      </c>
      <c r="K175" s="2" t="s">
        <v>620</v>
      </c>
      <c r="L175" s="2" t="s">
        <v>620</v>
      </c>
      <c r="M175" s="2" t="s">
        <v>620</v>
      </c>
      <c r="N175" s="2" t="s">
        <v>620</v>
      </c>
      <c r="O175" t="s">
        <v>639</v>
      </c>
      <c r="P175" t="s">
        <v>639</v>
      </c>
      <c r="Q175" t="s">
        <v>639</v>
      </c>
      <c r="R175" t="s">
        <v>639</v>
      </c>
      <c r="S175" t="s">
        <v>639</v>
      </c>
      <c r="T175" t="s">
        <v>620</v>
      </c>
      <c r="U175" t="s">
        <v>620</v>
      </c>
      <c r="V175" s="3" t="str">
        <f>IF(AND(data[[#This Row],[status]]="OK",data[[#This Row],[approach]]="evoavalla"),data[[#This Row],[asm_path]],"")</f>
        <v/>
      </c>
      <c r="W175" s="3" t="str">
        <f>IF(AND(data[[#This Row],[status]]="OK",data[[#This Row],[approach]]="atgt"),data[[#This Row],[asm_path]],"")</f>
        <v/>
      </c>
      <c r="X175" s="3" t="b">
        <f>COUNTIF(W:W,data[[#This Row],[path_ok_status_evoavalla]]) = 1</f>
        <v>0</v>
      </c>
    </row>
    <row r="176" spans="1:24" x14ac:dyDescent="0.25">
      <c r="A176" t="s">
        <v>1214</v>
      </c>
      <c r="B176" t="s">
        <v>1215</v>
      </c>
      <c r="C176" t="s">
        <v>716</v>
      </c>
      <c r="D176" t="s">
        <v>637</v>
      </c>
      <c r="E176" t="s">
        <v>636</v>
      </c>
      <c r="F176" t="s">
        <v>761</v>
      </c>
      <c r="G176" t="s">
        <v>735</v>
      </c>
      <c r="H176" t="s">
        <v>623</v>
      </c>
      <c r="I176" t="s">
        <v>638</v>
      </c>
      <c r="J176" t="s">
        <v>632</v>
      </c>
      <c r="K176" s="2" t="s">
        <v>620</v>
      </c>
      <c r="L176" s="2" t="s">
        <v>620</v>
      </c>
      <c r="M176" s="2" t="s">
        <v>620</v>
      </c>
      <c r="N176" s="2" t="s">
        <v>620</v>
      </c>
      <c r="O176" t="s">
        <v>639</v>
      </c>
      <c r="P176" t="s">
        <v>639</v>
      </c>
      <c r="Q176" t="s">
        <v>639</v>
      </c>
      <c r="R176" t="s">
        <v>639</v>
      </c>
      <c r="S176" t="s">
        <v>639</v>
      </c>
      <c r="T176" t="s">
        <v>620</v>
      </c>
      <c r="U176" t="s">
        <v>620</v>
      </c>
      <c r="V176" s="3" t="str">
        <f>IF(AND(data[[#This Row],[status]]="OK",data[[#This Row],[approach]]="evoavalla"),data[[#This Row],[asm_path]],"")</f>
        <v/>
      </c>
      <c r="W176" s="3" t="str">
        <f>IF(AND(data[[#This Row],[status]]="OK",data[[#This Row],[approach]]="atgt"),data[[#This Row],[asm_path]],"")</f>
        <v/>
      </c>
      <c r="X176" s="3" t="b">
        <f>COUNTIF(W:W,data[[#This Row],[path_ok_status_evoavalla]]) = 1</f>
        <v>0</v>
      </c>
    </row>
    <row r="177" spans="1:24" x14ac:dyDescent="0.25">
      <c r="A177" t="s">
        <v>1216</v>
      </c>
      <c r="B177" t="s">
        <v>1217</v>
      </c>
      <c r="C177" t="s">
        <v>642</v>
      </c>
      <c r="D177" t="s">
        <v>752</v>
      </c>
      <c r="E177" t="s">
        <v>620</v>
      </c>
      <c r="F177" t="s">
        <v>642</v>
      </c>
      <c r="G177" t="s">
        <v>1218</v>
      </c>
      <c r="H177" t="s">
        <v>623</v>
      </c>
      <c r="I177" t="s">
        <v>624</v>
      </c>
      <c r="J177" t="s">
        <v>1219</v>
      </c>
      <c r="K177" s="2" t="s">
        <v>643</v>
      </c>
      <c r="L177" s="2" t="s">
        <v>1172</v>
      </c>
      <c r="M177" s="2" t="s">
        <v>643</v>
      </c>
      <c r="N177" s="2" t="s">
        <v>1220</v>
      </c>
      <c r="O177" t="s">
        <v>630</v>
      </c>
      <c r="P177" t="s">
        <v>1221</v>
      </c>
      <c r="Q177" t="s">
        <v>632</v>
      </c>
      <c r="R177" t="s">
        <v>920</v>
      </c>
      <c r="S177" t="s">
        <v>630</v>
      </c>
      <c r="T177" t="s">
        <v>620</v>
      </c>
      <c r="U177" t="s">
        <v>620</v>
      </c>
      <c r="V177" s="3" t="str">
        <f>IF(AND(data[[#This Row],[status]]="OK",data[[#This Row],[approach]]="evoavalla"),data[[#This Row],[asm_path]],"")</f>
        <v>../../../asm_examples/stereoacuity/certifier_nochoose_noundef.asm</v>
      </c>
      <c r="W177" s="3" t="str">
        <f>IF(AND(data[[#This Row],[status]]="OK",data[[#This Row],[approach]]="atgt"),data[[#This Row],[asm_path]],"")</f>
        <v/>
      </c>
      <c r="X177" s="3" t="b">
        <f>COUNTIF(W:W,data[[#This Row],[path_ok_status_evoavalla]]) = 1</f>
        <v>1</v>
      </c>
    </row>
    <row r="178" spans="1:24" x14ac:dyDescent="0.25">
      <c r="A178" t="s">
        <v>1222</v>
      </c>
      <c r="B178" t="s">
        <v>1152</v>
      </c>
      <c r="C178" t="s">
        <v>710</v>
      </c>
      <c r="D178" t="s">
        <v>761</v>
      </c>
      <c r="E178" t="s">
        <v>620</v>
      </c>
      <c r="F178" t="s">
        <v>642</v>
      </c>
      <c r="G178" t="s">
        <v>821</v>
      </c>
      <c r="H178" t="s">
        <v>623</v>
      </c>
      <c r="I178" t="s">
        <v>624</v>
      </c>
      <c r="J178" t="s">
        <v>1223</v>
      </c>
      <c r="K178" s="2" t="s">
        <v>664</v>
      </c>
      <c r="L178" s="2" t="s">
        <v>618</v>
      </c>
      <c r="M178" s="2" t="s">
        <v>643</v>
      </c>
      <c r="N178" s="2" t="s">
        <v>817</v>
      </c>
      <c r="O178" t="s">
        <v>630</v>
      </c>
      <c r="P178" t="s">
        <v>1224</v>
      </c>
      <c r="Q178" t="s">
        <v>632</v>
      </c>
      <c r="R178" t="s">
        <v>1225</v>
      </c>
      <c r="S178" t="s">
        <v>630</v>
      </c>
      <c r="T178" t="s">
        <v>620</v>
      </c>
      <c r="U178" t="s">
        <v>620</v>
      </c>
      <c r="V178" s="3" t="str">
        <f>IF(AND(data[[#This Row],[status]]="OK",data[[#This Row],[approach]]="evoavalla"),data[[#This Row],[asm_path]],"")</f>
        <v>../../../asm_examples/examples/TrafficLightYakindu/TrafficLight4/TrafficLight_4.asm</v>
      </c>
      <c r="W178" s="3" t="str">
        <f>IF(AND(data[[#This Row],[status]]="OK",data[[#This Row],[approach]]="atgt"),data[[#This Row],[asm_path]],"")</f>
        <v/>
      </c>
      <c r="X178" s="3" t="b">
        <f>COUNTIF(W:W,data[[#This Row],[path_ok_status_evoavalla]]) = 1</f>
        <v>1</v>
      </c>
    </row>
    <row r="179" spans="1:24" x14ac:dyDescent="0.25">
      <c r="A179" t="s">
        <v>1226</v>
      </c>
      <c r="B179" t="s">
        <v>1227</v>
      </c>
      <c r="C179" t="s">
        <v>621</v>
      </c>
      <c r="D179" t="s">
        <v>966</v>
      </c>
      <c r="E179" t="s">
        <v>628</v>
      </c>
      <c r="F179" t="s">
        <v>619</v>
      </c>
      <c r="G179" t="s">
        <v>837</v>
      </c>
      <c r="H179" t="s">
        <v>623</v>
      </c>
      <c r="I179" t="s">
        <v>638</v>
      </c>
      <c r="J179" t="s">
        <v>632</v>
      </c>
      <c r="K179" s="2" t="s">
        <v>620</v>
      </c>
      <c r="L179" s="2" t="s">
        <v>620</v>
      </c>
      <c r="M179" s="2" t="s">
        <v>620</v>
      </c>
      <c r="N179" s="2" t="s">
        <v>620</v>
      </c>
      <c r="O179" t="s">
        <v>639</v>
      </c>
      <c r="P179" t="s">
        <v>639</v>
      </c>
      <c r="Q179" t="s">
        <v>639</v>
      </c>
      <c r="R179" t="s">
        <v>639</v>
      </c>
      <c r="S179" t="s">
        <v>639</v>
      </c>
      <c r="T179" t="s">
        <v>620</v>
      </c>
      <c r="U179" t="s">
        <v>620</v>
      </c>
      <c r="V179" s="3" t="str">
        <f>IF(AND(data[[#This Row],[status]]="OK",data[[#This Row],[approach]]="evoavalla"),data[[#This Row],[asm_path]],"")</f>
        <v/>
      </c>
      <c r="W179" s="3" t="str">
        <f>IF(AND(data[[#This Row],[status]]="OK",data[[#This Row],[approach]]="atgt"),data[[#This Row],[asm_path]],"")</f>
        <v/>
      </c>
      <c r="X179" s="3" t="b">
        <f>COUNTIF(W:W,data[[#This Row],[path_ok_status_evoavalla]]) = 1</f>
        <v>0</v>
      </c>
    </row>
    <row r="180" spans="1:24" x14ac:dyDescent="0.25">
      <c r="A180" t="s">
        <v>1228</v>
      </c>
      <c r="B180" t="s">
        <v>1229</v>
      </c>
      <c r="C180" t="s">
        <v>621</v>
      </c>
      <c r="D180" t="s">
        <v>619</v>
      </c>
      <c r="E180" t="s">
        <v>620</v>
      </c>
      <c r="F180" t="s">
        <v>761</v>
      </c>
      <c r="G180" t="s">
        <v>697</v>
      </c>
      <c r="H180" t="s">
        <v>623</v>
      </c>
      <c r="I180" t="s">
        <v>624</v>
      </c>
      <c r="J180" t="s">
        <v>1230</v>
      </c>
      <c r="K180" s="2" t="s">
        <v>636</v>
      </c>
      <c r="L180" s="2" t="s">
        <v>636</v>
      </c>
      <c r="M180" s="2" t="s">
        <v>620</v>
      </c>
      <c r="N180" s="2" t="s">
        <v>621</v>
      </c>
      <c r="O180" t="s">
        <v>993</v>
      </c>
      <c r="P180" t="s">
        <v>1231</v>
      </c>
      <c r="Q180" t="s">
        <v>632</v>
      </c>
      <c r="R180" t="s">
        <v>1232</v>
      </c>
      <c r="S180" t="s">
        <v>1130</v>
      </c>
      <c r="T180" t="s">
        <v>620</v>
      </c>
      <c r="U180" t="s">
        <v>620</v>
      </c>
      <c r="V180" s="3" t="str">
        <f>IF(AND(data[[#This Row],[status]]="OK",data[[#This Row],[approach]]="evoavalla"),data[[#This Row],[asm_path]],"")</f>
        <v>../../../asm_examples/unibgstudents/stufa.asm</v>
      </c>
      <c r="W180" s="3" t="str">
        <f>IF(AND(data[[#This Row],[status]]="OK",data[[#This Row],[approach]]="atgt"),data[[#This Row],[asm_path]],"")</f>
        <v/>
      </c>
      <c r="X180" s="3" t="b">
        <f>COUNTIF(W:W,data[[#This Row],[path_ok_status_evoavalla]]) = 1</f>
        <v>0</v>
      </c>
    </row>
    <row r="181" spans="1:24" x14ac:dyDescent="0.25">
      <c r="A181" t="s">
        <v>1233</v>
      </c>
      <c r="B181" t="s">
        <v>1234</v>
      </c>
      <c r="C181" t="s">
        <v>682</v>
      </c>
      <c r="D181" t="s">
        <v>636</v>
      </c>
      <c r="E181" t="s">
        <v>620</v>
      </c>
      <c r="F181" t="s">
        <v>635</v>
      </c>
      <c r="G181" t="s">
        <v>886</v>
      </c>
      <c r="H181" t="s">
        <v>623</v>
      </c>
      <c r="I181" t="s">
        <v>638</v>
      </c>
      <c r="J181" t="s">
        <v>632</v>
      </c>
      <c r="K181" s="2" t="s">
        <v>620</v>
      </c>
      <c r="L181" s="2" t="s">
        <v>620</v>
      </c>
      <c r="M181" s="2" t="s">
        <v>620</v>
      </c>
      <c r="N181" s="2" t="s">
        <v>620</v>
      </c>
      <c r="O181" t="s">
        <v>639</v>
      </c>
      <c r="P181" t="s">
        <v>639</v>
      </c>
      <c r="Q181" t="s">
        <v>639</v>
      </c>
      <c r="R181" t="s">
        <v>639</v>
      </c>
      <c r="S181" t="s">
        <v>639</v>
      </c>
      <c r="T181" t="s">
        <v>620</v>
      </c>
      <c r="U181" t="s">
        <v>620</v>
      </c>
      <c r="V181" s="3" t="str">
        <f>IF(AND(data[[#This Row],[status]]="OK",data[[#This Row],[approach]]="evoavalla"),data[[#This Row],[asm_path]],"")</f>
        <v/>
      </c>
      <c r="W181" s="3" t="str">
        <f>IF(AND(data[[#This Row],[status]]="OK",data[[#This Row],[approach]]="atgt"),data[[#This Row],[asm_path]],"")</f>
        <v/>
      </c>
      <c r="X181" s="3" t="b">
        <f>COUNTIF(W:W,data[[#This Row],[path_ok_status_evoavalla]]) = 1</f>
        <v>0</v>
      </c>
    </row>
    <row r="182" spans="1:24" x14ac:dyDescent="0.25">
      <c r="A182" t="s">
        <v>1235</v>
      </c>
      <c r="B182" t="s">
        <v>1236</v>
      </c>
      <c r="C182" t="s">
        <v>683</v>
      </c>
      <c r="D182" t="s">
        <v>628</v>
      </c>
      <c r="E182" t="s">
        <v>620</v>
      </c>
      <c r="F182" t="s">
        <v>635</v>
      </c>
      <c r="G182" t="s">
        <v>745</v>
      </c>
      <c r="H182" t="s">
        <v>623</v>
      </c>
      <c r="I182" t="s">
        <v>638</v>
      </c>
      <c r="J182" t="s">
        <v>632</v>
      </c>
      <c r="K182" s="2" t="s">
        <v>620</v>
      </c>
      <c r="L182" s="2" t="s">
        <v>620</v>
      </c>
      <c r="M182" s="2" t="s">
        <v>620</v>
      </c>
      <c r="N182" s="2" t="s">
        <v>620</v>
      </c>
      <c r="O182" t="s">
        <v>639</v>
      </c>
      <c r="P182" t="s">
        <v>639</v>
      </c>
      <c r="Q182" t="s">
        <v>639</v>
      </c>
      <c r="R182" t="s">
        <v>639</v>
      </c>
      <c r="S182" t="s">
        <v>639</v>
      </c>
      <c r="T182" t="s">
        <v>620</v>
      </c>
      <c r="U182" t="s">
        <v>620</v>
      </c>
      <c r="V182" s="3" t="str">
        <f>IF(AND(data[[#This Row],[status]]="OK",data[[#This Row],[approach]]="evoavalla"),data[[#This Row],[asm_path]],"")</f>
        <v/>
      </c>
      <c r="W182" s="3" t="str">
        <f>IF(AND(data[[#This Row],[status]]="OK",data[[#This Row],[approach]]="atgt"),data[[#This Row],[asm_path]],"")</f>
        <v/>
      </c>
      <c r="X182" s="3" t="b">
        <f>COUNTIF(W:W,data[[#This Row],[path_ok_status_evoavalla]]) = 1</f>
        <v>0</v>
      </c>
    </row>
    <row r="183" spans="1:24" x14ac:dyDescent="0.25">
      <c r="A183" t="s">
        <v>1237</v>
      </c>
      <c r="B183" t="s">
        <v>1238</v>
      </c>
      <c r="C183" t="s">
        <v>682</v>
      </c>
      <c r="D183" t="s">
        <v>626</v>
      </c>
      <c r="E183" t="s">
        <v>620</v>
      </c>
      <c r="F183" t="s">
        <v>682</v>
      </c>
      <c r="G183" t="s">
        <v>761</v>
      </c>
      <c r="H183" t="s">
        <v>623</v>
      </c>
      <c r="I183" t="s">
        <v>638</v>
      </c>
      <c r="J183" t="s">
        <v>1239</v>
      </c>
      <c r="K183" s="2" t="s">
        <v>620</v>
      </c>
      <c r="L183" s="2" t="s">
        <v>620</v>
      </c>
      <c r="M183" s="2" t="s">
        <v>620</v>
      </c>
      <c r="N183" s="2" t="s">
        <v>620</v>
      </c>
      <c r="O183" t="s">
        <v>639</v>
      </c>
      <c r="P183" t="s">
        <v>639</v>
      </c>
      <c r="Q183" t="s">
        <v>639</v>
      </c>
      <c r="R183" t="s">
        <v>639</v>
      </c>
      <c r="S183" t="s">
        <v>639</v>
      </c>
      <c r="T183" t="s">
        <v>635</v>
      </c>
      <c r="U183" t="s">
        <v>620</v>
      </c>
      <c r="V183" s="3" t="str">
        <f>IF(AND(data[[#This Row],[status]]="OK",data[[#This Row],[approach]]="evoavalla"),data[[#This Row],[asm_path]],"")</f>
        <v/>
      </c>
      <c r="W183" s="3" t="str">
        <f>IF(AND(data[[#This Row],[status]]="OK",data[[#This Row],[approach]]="atgt"),data[[#This Row],[asm_path]],"")</f>
        <v/>
      </c>
      <c r="X183" s="3" t="b">
        <f>COUNTIF(W:W,data[[#This Row],[path_ok_status_evoavalla]]) = 1</f>
        <v>0</v>
      </c>
    </row>
    <row r="184" spans="1:24" x14ac:dyDescent="0.25">
      <c r="A184" t="s">
        <v>1240</v>
      </c>
      <c r="B184" t="s">
        <v>1241</v>
      </c>
      <c r="C184" t="s">
        <v>635</v>
      </c>
      <c r="D184" t="s">
        <v>635</v>
      </c>
      <c r="E184" t="s">
        <v>620</v>
      </c>
      <c r="F184" t="s">
        <v>682</v>
      </c>
      <c r="G184" t="s">
        <v>637</v>
      </c>
      <c r="H184" t="s">
        <v>623</v>
      </c>
      <c r="I184" t="s">
        <v>638</v>
      </c>
      <c r="J184" t="s">
        <v>632</v>
      </c>
      <c r="K184" s="2" t="s">
        <v>620</v>
      </c>
      <c r="L184" s="2" t="s">
        <v>620</v>
      </c>
      <c r="M184" s="2" t="s">
        <v>620</v>
      </c>
      <c r="N184" s="2" t="s">
        <v>620</v>
      </c>
      <c r="O184" t="s">
        <v>639</v>
      </c>
      <c r="P184" t="s">
        <v>639</v>
      </c>
      <c r="Q184" t="s">
        <v>639</v>
      </c>
      <c r="R184" t="s">
        <v>639</v>
      </c>
      <c r="S184" t="s">
        <v>639</v>
      </c>
      <c r="T184" t="s">
        <v>620</v>
      </c>
      <c r="U184" t="s">
        <v>620</v>
      </c>
      <c r="V184" s="3" t="str">
        <f>IF(AND(data[[#This Row],[status]]="OK",data[[#This Row],[approach]]="evoavalla"),data[[#This Row],[asm_path]],"")</f>
        <v/>
      </c>
      <c r="W184" s="3" t="str">
        <f>IF(AND(data[[#This Row],[status]]="OK",data[[#This Row],[approach]]="atgt"),data[[#This Row],[asm_path]],"")</f>
        <v/>
      </c>
      <c r="X184" s="3" t="b">
        <f>COUNTIF(W:W,data[[#This Row],[path_ok_status_evoavalla]]) = 1</f>
        <v>0</v>
      </c>
    </row>
    <row r="185" spans="1:24" x14ac:dyDescent="0.25">
      <c r="A185" t="s">
        <v>1242</v>
      </c>
      <c r="B185" t="s">
        <v>1243</v>
      </c>
      <c r="C185" t="s">
        <v>886</v>
      </c>
      <c r="D185" t="s">
        <v>826</v>
      </c>
      <c r="E185" t="s">
        <v>621</v>
      </c>
      <c r="F185" t="s">
        <v>696</v>
      </c>
      <c r="G185" t="s">
        <v>1244</v>
      </c>
      <c r="H185" t="s">
        <v>623</v>
      </c>
      <c r="I185" t="s">
        <v>638</v>
      </c>
      <c r="J185" t="s">
        <v>632</v>
      </c>
      <c r="K185" s="2" t="s">
        <v>620</v>
      </c>
      <c r="L185" s="2" t="s">
        <v>620</v>
      </c>
      <c r="M185" s="2" t="s">
        <v>620</v>
      </c>
      <c r="N185" s="2" t="s">
        <v>620</v>
      </c>
      <c r="O185" t="s">
        <v>639</v>
      </c>
      <c r="P185" t="s">
        <v>639</v>
      </c>
      <c r="Q185" t="s">
        <v>639</v>
      </c>
      <c r="R185" t="s">
        <v>639</v>
      </c>
      <c r="S185" t="s">
        <v>639</v>
      </c>
      <c r="T185" t="s">
        <v>620</v>
      </c>
      <c r="U185" t="s">
        <v>620</v>
      </c>
      <c r="V185" s="3" t="str">
        <f>IF(AND(data[[#This Row],[status]]="OK",data[[#This Row],[approach]]="evoavalla"),data[[#This Row],[asm_path]],"")</f>
        <v/>
      </c>
      <c r="W185" s="3" t="str">
        <f>IF(AND(data[[#This Row],[status]]="OK",data[[#This Row],[approach]]="atgt"),data[[#This Row],[asm_path]],"")</f>
        <v/>
      </c>
      <c r="X185" s="3" t="b">
        <f>COUNTIF(W:W,data[[#This Row],[path_ok_status_evoavalla]]) = 1</f>
        <v>0</v>
      </c>
    </row>
    <row r="186" spans="1:24" x14ac:dyDescent="0.25">
      <c r="A186" t="s">
        <v>1245</v>
      </c>
      <c r="B186" t="s">
        <v>634</v>
      </c>
      <c r="C186" t="s">
        <v>635</v>
      </c>
      <c r="D186" t="s">
        <v>635</v>
      </c>
      <c r="E186" t="s">
        <v>636</v>
      </c>
      <c r="F186" t="s">
        <v>626</v>
      </c>
      <c r="G186" t="s">
        <v>761</v>
      </c>
      <c r="H186" t="s">
        <v>623</v>
      </c>
      <c r="I186" t="s">
        <v>638</v>
      </c>
      <c r="J186" t="s">
        <v>632</v>
      </c>
      <c r="K186" s="2" t="s">
        <v>620</v>
      </c>
      <c r="L186" s="2" t="s">
        <v>620</v>
      </c>
      <c r="M186" s="2" t="s">
        <v>620</v>
      </c>
      <c r="N186" s="2" t="s">
        <v>620</v>
      </c>
      <c r="O186" t="s">
        <v>639</v>
      </c>
      <c r="P186" t="s">
        <v>639</v>
      </c>
      <c r="Q186" t="s">
        <v>639</v>
      </c>
      <c r="R186" t="s">
        <v>639</v>
      </c>
      <c r="S186" t="s">
        <v>639</v>
      </c>
      <c r="T186" t="s">
        <v>620</v>
      </c>
      <c r="U186" t="s">
        <v>620</v>
      </c>
      <c r="V186" s="3" t="str">
        <f>IF(AND(data[[#This Row],[status]]="OK",data[[#This Row],[approach]]="evoavalla"),data[[#This Row],[asm_path]],"")</f>
        <v/>
      </c>
      <c r="W186" s="3" t="str">
        <f>IF(AND(data[[#This Row],[status]]="OK",data[[#This Row],[approach]]="atgt"),data[[#This Row],[asm_path]],"")</f>
        <v/>
      </c>
      <c r="X186" s="3" t="b">
        <f>COUNTIF(W:W,data[[#This Row],[path_ok_status_evoavalla]]) = 1</f>
        <v>0</v>
      </c>
    </row>
    <row r="187" spans="1:24" x14ac:dyDescent="0.25">
      <c r="A187" t="s">
        <v>1246</v>
      </c>
      <c r="B187" t="s">
        <v>1247</v>
      </c>
      <c r="C187" t="s">
        <v>635</v>
      </c>
      <c r="D187" t="s">
        <v>636</v>
      </c>
      <c r="E187" t="s">
        <v>636</v>
      </c>
      <c r="F187" t="s">
        <v>635</v>
      </c>
      <c r="G187" t="s">
        <v>664</v>
      </c>
      <c r="H187" t="s">
        <v>623</v>
      </c>
      <c r="I187" t="s">
        <v>638</v>
      </c>
      <c r="J187" t="s">
        <v>632</v>
      </c>
      <c r="K187" s="2" t="s">
        <v>620</v>
      </c>
      <c r="L187" s="2" t="s">
        <v>620</v>
      </c>
      <c r="M187" s="2" t="s">
        <v>620</v>
      </c>
      <c r="N187" s="2" t="s">
        <v>620</v>
      </c>
      <c r="O187" t="s">
        <v>639</v>
      </c>
      <c r="P187" t="s">
        <v>639</v>
      </c>
      <c r="Q187" t="s">
        <v>639</v>
      </c>
      <c r="R187" t="s">
        <v>639</v>
      </c>
      <c r="S187" t="s">
        <v>639</v>
      </c>
      <c r="T187" t="s">
        <v>620</v>
      </c>
      <c r="U187" t="s">
        <v>620</v>
      </c>
      <c r="V187" s="3" t="str">
        <f>IF(AND(data[[#This Row],[status]]="OK",data[[#This Row],[approach]]="evoavalla"),data[[#This Row],[asm_path]],"")</f>
        <v/>
      </c>
      <c r="W187" s="3" t="str">
        <f>IF(AND(data[[#This Row],[status]]="OK",data[[#This Row],[approach]]="atgt"),data[[#This Row],[asm_path]],"")</f>
        <v/>
      </c>
      <c r="X187" s="3" t="b">
        <f>COUNTIF(W:W,data[[#This Row],[path_ok_status_evoavalla]]) = 1</f>
        <v>0</v>
      </c>
    </row>
    <row r="188" spans="1:24" x14ac:dyDescent="0.25">
      <c r="A188" t="s">
        <v>1248</v>
      </c>
      <c r="B188" t="s">
        <v>1249</v>
      </c>
      <c r="C188" t="s">
        <v>710</v>
      </c>
      <c r="D188" t="s">
        <v>627</v>
      </c>
      <c r="E188" t="s">
        <v>636</v>
      </c>
      <c r="F188" t="s">
        <v>710</v>
      </c>
      <c r="G188" t="s">
        <v>1250</v>
      </c>
      <c r="H188" t="s">
        <v>623</v>
      </c>
      <c r="I188" t="s">
        <v>638</v>
      </c>
      <c r="J188" t="s">
        <v>632</v>
      </c>
      <c r="K188" s="2" t="s">
        <v>620</v>
      </c>
      <c r="L188" s="2" t="s">
        <v>620</v>
      </c>
      <c r="M188" s="2" t="s">
        <v>620</v>
      </c>
      <c r="N188" s="2" t="s">
        <v>620</v>
      </c>
      <c r="O188" t="s">
        <v>639</v>
      </c>
      <c r="P188" t="s">
        <v>639</v>
      </c>
      <c r="Q188" t="s">
        <v>639</v>
      </c>
      <c r="R188" t="s">
        <v>639</v>
      </c>
      <c r="S188" t="s">
        <v>639</v>
      </c>
      <c r="T188" t="s">
        <v>620</v>
      </c>
      <c r="U188" t="s">
        <v>620</v>
      </c>
      <c r="V188" s="3" t="str">
        <f>IF(AND(data[[#This Row],[status]]="OK",data[[#This Row],[approach]]="evoavalla"),data[[#This Row],[asm_path]],"")</f>
        <v/>
      </c>
      <c r="W188" s="3" t="str">
        <f>IF(AND(data[[#This Row],[status]]="OK",data[[#This Row],[approach]]="atgt"),data[[#This Row],[asm_path]],"")</f>
        <v/>
      </c>
      <c r="X188" s="3" t="b">
        <f>COUNTIF(W:W,data[[#This Row],[path_ok_status_evoavalla]]) = 1</f>
        <v>0</v>
      </c>
    </row>
    <row r="189" spans="1:24" x14ac:dyDescent="0.25">
      <c r="A189" t="s">
        <v>1251</v>
      </c>
      <c r="B189" t="s">
        <v>1252</v>
      </c>
      <c r="C189" t="s">
        <v>677</v>
      </c>
      <c r="D189" t="s">
        <v>1253</v>
      </c>
      <c r="E189" t="s">
        <v>886</v>
      </c>
      <c r="F189" t="s">
        <v>753</v>
      </c>
      <c r="G189" t="s">
        <v>858</v>
      </c>
      <c r="H189" t="s">
        <v>623</v>
      </c>
      <c r="I189" t="s">
        <v>638</v>
      </c>
      <c r="J189" t="s">
        <v>632</v>
      </c>
      <c r="K189" s="2" t="s">
        <v>620</v>
      </c>
      <c r="L189" s="2" t="s">
        <v>620</v>
      </c>
      <c r="M189" s="2" t="s">
        <v>620</v>
      </c>
      <c r="N189" s="2" t="s">
        <v>620</v>
      </c>
      <c r="O189" t="s">
        <v>639</v>
      </c>
      <c r="P189" t="s">
        <v>639</v>
      </c>
      <c r="Q189" t="s">
        <v>639</v>
      </c>
      <c r="R189" t="s">
        <v>639</v>
      </c>
      <c r="S189" t="s">
        <v>639</v>
      </c>
      <c r="T189" t="s">
        <v>620</v>
      </c>
      <c r="U189" t="s">
        <v>620</v>
      </c>
      <c r="V189" s="3" t="str">
        <f>IF(AND(data[[#This Row],[status]]="OK",data[[#This Row],[approach]]="evoavalla"),data[[#This Row],[asm_path]],"")</f>
        <v/>
      </c>
      <c r="W189" s="3" t="str">
        <f>IF(AND(data[[#This Row],[status]]="OK",data[[#This Row],[approach]]="atgt"),data[[#This Row],[asm_path]],"")</f>
        <v/>
      </c>
      <c r="X189" s="3" t="b">
        <f>COUNTIF(W:W,data[[#This Row],[path_ok_status_evoavalla]]) = 1</f>
        <v>0</v>
      </c>
    </row>
    <row r="190" spans="1:24" x14ac:dyDescent="0.25">
      <c r="A190" t="s">
        <v>1254</v>
      </c>
      <c r="B190" t="s">
        <v>979</v>
      </c>
      <c r="C190" t="s">
        <v>683</v>
      </c>
      <c r="D190" t="s">
        <v>626</v>
      </c>
      <c r="E190" t="s">
        <v>620</v>
      </c>
      <c r="F190" t="s">
        <v>716</v>
      </c>
      <c r="G190" t="s">
        <v>750</v>
      </c>
      <c r="H190" t="s">
        <v>623</v>
      </c>
      <c r="I190" t="s">
        <v>638</v>
      </c>
      <c r="J190" t="s">
        <v>632</v>
      </c>
      <c r="K190" s="2" t="s">
        <v>620</v>
      </c>
      <c r="L190" s="2" t="s">
        <v>620</v>
      </c>
      <c r="M190" s="2" t="s">
        <v>620</v>
      </c>
      <c r="N190" s="2" t="s">
        <v>620</v>
      </c>
      <c r="O190" t="s">
        <v>639</v>
      </c>
      <c r="P190" t="s">
        <v>639</v>
      </c>
      <c r="Q190" t="s">
        <v>639</v>
      </c>
      <c r="R190" t="s">
        <v>639</v>
      </c>
      <c r="S190" t="s">
        <v>639</v>
      </c>
      <c r="T190" t="s">
        <v>620</v>
      </c>
      <c r="U190" t="s">
        <v>620</v>
      </c>
      <c r="V190" s="3" t="str">
        <f>IF(AND(data[[#This Row],[status]]="OK",data[[#This Row],[approach]]="evoavalla"),data[[#This Row],[asm_path]],"")</f>
        <v/>
      </c>
      <c r="W190" s="3" t="str">
        <f>IF(AND(data[[#This Row],[status]]="OK",data[[#This Row],[approach]]="atgt"),data[[#This Row],[asm_path]],"")</f>
        <v/>
      </c>
      <c r="X190" s="3" t="b">
        <f>COUNTIF(W:W,data[[#This Row],[path_ok_status_evoavalla]]) = 1</f>
        <v>0</v>
      </c>
    </row>
    <row r="191" spans="1:24" x14ac:dyDescent="0.25">
      <c r="A191" t="s">
        <v>1255</v>
      </c>
      <c r="B191" t="s">
        <v>1256</v>
      </c>
      <c r="C191" t="s">
        <v>664</v>
      </c>
      <c r="D191" t="s">
        <v>980</v>
      </c>
      <c r="E191" t="s">
        <v>620</v>
      </c>
      <c r="F191" t="s">
        <v>682</v>
      </c>
      <c r="G191" t="s">
        <v>821</v>
      </c>
      <c r="H191" t="s">
        <v>623</v>
      </c>
      <c r="I191" t="s">
        <v>624</v>
      </c>
      <c r="J191" t="s">
        <v>1257</v>
      </c>
      <c r="K191" s="2" t="s">
        <v>626</v>
      </c>
      <c r="L191" s="2" t="s">
        <v>808</v>
      </c>
      <c r="M191" s="2" t="s">
        <v>621</v>
      </c>
      <c r="N191" s="2" t="s">
        <v>1258</v>
      </c>
      <c r="O191" t="s">
        <v>630</v>
      </c>
      <c r="P191" t="s">
        <v>630</v>
      </c>
      <c r="Q191" t="s">
        <v>632</v>
      </c>
      <c r="R191" t="s">
        <v>630</v>
      </c>
      <c r="S191" t="s">
        <v>630</v>
      </c>
      <c r="T191" t="s">
        <v>620</v>
      </c>
      <c r="U191" t="s">
        <v>620</v>
      </c>
      <c r="V191" s="3" t="str">
        <f>IF(AND(data[[#This Row],[status]]="OK",data[[#This Row],[approach]]="evoavalla"),data[[#This Row],[asm_path]],"")</f>
        <v>../../../asm_examples/examples/landingGearSystem/LGS_EV.asm</v>
      </c>
      <c r="W191" s="3" t="str">
        <f>IF(AND(data[[#This Row],[status]]="OK",data[[#This Row],[approach]]="atgt"),data[[#This Row],[asm_path]],"")</f>
        <v/>
      </c>
      <c r="X191" s="3" t="b">
        <f>COUNTIF(W:W,data[[#This Row],[path_ok_status_evoavalla]]) = 1</f>
        <v>1</v>
      </c>
    </row>
    <row r="192" spans="1:24" x14ac:dyDescent="0.25">
      <c r="A192" t="s">
        <v>1259</v>
      </c>
      <c r="B192" t="s">
        <v>1260</v>
      </c>
      <c r="C192" t="s">
        <v>635</v>
      </c>
      <c r="D192" t="s">
        <v>635</v>
      </c>
      <c r="E192" t="s">
        <v>636</v>
      </c>
      <c r="F192" t="s">
        <v>626</v>
      </c>
      <c r="G192" t="s">
        <v>621</v>
      </c>
      <c r="H192" t="s">
        <v>623</v>
      </c>
      <c r="I192" t="s">
        <v>638</v>
      </c>
      <c r="J192" t="s">
        <v>632</v>
      </c>
      <c r="K192" s="2" t="s">
        <v>620</v>
      </c>
      <c r="L192" s="2" t="s">
        <v>620</v>
      </c>
      <c r="M192" s="2" t="s">
        <v>620</v>
      </c>
      <c r="N192" s="2" t="s">
        <v>620</v>
      </c>
      <c r="O192" t="s">
        <v>639</v>
      </c>
      <c r="P192" t="s">
        <v>639</v>
      </c>
      <c r="Q192" t="s">
        <v>639</v>
      </c>
      <c r="R192" t="s">
        <v>639</v>
      </c>
      <c r="S192" t="s">
        <v>639</v>
      </c>
      <c r="T192" t="s">
        <v>620</v>
      </c>
      <c r="U192" t="s">
        <v>620</v>
      </c>
      <c r="V192" s="3" t="str">
        <f>IF(AND(data[[#This Row],[status]]="OK",data[[#This Row],[approach]]="evoavalla"),data[[#This Row],[asm_path]],"")</f>
        <v/>
      </c>
      <c r="W192" s="3" t="str">
        <f>IF(AND(data[[#This Row],[status]]="OK",data[[#This Row],[approach]]="atgt"),data[[#This Row],[asm_path]],"")</f>
        <v/>
      </c>
      <c r="X192" s="3" t="b">
        <f>COUNTIF(W:W,data[[#This Row],[path_ok_status_evoavalla]]) = 1</f>
        <v>0</v>
      </c>
    </row>
    <row r="193" spans="1:24" x14ac:dyDescent="0.25">
      <c r="A193" t="s">
        <v>1261</v>
      </c>
      <c r="B193" t="s">
        <v>1262</v>
      </c>
      <c r="C193" t="s">
        <v>669</v>
      </c>
      <c r="D193" t="s">
        <v>752</v>
      </c>
      <c r="E193" t="s">
        <v>628</v>
      </c>
      <c r="F193" t="s">
        <v>886</v>
      </c>
      <c r="G193" t="s">
        <v>1263</v>
      </c>
      <c r="H193" t="s">
        <v>623</v>
      </c>
      <c r="I193" t="s">
        <v>638</v>
      </c>
      <c r="J193" t="s">
        <v>632</v>
      </c>
      <c r="K193" s="2" t="s">
        <v>620</v>
      </c>
      <c r="L193" s="2" t="s">
        <v>620</v>
      </c>
      <c r="M193" s="2" t="s">
        <v>620</v>
      </c>
      <c r="N193" s="2" t="s">
        <v>620</v>
      </c>
      <c r="O193" t="s">
        <v>639</v>
      </c>
      <c r="P193" t="s">
        <v>639</v>
      </c>
      <c r="Q193" t="s">
        <v>639</v>
      </c>
      <c r="R193" t="s">
        <v>639</v>
      </c>
      <c r="S193" t="s">
        <v>639</v>
      </c>
      <c r="T193" t="s">
        <v>620</v>
      </c>
      <c r="U193" t="s">
        <v>620</v>
      </c>
      <c r="V193" s="3" t="str">
        <f>IF(AND(data[[#This Row],[status]]="OK",data[[#This Row],[approach]]="evoavalla"),data[[#This Row],[asm_path]],"")</f>
        <v/>
      </c>
      <c r="W193" s="3" t="str">
        <f>IF(AND(data[[#This Row],[status]]="OK",data[[#This Row],[approach]]="atgt"),data[[#This Row],[asm_path]],"")</f>
        <v/>
      </c>
      <c r="X193" s="3" t="b">
        <f>COUNTIF(W:W,data[[#This Row],[path_ok_status_evoavalla]]) = 1</f>
        <v>0</v>
      </c>
    </row>
    <row r="194" spans="1:24" x14ac:dyDescent="0.25">
      <c r="A194" t="s">
        <v>1264</v>
      </c>
      <c r="B194" t="s">
        <v>1265</v>
      </c>
      <c r="C194" t="s">
        <v>682</v>
      </c>
      <c r="D194" t="s">
        <v>683</v>
      </c>
      <c r="E194" t="s">
        <v>620</v>
      </c>
      <c r="F194" t="s">
        <v>664</v>
      </c>
      <c r="G194" t="s">
        <v>690</v>
      </c>
      <c r="H194" t="s">
        <v>623</v>
      </c>
      <c r="I194" t="s">
        <v>638</v>
      </c>
      <c r="J194" t="s">
        <v>632</v>
      </c>
      <c r="K194" s="2" t="s">
        <v>620</v>
      </c>
      <c r="L194" s="2" t="s">
        <v>620</v>
      </c>
      <c r="M194" s="2" t="s">
        <v>620</v>
      </c>
      <c r="N194" s="2" t="s">
        <v>620</v>
      </c>
      <c r="O194" t="s">
        <v>639</v>
      </c>
      <c r="P194" t="s">
        <v>639</v>
      </c>
      <c r="Q194" t="s">
        <v>639</v>
      </c>
      <c r="R194" t="s">
        <v>639</v>
      </c>
      <c r="S194" t="s">
        <v>639</v>
      </c>
      <c r="T194" t="s">
        <v>620</v>
      </c>
      <c r="U194" t="s">
        <v>620</v>
      </c>
      <c r="V194" s="3" t="str">
        <f>IF(AND(data[[#This Row],[status]]="OK",data[[#This Row],[approach]]="evoavalla"),data[[#This Row],[asm_path]],"")</f>
        <v/>
      </c>
      <c r="W194" s="3" t="str">
        <f>IF(AND(data[[#This Row],[status]]="OK",data[[#This Row],[approach]]="atgt"),data[[#This Row],[asm_path]],"")</f>
        <v/>
      </c>
      <c r="X194" s="3" t="b">
        <f>COUNTIF(W:W,data[[#This Row],[path_ok_status_evoavalla]]) = 1</f>
        <v>0</v>
      </c>
    </row>
    <row r="195" spans="1:24" x14ac:dyDescent="0.25">
      <c r="A195" t="s">
        <v>1266</v>
      </c>
      <c r="B195" t="s">
        <v>1267</v>
      </c>
      <c r="C195" t="s">
        <v>635</v>
      </c>
      <c r="D195" t="s">
        <v>635</v>
      </c>
      <c r="E195" t="s">
        <v>636</v>
      </c>
      <c r="F195" t="s">
        <v>626</v>
      </c>
      <c r="G195" t="s">
        <v>637</v>
      </c>
      <c r="H195" t="s">
        <v>623</v>
      </c>
      <c r="I195" t="s">
        <v>638</v>
      </c>
      <c r="J195" t="s">
        <v>632</v>
      </c>
      <c r="K195" s="2" t="s">
        <v>620</v>
      </c>
      <c r="L195" s="2" t="s">
        <v>620</v>
      </c>
      <c r="M195" s="2" t="s">
        <v>620</v>
      </c>
      <c r="N195" s="2" t="s">
        <v>620</v>
      </c>
      <c r="O195" t="s">
        <v>639</v>
      </c>
      <c r="P195" t="s">
        <v>639</v>
      </c>
      <c r="Q195" t="s">
        <v>639</v>
      </c>
      <c r="R195" t="s">
        <v>639</v>
      </c>
      <c r="S195" t="s">
        <v>639</v>
      </c>
      <c r="T195" t="s">
        <v>620</v>
      </c>
      <c r="U195" t="s">
        <v>620</v>
      </c>
      <c r="V195" s="3" t="str">
        <f>IF(AND(data[[#This Row],[status]]="OK",data[[#This Row],[approach]]="evoavalla"),data[[#This Row],[asm_path]],"")</f>
        <v/>
      </c>
      <c r="W195" s="3" t="str">
        <f>IF(AND(data[[#This Row],[status]]="OK",data[[#This Row],[approach]]="atgt"),data[[#This Row],[asm_path]],"")</f>
        <v/>
      </c>
      <c r="X195" s="3" t="b">
        <f>COUNTIF(W:W,data[[#This Row],[path_ok_status_evoavalla]]) = 1</f>
        <v>0</v>
      </c>
    </row>
    <row r="196" spans="1:24" x14ac:dyDescent="0.25">
      <c r="A196" t="s">
        <v>1268</v>
      </c>
      <c r="B196" t="s">
        <v>1269</v>
      </c>
      <c r="C196" t="s">
        <v>717</v>
      </c>
      <c r="D196" t="s">
        <v>815</v>
      </c>
      <c r="E196" t="s">
        <v>816</v>
      </c>
      <c r="F196" t="s">
        <v>817</v>
      </c>
      <c r="G196" t="s">
        <v>818</v>
      </c>
      <c r="H196" t="s">
        <v>623</v>
      </c>
      <c r="I196" t="s">
        <v>638</v>
      </c>
      <c r="J196" t="s">
        <v>632</v>
      </c>
      <c r="K196" s="2" t="s">
        <v>620</v>
      </c>
      <c r="L196" s="2" t="s">
        <v>620</v>
      </c>
      <c r="M196" s="2" t="s">
        <v>620</v>
      </c>
      <c r="N196" s="2" t="s">
        <v>620</v>
      </c>
      <c r="O196" t="s">
        <v>639</v>
      </c>
      <c r="P196" t="s">
        <v>639</v>
      </c>
      <c r="Q196" t="s">
        <v>639</v>
      </c>
      <c r="R196" t="s">
        <v>639</v>
      </c>
      <c r="S196" t="s">
        <v>639</v>
      </c>
      <c r="T196" t="s">
        <v>620</v>
      </c>
      <c r="U196" t="s">
        <v>620</v>
      </c>
      <c r="V196" s="3" t="str">
        <f>IF(AND(data[[#This Row],[status]]="OK",data[[#This Row],[approach]]="evoavalla"),data[[#This Row],[asm_path]],"")</f>
        <v/>
      </c>
      <c r="W196" s="3" t="str">
        <f>IF(AND(data[[#This Row],[status]]="OK",data[[#This Row],[approach]]="atgt"),data[[#This Row],[asm_path]],"")</f>
        <v/>
      </c>
      <c r="X196" s="3" t="b">
        <f>COUNTIF(W:W,data[[#This Row],[path_ok_status_evoavalla]]) = 1</f>
        <v>0</v>
      </c>
    </row>
    <row r="197" spans="1:24" x14ac:dyDescent="0.25">
      <c r="A197" t="s">
        <v>1270</v>
      </c>
      <c r="B197" t="s">
        <v>1271</v>
      </c>
      <c r="C197" t="s">
        <v>682</v>
      </c>
      <c r="D197" t="s">
        <v>636</v>
      </c>
      <c r="E197" t="s">
        <v>620</v>
      </c>
      <c r="F197" t="s">
        <v>635</v>
      </c>
      <c r="G197" t="s">
        <v>969</v>
      </c>
      <c r="H197" t="s">
        <v>623</v>
      </c>
      <c r="I197" t="s">
        <v>638</v>
      </c>
      <c r="J197" t="s">
        <v>632</v>
      </c>
      <c r="K197" s="2" t="s">
        <v>620</v>
      </c>
      <c r="L197" s="2" t="s">
        <v>620</v>
      </c>
      <c r="M197" s="2" t="s">
        <v>620</v>
      </c>
      <c r="N197" s="2" t="s">
        <v>620</v>
      </c>
      <c r="O197" t="s">
        <v>639</v>
      </c>
      <c r="P197" t="s">
        <v>639</v>
      </c>
      <c r="Q197" t="s">
        <v>639</v>
      </c>
      <c r="R197" t="s">
        <v>639</v>
      </c>
      <c r="S197" t="s">
        <v>639</v>
      </c>
      <c r="T197" t="s">
        <v>620</v>
      </c>
      <c r="U197" t="s">
        <v>620</v>
      </c>
      <c r="V197" s="3" t="str">
        <f>IF(AND(data[[#This Row],[status]]="OK",data[[#This Row],[approach]]="evoavalla"),data[[#This Row],[asm_path]],"")</f>
        <v/>
      </c>
      <c r="W197" s="3" t="str">
        <f>IF(AND(data[[#This Row],[status]]="OK",data[[#This Row],[approach]]="atgt"),data[[#This Row],[asm_path]],"")</f>
        <v/>
      </c>
      <c r="X197" s="3" t="b">
        <f>COUNTIF(W:W,data[[#This Row],[path_ok_status_evoavalla]]) = 1</f>
        <v>0</v>
      </c>
    </row>
    <row r="198" spans="1:24" x14ac:dyDescent="0.25">
      <c r="A198" t="s">
        <v>1272</v>
      </c>
      <c r="B198" t="s">
        <v>1273</v>
      </c>
      <c r="C198" t="s">
        <v>626</v>
      </c>
      <c r="D198" t="s">
        <v>664</v>
      </c>
      <c r="E198" t="s">
        <v>620</v>
      </c>
      <c r="F198" t="s">
        <v>664</v>
      </c>
      <c r="G198" t="s">
        <v>618</v>
      </c>
      <c r="H198" t="s">
        <v>623</v>
      </c>
      <c r="I198" t="s">
        <v>638</v>
      </c>
      <c r="J198" t="s">
        <v>632</v>
      </c>
      <c r="K198" s="2" t="s">
        <v>620</v>
      </c>
      <c r="L198" s="2" t="s">
        <v>620</v>
      </c>
      <c r="M198" s="2" t="s">
        <v>620</v>
      </c>
      <c r="N198" s="2" t="s">
        <v>620</v>
      </c>
      <c r="O198" t="s">
        <v>639</v>
      </c>
      <c r="P198" t="s">
        <v>639</v>
      </c>
      <c r="Q198" t="s">
        <v>639</v>
      </c>
      <c r="R198" t="s">
        <v>639</v>
      </c>
      <c r="S198" t="s">
        <v>639</v>
      </c>
      <c r="T198" t="s">
        <v>620</v>
      </c>
      <c r="U198" t="s">
        <v>620</v>
      </c>
      <c r="V198" s="3" t="str">
        <f>IF(AND(data[[#This Row],[status]]="OK",data[[#This Row],[approach]]="evoavalla"),data[[#This Row],[asm_path]],"")</f>
        <v/>
      </c>
      <c r="W198" s="3" t="str">
        <f>IF(AND(data[[#This Row],[status]]="OK",data[[#This Row],[approach]]="atgt"),data[[#This Row],[asm_path]],"")</f>
        <v/>
      </c>
      <c r="X198" s="3" t="b">
        <f>COUNTIF(W:W,data[[#This Row],[path_ok_status_evoavalla]]) = 1</f>
        <v>0</v>
      </c>
    </row>
    <row r="199" spans="1:24" x14ac:dyDescent="0.25">
      <c r="A199" t="s">
        <v>1274</v>
      </c>
      <c r="B199" t="s">
        <v>1275</v>
      </c>
      <c r="C199" t="s">
        <v>664</v>
      </c>
      <c r="D199" t="s">
        <v>980</v>
      </c>
      <c r="E199" t="s">
        <v>620</v>
      </c>
      <c r="F199" t="s">
        <v>637</v>
      </c>
      <c r="G199" t="s">
        <v>837</v>
      </c>
      <c r="H199" t="s">
        <v>623</v>
      </c>
      <c r="I199" t="s">
        <v>624</v>
      </c>
      <c r="J199" t="s">
        <v>1276</v>
      </c>
      <c r="K199" s="2" t="s">
        <v>683</v>
      </c>
      <c r="L199" s="2" t="s">
        <v>903</v>
      </c>
      <c r="M199" s="2" t="s">
        <v>750</v>
      </c>
      <c r="N199" s="2" t="s">
        <v>1050</v>
      </c>
      <c r="O199" t="s">
        <v>630</v>
      </c>
      <c r="P199" t="s">
        <v>630</v>
      </c>
      <c r="Q199" t="s">
        <v>632</v>
      </c>
      <c r="R199" t="s">
        <v>1051</v>
      </c>
      <c r="S199" t="s">
        <v>630</v>
      </c>
      <c r="T199" t="s">
        <v>620</v>
      </c>
      <c r="U199" t="s">
        <v>620</v>
      </c>
      <c r="V199" s="3" t="str">
        <f>IF(AND(data[[#This Row],[status]]="OK",data[[#This Row],[approach]]="evoavalla"),data[[#This Row],[asm_path]],"")</f>
        <v>../../../asm_examples/examples/landingGearSystem/LGS_SE_v2.asm</v>
      </c>
      <c r="W199" s="3" t="str">
        <f>IF(AND(data[[#This Row],[status]]="OK",data[[#This Row],[approach]]="atgt"),data[[#This Row],[asm_path]],"")</f>
        <v/>
      </c>
      <c r="X199" s="3" t="b">
        <f>COUNTIF(W:W,data[[#This Row],[path_ok_status_evoavalla]]) = 1</f>
        <v>1</v>
      </c>
    </row>
    <row r="200" spans="1:24" x14ac:dyDescent="0.25">
      <c r="A200" t="s">
        <v>1277</v>
      </c>
      <c r="B200" t="s">
        <v>1278</v>
      </c>
      <c r="C200" t="s">
        <v>1279</v>
      </c>
      <c r="D200" t="s">
        <v>1084</v>
      </c>
      <c r="E200" t="s">
        <v>620</v>
      </c>
      <c r="F200" t="s">
        <v>1280</v>
      </c>
      <c r="G200" t="s">
        <v>1281</v>
      </c>
      <c r="H200" t="s">
        <v>623</v>
      </c>
      <c r="I200" t="s">
        <v>624</v>
      </c>
      <c r="J200" t="s">
        <v>1282</v>
      </c>
      <c r="K200" s="2" t="s">
        <v>635</v>
      </c>
      <c r="L200" s="2" t="s">
        <v>635</v>
      </c>
      <c r="M200" s="2" t="s">
        <v>635</v>
      </c>
      <c r="N200" s="2" t="s">
        <v>772</v>
      </c>
      <c r="O200" t="s">
        <v>1283</v>
      </c>
      <c r="P200" t="s">
        <v>1284</v>
      </c>
      <c r="Q200" t="s">
        <v>632</v>
      </c>
      <c r="R200" t="s">
        <v>1285</v>
      </c>
      <c r="S200" t="s">
        <v>1286</v>
      </c>
      <c r="T200" t="s">
        <v>620</v>
      </c>
      <c r="U200" t="s">
        <v>620</v>
      </c>
      <c r="V200" s="3" t="str">
        <f>IF(AND(data[[#This Row],[status]]="OK",data[[#This Row],[approach]]="evoavalla"),data[[#This Row],[asm_path]],"")</f>
        <v>../../../asm_examples/examples/hemodialysisDevice/ABZ2016/Hemodialysis_ref2_par.asm</v>
      </c>
      <c r="W200" s="3" t="str">
        <f>IF(AND(data[[#This Row],[status]]="OK",data[[#This Row],[approach]]="atgt"),data[[#This Row],[asm_path]],"")</f>
        <v/>
      </c>
      <c r="X200" s="3" t="b">
        <f>COUNTIF(W:W,data[[#This Row],[path_ok_status_evoavalla]]) = 1</f>
        <v>0</v>
      </c>
    </row>
    <row r="201" spans="1:24" x14ac:dyDescent="0.25">
      <c r="A201" t="s">
        <v>1287</v>
      </c>
      <c r="B201" t="s">
        <v>1288</v>
      </c>
      <c r="C201" t="s">
        <v>886</v>
      </c>
      <c r="D201" t="s">
        <v>826</v>
      </c>
      <c r="E201" t="s">
        <v>621</v>
      </c>
      <c r="F201" t="s">
        <v>696</v>
      </c>
      <c r="G201" t="s">
        <v>1244</v>
      </c>
      <c r="H201" t="s">
        <v>623</v>
      </c>
      <c r="I201" t="s">
        <v>638</v>
      </c>
      <c r="J201" t="s">
        <v>632</v>
      </c>
      <c r="K201" s="2" t="s">
        <v>620</v>
      </c>
      <c r="L201" s="2" t="s">
        <v>620</v>
      </c>
      <c r="M201" s="2" t="s">
        <v>620</v>
      </c>
      <c r="N201" s="2" t="s">
        <v>620</v>
      </c>
      <c r="O201" t="s">
        <v>639</v>
      </c>
      <c r="P201" t="s">
        <v>639</v>
      </c>
      <c r="Q201" t="s">
        <v>639</v>
      </c>
      <c r="R201" t="s">
        <v>639</v>
      </c>
      <c r="S201" t="s">
        <v>639</v>
      </c>
      <c r="T201" t="s">
        <v>620</v>
      </c>
      <c r="U201" t="s">
        <v>620</v>
      </c>
      <c r="V201" s="3" t="str">
        <f>IF(AND(data[[#This Row],[status]]="OK",data[[#This Row],[approach]]="evoavalla"),data[[#This Row],[asm_path]],"")</f>
        <v/>
      </c>
      <c r="W201" s="3" t="str">
        <f>IF(AND(data[[#This Row],[status]]="OK",data[[#This Row],[approach]]="atgt"),data[[#This Row],[asm_path]],"")</f>
        <v/>
      </c>
      <c r="X201" s="3" t="b">
        <f>COUNTIF(W:W,data[[#This Row],[path_ok_status_evoavalla]]) = 1</f>
        <v>0</v>
      </c>
    </row>
    <row r="202" spans="1:24" x14ac:dyDescent="0.25">
      <c r="A202" t="s">
        <v>1289</v>
      </c>
      <c r="B202" t="s">
        <v>1290</v>
      </c>
      <c r="C202" t="s">
        <v>683</v>
      </c>
      <c r="D202" t="s">
        <v>761</v>
      </c>
      <c r="E202" t="s">
        <v>635</v>
      </c>
      <c r="F202" t="s">
        <v>637</v>
      </c>
      <c r="G202" t="s">
        <v>1291</v>
      </c>
      <c r="H202" t="s">
        <v>623</v>
      </c>
      <c r="I202" t="s">
        <v>638</v>
      </c>
      <c r="J202" t="s">
        <v>632</v>
      </c>
      <c r="K202" s="2" t="s">
        <v>620</v>
      </c>
      <c r="L202" s="2" t="s">
        <v>620</v>
      </c>
      <c r="M202" s="2" t="s">
        <v>620</v>
      </c>
      <c r="N202" s="2" t="s">
        <v>620</v>
      </c>
      <c r="O202" t="s">
        <v>639</v>
      </c>
      <c r="P202" t="s">
        <v>639</v>
      </c>
      <c r="Q202" t="s">
        <v>639</v>
      </c>
      <c r="R202" t="s">
        <v>639</v>
      </c>
      <c r="S202" t="s">
        <v>639</v>
      </c>
      <c r="T202" t="s">
        <v>620</v>
      </c>
      <c r="U202" t="s">
        <v>620</v>
      </c>
      <c r="V202" s="3" t="str">
        <f>IF(AND(data[[#This Row],[status]]="OK",data[[#This Row],[approach]]="evoavalla"),data[[#This Row],[asm_path]],"")</f>
        <v/>
      </c>
      <c r="W202" s="3" t="str">
        <f>IF(AND(data[[#This Row],[status]]="OK",data[[#This Row],[approach]]="atgt"),data[[#This Row],[asm_path]],"")</f>
        <v/>
      </c>
      <c r="X202" s="3" t="b">
        <f>COUNTIF(W:W,data[[#This Row],[path_ok_status_evoavalla]]) = 1</f>
        <v>0</v>
      </c>
    </row>
    <row r="203" spans="1:24" x14ac:dyDescent="0.25">
      <c r="A203" t="s">
        <v>1292</v>
      </c>
      <c r="B203" t="s">
        <v>1293</v>
      </c>
      <c r="C203" t="s">
        <v>637</v>
      </c>
      <c r="D203" t="s">
        <v>761</v>
      </c>
      <c r="E203" t="s">
        <v>664</v>
      </c>
      <c r="F203" t="s">
        <v>716</v>
      </c>
      <c r="G203" t="s">
        <v>903</v>
      </c>
      <c r="H203" t="s">
        <v>623</v>
      </c>
      <c r="I203" t="s">
        <v>638</v>
      </c>
      <c r="J203" t="s">
        <v>632</v>
      </c>
      <c r="K203" s="2" t="s">
        <v>620</v>
      </c>
      <c r="L203" s="2" t="s">
        <v>620</v>
      </c>
      <c r="M203" s="2" t="s">
        <v>620</v>
      </c>
      <c r="N203" s="2" t="s">
        <v>620</v>
      </c>
      <c r="O203" t="s">
        <v>639</v>
      </c>
      <c r="P203" t="s">
        <v>639</v>
      </c>
      <c r="Q203" t="s">
        <v>639</v>
      </c>
      <c r="R203" t="s">
        <v>639</v>
      </c>
      <c r="S203" t="s">
        <v>639</v>
      </c>
      <c r="T203" t="s">
        <v>620</v>
      </c>
      <c r="U203" t="s">
        <v>620</v>
      </c>
      <c r="V203" s="3" t="str">
        <f>IF(AND(data[[#This Row],[status]]="OK",data[[#This Row],[approach]]="evoavalla"),data[[#This Row],[asm_path]],"")</f>
        <v/>
      </c>
      <c r="W203" s="3" t="str">
        <f>IF(AND(data[[#This Row],[status]]="OK",data[[#This Row],[approach]]="atgt"),data[[#This Row],[asm_path]],"")</f>
        <v/>
      </c>
      <c r="X203" s="3" t="b">
        <f>COUNTIF(W:W,data[[#This Row],[path_ok_status_evoavalla]]) = 1</f>
        <v>0</v>
      </c>
    </row>
    <row r="204" spans="1:24" x14ac:dyDescent="0.25">
      <c r="A204" t="s">
        <v>1294</v>
      </c>
      <c r="B204" t="s">
        <v>1295</v>
      </c>
      <c r="C204" t="s">
        <v>635</v>
      </c>
      <c r="D204" t="s">
        <v>636</v>
      </c>
      <c r="E204" t="s">
        <v>636</v>
      </c>
      <c r="F204" t="s">
        <v>635</v>
      </c>
      <c r="G204" t="s">
        <v>664</v>
      </c>
      <c r="H204" t="s">
        <v>623</v>
      </c>
      <c r="I204" t="s">
        <v>638</v>
      </c>
      <c r="J204" t="s">
        <v>632</v>
      </c>
      <c r="K204" s="2" t="s">
        <v>620</v>
      </c>
      <c r="L204" s="2" t="s">
        <v>620</v>
      </c>
      <c r="M204" s="2" t="s">
        <v>620</v>
      </c>
      <c r="N204" s="2" t="s">
        <v>620</v>
      </c>
      <c r="O204" t="s">
        <v>639</v>
      </c>
      <c r="P204" t="s">
        <v>639</v>
      </c>
      <c r="Q204" t="s">
        <v>639</v>
      </c>
      <c r="R204" t="s">
        <v>639</v>
      </c>
      <c r="S204" t="s">
        <v>639</v>
      </c>
      <c r="T204" t="s">
        <v>620</v>
      </c>
      <c r="U204" t="s">
        <v>620</v>
      </c>
      <c r="V204" s="3" t="str">
        <f>IF(AND(data[[#This Row],[status]]="OK",data[[#This Row],[approach]]="evoavalla"),data[[#This Row],[asm_path]],"")</f>
        <v/>
      </c>
      <c r="W204" s="3" t="str">
        <f>IF(AND(data[[#This Row],[status]]="OK",data[[#This Row],[approach]]="atgt"),data[[#This Row],[asm_path]],"")</f>
        <v/>
      </c>
      <c r="X204" s="3" t="b">
        <f>COUNTIF(W:W,data[[#This Row],[path_ok_status_evoavalla]]) = 1</f>
        <v>0</v>
      </c>
    </row>
    <row r="205" spans="1:24" x14ac:dyDescent="0.25">
      <c r="A205" t="s">
        <v>1296</v>
      </c>
      <c r="B205" t="s">
        <v>1297</v>
      </c>
      <c r="C205" t="s">
        <v>664</v>
      </c>
      <c r="D205" t="s">
        <v>690</v>
      </c>
      <c r="E205" t="s">
        <v>620</v>
      </c>
      <c r="F205" t="s">
        <v>682</v>
      </c>
      <c r="G205" t="s">
        <v>669</v>
      </c>
      <c r="H205" t="s">
        <v>623</v>
      </c>
      <c r="I205" t="s">
        <v>624</v>
      </c>
      <c r="J205" t="s">
        <v>1298</v>
      </c>
      <c r="K205" s="2" t="s">
        <v>683</v>
      </c>
      <c r="L205" s="2" t="s">
        <v>903</v>
      </c>
      <c r="M205" s="2" t="s">
        <v>618</v>
      </c>
      <c r="N205" s="2" t="s">
        <v>771</v>
      </c>
      <c r="O205" t="s">
        <v>630</v>
      </c>
      <c r="P205" t="s">
        <v>630</v>
      </c>
      <c r="Q205" t="s">
        <v>632</v>
      </c>
      <c r="R205" t="s">
        <v>630</v>
      </c>
      <c r="S205" t="s">
        <v>630</v>
      </c>
      <c r="T205" t="s">
        <v>620</v>
      </c>
      <c r="U205" t="s">
        <v>620</v>
      </c>
      <c r="V205" s="3" t="str">
        <f>IF(AND(data[[#This Row],[status]]="OK",data[[#This Row],[approach]]="evoavalla"),data[[#This Row],[asm_path]],"")</f>
        <v>../../../asm_examples/examples/landingGearSystem/LGS_GM.asm</v>
      </c>
      <c r="W205" s="3" t="str">
        <f>IF(AND(data[[#This Row],[status]]="OK",data[[#This Row],[approach]]="atgt"),data[[#This Row],[asm_path]],"")</f>
        <v/>
      </c>
      <c r="X205" s="3" t="b">
        <f>COUNTIF(W:W,data[[#This Row],[path_ok_status_evoavalla]]) = 1</f>
        <v>1</v>
      </c>
    </row>
    <row r="206" spans="1:24" x14ac:dyDescent="0.25">
      <c r="A206" t="s">
        <v>1299</v>
      </c>
      <c r="B206" t="s">
        <v>1300</v>
      </c>
      <c r="C206" t="s">
        <v>636</v>
      </c>
      <c r="D206" t="s">
        <v>682</v>
      </c>
      <c r="E206" t="s">
        <v>620</v>
      </c>
      <c r="F206" t="s">
        <v>635</v>
      </c>
      <c r="G206" t="s">
        <v>628</v>
      </c>
      <c r="H206" t="s">
        <v>623</v>
      </c>
      <c r="I206" t="s">
        <v>638</v>
      </c>
      <c r="J206" t="s">
        <v>632</v>
      </c>
      <c r="K206" s="2" t="s">
        <v>620</v>
      </c>
      <c r="L206" s="2" t="s">
        <v>620</v>
      </c>
      <c r="M206" s="2" t="s">
        <v>620</v>
      </c>
      <c r="N206" s="2" t="s">
        <v>620</v>
      </c>
      <c r="O206" t="s">
        <v>639</v>
      </c>
      <c r="P206" t="s">
        <v>639</v>
      </c>
      <c r="Q206" t="s">
        <v>639</v>
      </c>
      <c r="R206" t="s">
        <v>639</v>
      </c>
      <c r="S206" t="s">
        <v>639</v>
      </c>
      <c r="T206" t="s">
        <v>620</v>
      </c>
      <c r="U206" t="s">
        <v>620</v>
      </c>
      <c r="V206" s="3" t="str">
        <f>IF(AND(data[[#This Row],[status]]="OK",data[[#This Row],[approach]]="evoavalla"),data[[#This Row],[asm_path]],"")</f>
        <v/>
      </c>
      <c r="W206" s="3" t="str">
        <f>IF(AND(data[[#This Row],[status]]="OK",data[[#This Row],[approach]]="atgt"),data[[#This Row],[asm_path]],"")</f>
        <v/>
      </c>
      <c r="X206" s="3" t="b">
        <f>COUNTIF(W:W,data[[#This Row],[path_ok_status_evoavalla]]) = 1</f>
        <v>0</v>
      </c>
    </row>
    <row r="207" spans="1:24" x14ac:dyDescent="0.25">
      <c r="A207" t="s">
        <v>1301</v>
      </c>
      <c r="B207" t="s">
        <v>1302</v>
      </c>
      <c r="C207" t="s">
        <v>682</v>
      </c>
      <c r="D207" t="s">
        <v>636</v>
      </c>
      <c r="E207" t="s">
        <v>620</v>
      </c>
      <c r="F207" t="s">
        <v>636</v>
      </c>
      <c r="G207" t="s">
        <v>683</v>
      </c>
      <c r="H207" t="s">
        <v>623</v>
      </c>
      <c r="I207" t="s">
        <v>638</v>
      </c>
      <c r="J207" t="s">
        <v>632</v>
      </c>
      <c r="K207" s="2" t="s">
        <v>620</v>
      </c>
      <c r="L207" s="2" t="s">
        <v>620</v>
      </c>
      <c r="M207" s="2" t="s">
        <v>620</v>
      </c>
      <c r="N207" s="2" t="s">
        <v>620</v>
      </c>
      <c r="O207" t="s">
        <v>639</v>
      </c>
      <c r="P207" t="s">
        <v>639</v>
      </c>
      <c r="Q207" t="s">
        <v>639</v>
      </c>
      <c r="R207" t="s">
        <v>639</v>
      </c>
      <c r="S207" t="s">
        <v>639</v>
      </c>
      <c r="T207" t="s">
        <v>620</v>
      </c>
      <c r="U207" t="s">
        <v>620</v>
      </c>
      <c r="V207" s="3" t="str">
        <f>IF(AND(data[[#This Row],[status]]="OK",data[[#This Row],[approach]]="evoavalla"),data[[#This Row],[asm_path]],"")</f>
        <v/>
      </c>
      <c r="W207" s="3" t="str">
        <f>IF(AND(data[[#This Row],[status]]="OK",data[[#This Row],[approach]]="atgt"),data[[#This Row],[asm_path]],"")</f>
        <v/>
      </c>
      <c r="X207" s="3" t="b">
        <f>COUNTIF(W:W,data[[#This Row],[path_ok_status_evoavalla]]) = 1</f>
        <v>0</v>
      </c>
    </row>
    <row r="208" spans="1:24" x14ac:dyDescent="0.25">
      <c r="A208" t="s">
        <v>1303</v>
      </c>
      <c r="B208" t="s">
        <v>1304</v>
      </c>
      <c r="C208" t="s">
        <v>716</v>
      </c>
      <c r="D208" t="s">
        <v>637</v>
      </c>
      <c r="E208" t="s">
        <v>636</v>
      </c>
      <c r="F208" t="s">
        <v>761</v>
      </c>
      <c r="G208" t="s">
        <v>735</v>
      </c>
      <c r="H208" t="s">
        <v>623</v>
      </c>
      <c r="I208" t="s">
        <v>638</v>
      </c>
      <c r="J208" t="s">
        <v>632</v>
      </c>
      <c r="K208" s="2" t="s">
        <v>620</v>
      </c>
      <c r="L208" s="2" t="s">
        <v>620</v>
      </c>
      <c r="M208" s="2" t="s">
        <v>620</v>
      </c>
      <c r="N208" s="2" t="s">
        <v>620</v>
      </c>
      <c r="O208" t="s">
        <v>639</v>
      </c>
      <c r="P208" t="s">
        <v>639</v>
      </c>
      <c r="Q208" t="s">
        <v>639</v>
      </c>
      <c r="R208" t="s">
        <v>639</v>
      </c>
      <c r="S208" t="s">
        <v>639</v>
      </c>
      <c r="T208" t="s">
        <v>620</v>
      </c>
      <c r="U208" t="s">
        <v>620</v>
      </c>
      <c r="V208" s="3" t="str">
        <f>IF(AND(data[[#This Row],[status]]="OK",data[[#This Row],[approach]]="evoavalla"),data[[#This Row],[asm_path]],"")</f>
        <v/>
      </c>
      <c r="W208" s="3" t="str">
        <f>IF(AND(data[[#This Row],[status]]="OK",data[[#This Row],[approach]]="atgt"),data[[#This Row],[asm_path]],"")</f>
        <v/>
      </c>
      <c r="X208" s="3" t="b">
        <f>COUNTIF(W:W,data[[#This Row],[path_ok_status_evoavalla]]) = 1</f>
        <v>0</v>
      </c>
    </row>
    <row r="209" spans="1:24" x14ac:dyDescent="0.25">
      <c r="A209" t="s">
        <v>1305</v>
      </c>
      <c r="B209" t="s">
        <v>1306</v>
      </c>
      <c r="C209" t="s">
        <v>636</v>
      </c>
      <c r="D209" t="s">
        <v>635</v>
      </c>
      <c r="E209" t="s">
        <v>620</v>
      </c>
      <c r="F209" t="s">
        <v>635</v>
      </c>
      <c r="G209" t="s">
        <v>664</v>
      </c>
      <c r="H209" t="s">
        <v>623</v>
      </c>
      <c r="I209" t="s">
        <v>624</v>
      </c>
      <c r="J209" t="s">
        <v>1307</v>
      </c>
      <c r="K209" s="2" t="s">
        <v>635</v>
      </c>
      <c r="L209" s="2" t="s">
        <v>664</v>
      </c>
      <c r="M209" s="2" t="s">
        <v>664</v>
      </c>
      <c r="N209" s="2" t="s">
        <v>620</v>
      </c>
      <c r="O209" t="s">
        <v>630</v>
      </c>
      <c r="P209" t="s">
        <v>993</v>
      </c>
      <c r="Q209" t="s">
        <v>632</v>
      </c>
      <c r="R209" t="s">
        <v>834</v>
      </c>
      <c r="S209" t="s">
        <v>834</v>
      </c>
      <c r="T209" t="s">
        <v>620</v>
      </c>
      <c r="U209" t="s">
        <v>620</v>
      </c>
      <c r="V209" s="3" t="str">
        <f>IF(AND(data[[#This Row],[status]]="OK",data[[#This Row],[approach]]="evoavalla"),data[[#This Row],[asm_path]],"")</f>
        <v>../../../asm_examples/examples/simple_example/euclideMCD_init.asm</v>
      </c>
      <c r="W209" s="3" t="str">
        <f>IF(AND(data[[#This Row],[status]]="OK",data[[#This Row],[approach]]="atgt"),data[[#This Row],[asm_path]],"")</f>
        <v/>
      </c>
      <c r="X209" s="3" t="b">
        <f>COUNTIF(W:W,data[[#This Row],[path_ok_status_evoavalla]]) = 1</f>
        <v>0</v>
      </c>
    </row>
    <row r="210" spans="1:24" x14ac:dyDescent="0.25">
      <c r="A210" t="s">
        <v>1308</v>
      </c>
      <c r="B210" t="s">
        <v>1309</v>
      </c>
      <c r="C210" t="s">
        <v>636</v>
      </c>
      <c r="D210" t="s">
        <v>620</v>
      </c>
      <c r="E210" t="s">
        <v>620</v>
      </c>
      <c r="F210" t="s">
        <v>620</v>
      </c>
      <c r="G210" t="s">
        <v>636</v>
      </c>
      <c r="H210" t="s">
        <v>623</v>
      </c>
      <c r="I210" t="s">
        <v>638</v>
      </c>
      <c r="J210" t="s">
        <v>632</v>
      </c>
      <c r="K210" s="2" t="s">
        <v>620</v>
      </c>
      <c r="L210" s="2" t="s">
        <v>620</v>
      </c>
      <c r="M210" s="2" t="s">
        <v>620</v>
      </c>
      <c r="N210" s="2" t="s">
        <v>620</v>
      </c>
      <c r="O210" t="s">
        <v>639</v>
      </c>
      <c r="P210" t="s">
        <v>639</v>
      </c>
      <c r="Q210" t="s">
        <v>639</v>
      </c>
      <c r="R210" t="s">
        <v>639</v>
      </c>
      <c r="S210" t="s">
        <v>639</v>
      </c>
      <c r="T210" t="s">
        <v>620</v>
      </c>
      <c r="U210" t="s">
        <v>620</v>
      </c>
      <c r="V210" s="3" t="str">
        <f>IF(AND(data[[#This Row],[status]]="OK",data[[#This Row],[approach]]="evoavalla"),data[[#This Row],[asm_path]],"")</f>
        <v/>
      </c>
      <c r="W210" s="3" t="str">
        <f>IF(AND(data[[#This Row],[status]]="OK",data[[#This Row],[approach]]="atgt"),data[[#This Row],[asm_path]],"")</f>
        <v/>
      </c>
      <c r="X210" s="3" t="b">
        <f>COUNTIF(W:W,data[[#This Row],[path_ok_status_evoavalla]]) = 1</f>
        <v>0</v>
      </c>
    </row>
    <row r="211" spans="1:24" x14ac:dyDescent="0.25">
      <c r="A211" t="s">
        <v>1310</v>
      </c>
      <c r="B211" t="s">
        <v>1311</v>
      </c>
      <c r="C211" t="s">
        <v>716</v>
      </c>
      <c r="D211" t="s">
        <v>675</v>
      </c>
      <c r="E211" t="s">
        <v>620</v>
      </c>
      <c r="F211" t="s">
        <v>745</v>
      </c>
      <c r="G211" t="s">
        <v>837</v>
      </c>
      <c r="H211" t="s">
        <v>623</v>
      </c>
      <c r="I211" t="s">
        <v>638</v>
      </c>
      <c r="J211" t="s">
        <v>1312</v>
      </c>
      <c r="K211" s="2" t="s">
        <v>620</v>
      </c>
      <c r="L211" s="2" t="s">
        <v>620</v>
      </c>
      <c r="M211" s="2" t="s">
        <v>620</v>
      </c>
      <c r="N211" s="2" t="s">
        <v>620</v>
      </c>
      <c r="O211" t="s">
        <v>639</v>
      </c>
      <c r="P211" t="s">
        <v>639</v>
      </c>
      <c r="Q211" t="s">
        <v>639</v>
      </c>
      <c r="R211" t="s">
        <v>639</v>
      </c>
      <c r="S211" t="s">
        <v>639</v>
      </c>
      <c r="T211" t="s">
        <v>620</v>
      </c>
      <c r="U211" t="s">
        <v>620</v>
      </c>
      <c r="V211" s="3" t="str">
        <f>IF(AND(data[[#This Row],[status]]="OK",data[[#This Row],[approach]]="evoavalla"),data[[#This Row],[asm_path]],"")</f>
        <v/>
      </c>
      <c r="W211" s="3" t="str">
        <f>IF(AND(data[[#This Row],[status]]="OK",data[[#This Row],[approach]]="atgt"),data[[#This Row],[asm_path]],"")</f>
        <v/>
      </c>
      <c r="X211" s="3" t="b">
        <f>COUNTIF(W:W,data[[#This Row],[path_ok_status_evoavalla]]) = 1</f>
        <v>0</v>
      </c>
    </row>
    <row r="212" spans="1:24" x14ac:dyDescent="0.25">
      <c r="A212" t="s">
        <v>1313</v>
      </c>
      <c r="B212" t="s">
        <v>1314</v>
      </c>
      <c r="C212" t="s">
        <v>746</v>
      </c>
      <c r="D212" t="s">
        <v>741</v>
      </c>
      <c r="E212" t="s">
        <v>620</v>
      </c>
      <c r="F212" t="s">
        <v>1315</v>
      </c>
      <c r="G212" t="s">
        <v>1316</v>
      </c>
      <c r="H212" t="s">
        <v>623</v>
      </c>
      <c r="I212" t="s">
        <v>624</v>
      </c>
      <c r="J212" t="s">
        <v>1317</v>
      </c>
      <c r="K212" s="2" t="s">
        <v>682</v>
      </c>
      <c r="L212" s="2" t="s">
        <v>816</v>
      </c>
      <c r="M212" s="2" t="s">
        <v>642</v>
      </c>
      <c r="N212" s="2" t="s">
        <v>1318</v>
      </c>
      <c r="O212" t="s">
        <v>1319</v>
      </c>
      <c r="P212" t="s">
        <v>1320</v>
      </c>
      <c r="Q212" t="s">
        <v>632</v>
      </c>
      <c r="R212" t="s">
        <v>1321</v>
      </c>
      <c r="S212" t="s">
        <v>1322</v>
      </c>
      <c r="T212" t="s">
        <v>620</v>
      </c>
      <c r="U212" t="s">
        <v>620</v>
      </c>
      <c r="V212" s="3" t="str">
        <f>IF(AND(data[[#This Row],[status]]="OK",data[[#This Row],[approach]]="evoavalla"),data[[#This Row],[asm_path]],"")</f>
        <v>../../../asm_examples/examples/hemodialysisDevice/ABZ2016/Hemodialysis_ref1_forMC.asm</v>
      </c>
      <c r="W212" s="3" t="str">
        <f>IF(AND(data[[#This Row],[status]]="OK",data[[#This Row],[approach]]="atgt"),data[[#This Row],[asm_path]],"")</f>
        <v/>
      </c>
      <c r="X212" s="3" t="b">
        <f>COUNTIF(W:W,data[[#This Row],[path_ok_status_evoavalla]]) = 1</f>
        <v>0</v>
      </c>
    </row>
    <row r="213" spans="1:24" x14ac:dyDescent="0.25">
      <c r="A213" t="s">
        <v>1323</v>
      </c>
      <c r="B213" t="s">
        <v>974</v>
      </c>
      <c r="C213" t="s">
        <v>636</v>
      </c>
      <c r="D213" t="s">
        <v>635</v>
      </c>
      <c r="E213" t="s">
        <v>620</v>
      </c>
      <c r="F213" t="s">
        <v>635</v>
      </c>
      <c r="G213" t="s">
        <v>637</v>
      </c>
      <c r="H213" t="s">
        <v>623</v>
      </c>
      <c r="I213" t="s">
        <v>638</v>
      </c>
      <c r="J213" t="s">
        <v>632</v>
      </c>
      <c r="K213" s="2" t="s">
        <v>620</v>
      </c>
      <c r="L213" s="2" t="s">
        <v>620</v>
      </c>
      <c r="M213" s="2" t="s">
        <v>620</v>
      </c>
      <c r="N213" s="2" t="s">
        <v>620</v>
      </c>
      <c r="O213" t="s">
        <v>639</v>
      </c>
      <c r="P213" t="s">
        <v>639</v>
      </c>
      <c r="Q213" t="s">
        <v>639</v>
      </c>
      <c r="R213" t="s">
        <v>639</v>
      </c>
      <c r="S213" t="s">
        <v>639</v>
      </c>
      <c r="T213" t="s">
        <v>620</v>
      </c>
      <c r="U213" t="s">
        <v>620</v>
      </c>
      <c r="V213" s="3" t="str">
        <f>IF(AND(data[[#This Row],[status]]="OK",data[[#This Row],[approach]]="evoavalla"),data[[#This Row],[asm_path]],"")</f>
        <v/>
      </c>
      <c r="W213" s="3" t="str">
        <f>IF(AND(data[[#This Row],[status]]="OK",data[[#This Row],[approach]]="atgt"),data[[#This Row],[asm_path]],"")</f>
        <v/>
      </c>
      <c r="X213" s="3" t="b">
        <f>COUNTIF(W:W,data[[#This Row],[path_ok_status_evoavalla]]) = 1</f>
        <v>0</v>
      </c>
    </row>
    <row r="214" spans="1:24" x14ac:dyDescent="0.25">
      <c r="A214" t="s">
        <v>1324</v>
      </c>
      <c r="B214" t="s">
        <v>1325</v>
      </c>
      <c r="C214" t="s">
        <v>626</v>
      </c>
      <c r="D214" t="s">
        <v>1250</v>
      </c>
      <c r="E214" t="s">
        <v>620</v>
      </c>
      <c r="F214" t="s">
        <v>664</v>
      </c>
      <c r="G214" t="s">
        <v>741</v>
      </c>
      <c r="H214" t="s">
        <v>623</v>
      </c>
      <c r="I214" t="s">
        <v>638</v>
      </c>
      <c r="J214" t="s">
        <v>632</v>
      </c>
      <c r="K214" s="2" t="s">
        <v>620</v>
      </c>
      <c r="L214" s="2" t="s">
        <v>620</v>
      </c>
      <c r="M214" s="2" t="s">
        <v>620</v>
      </c>
      <c r="N214" s="2" t="s">
        <v>620</v>
      </c>
      <c r="O214" t="s">
        <v>639</v>
      </c>
      <c r="P214" t="s">
        <v>639</v>
      </c>
      <c r="Q214" t="s">
        <v>639</v>
      </c>
      <c r="R214" t="s">
        <v>639</v>
      </c>
      <c r="S214" t="s">
        <v>639</v>
      </c>
      <c r="T214" t="s">
        <v>620</v>
      </c>
      <c r="U214" t="s">
        <v>620</v>
      </c>
      <c r="V214" s="3" t="str">
        <f>IF(AND(data[[#This Row],[status]]="OK",data[[#This Row],[approach]]="evoavalla"),data[[#This Row],[asm_path]],"")</f>
        <v/>
      </c>
      <c r="W214" s="3" t="str">
        <f>IF(AND(data[[#This Row],[status]]="OK",data[[#This Row],[approach]]="atgt"),data[[#This Row],[asm_path]],"")</f>
        <v/>
      </c>
      <c r="X214" s="3" t="b">
        <f>COUNTIF(W:W,data[[#This Row],[path_ok_status_evoavalla]]) = 1</f>
        <v>0</v>
      </c>
    </row>
    <row r="215" spans="1:24" x14ac:dyDescent="0.25">
      <c r="A215" t="s">
        <v>1326</v>
      </c>
      <c r="B215" t="s">
        <v>715</v>
      </c>
      <c r="C215" t="s">
        <v>664</v>
      </c>
      <c r="D215" t="s">
        <v>637</v>
      </c>
      <c r="E215" t="s">
        <v>620</v>
      </c>
      <c r="F215" t="s">
        <v>716</v>
      </c>
      <c r="G215" t="s">
        <v>752</v>
      </c>
      <c r="H215" t="s">
        <v>623</v>
      </c>
      <c r="I215" t="s">
        <v>624</v>
      </c>
      <c r="J215" t="s">
        <v>1327</v>
      </c>
      <c r="K215" s="2" t="s">
        <v>636</v>
      </c>
      <c r="L215" s="2" t="s">
        <v>664</v>
      </c>
      <c r="M215" s="2" t="s">
        <v>664</v>
      </c>
      <c r="N215" s="2" t="s">
        <v>690</v>
      </c>
      <c r="O215" t="s">
        <v>630</v>
      </c>
      <c r="P215" t="s">
        <v>630</v>
      </c>
      <c r="Q215" t="s">
        <v>632</v>
      </c>
      <c r="R215" t="s">
        <v>834</v>
      </c>
      <c r="S215" t="s">
        <v>630</v>
      </c>
      <c r="T215" t="s">
        <v>620</v>
      </c>
      <c r="U215" t="s">
        <v>636</v>
      </c>
      <c r="V215" s="3" t="str">
        <f>IF(AND(data[[#This Row],[status]]="OK",data[[#This Row],[approach]]="evoavalla"),data[[#This Row],[asm_path]],"")</f>
        <v>../../../asm_examples/examples/sluicegate/sluiceGateMotorCtl.asm</v>
      </c>
      <c r="W215" s="3" t="str">
        <f>IF(AND(data[[#This Row],[status]]="OK",data[[#This Row],[approach]]="atgt"),data[[#This Row],[asm_path]],"")</f>
        <v/>
      </c>
      <c r="X215" s="3" t="b">
        <f>COUNTIF(W:W,data[[#This Row],[path_ok_status_evoavalla]]) = 1</f>
        <v>0</v>
      </c>
    </row>
    <row r="216" spans="1:24" x14ac:dyDescent="0.25">
      <c r="A216" t="s">
        <v>1328</v>
      </c>
      <c r="B216" t="s">
        <v>1329</v>
      </c>
      <c r="C216" t="s">
        <v>682</v>
      </c>
      <c r="D216" t="s">
        <v>635</v>
      </c>
      <c r="E216" t="s">
        <v>636</v>
      </c>
      <c r="F216" t="s">
        <v>635</v>
      </c>
      <c r="G216" t="s">
        <v>716</v>
      </c>
      <c r="H216" t="s">
        <v>623</v>
      </c>
      <c r="I216" t="s">
        <v>638</v>
      </c>
      <c r="J216" t="s">
        <v>632</v>
      </c>
      <c r="K216" s="2" t="s">
        <v>620</v>
      </c>
      <c r="L216" s="2" t="s">
        <v>620</v>
      </c>
      <c r="M216" s="2" t="s">
        <v>620</v>
      </c>
      <c r="N216" s="2" t="s">
        <v>620</v>
      </c>
      <c r="O216" t="s">
        <v>639</v>
      </c>
      <c r="P216" t="s">
        <v>639</v>
      </c>
      <c r="Q216" t="s">
        <v>639</v>
      </c>
      <c r="R216" t="s">
        <v>639</v>
      </c>
      <c r="S216" t="s">
        <v>639</v>
      </c>
      <c r="T216" t="s">
        <v>620</v>
      </c>
      <c r="U216" t="s">
        <v>620</v>
      </c>
      <c r="V216" s="3" t="str">
        <f>IF(AND(data[[#This Row],[status]]="OK",data[[#This Row],[approach]]="evoavalla"),data[[#This Row],[asm_path]],"")</f>
        <v/>
      </c>
      <c r="W216" s="3" t="str">
        <f>IF(AND(data[[#This Row],[status]]="OK",data[[#This Row],[approach]]="atgt"),data[[#This Row],[asm_path]],"")</f>
        <v/>
      </c>
      <c r="X216" s="3" t="b">
        <f>COUNTIF(W:W,data[[#This Row],[path_ok_status_evoavalla]]) = 1</f>
        <v>0</v>
      </c>
    </row>
    <row r="217" spans="1:24" x14ac:dyDescent="0.25">
      <c r="A217" t="s">
        <v>1330</v>
      </c>
      <c r="B217" t="s">
        <v>1331</v>
      </c>
      <c r="C217" t="s">
        <v>635</v>
      </c>
      <c r="D217" t="s">
        <v>635</v>
      </c>
      <c r="E217" t="s">
        <v>635</v>
      </c>
      <c r="F217" t="s">
        <v>682</v>
      </c>
      <c r="G217" t="s">
        <v>683</v>
      </c>
      <c r="H217" t="s">
        <v>623</v>
      </c>
      <c r="I217" t="s">
        <v>638</v>
      </c>
      <c r="J217" t="s">
        <v>632</v>
      </c>
      <c r="K217" s="2" t="s">
        <v>620</v>
      </c>
      <c r="L217" s="2" t="s">
        <v>620</v>
      </c>
      <c r="M217" s="2" t="s">
        <v>620</v>
      </c>
      <c r="N217" s="2" t="s">
        <v>620</v>
      </c>
      <c r="O217" t="s">
        <v>639</v>
      </c>
      <c r="P217" t="s">
        <v>639</v>
      </c>
      <c r="Q217" t="s">
        <v>639</v>
      </c>
      <c r="R217" t="s">
        <v>639</v>
      </c>
      <c r="S217" t="s">
        <v>639</v>
      </c>
      <c r="T217" t="s">
        <v>620</v>
      </c>
      <c r="U217" t="s">
        <v>620</v>
      </c>
      <c r="V217" s="3" t="str">
        <f>IF(AND(data[[#This Row],[status]]="OK",data[[#This Row],[approach]]="evoavalla"),data[[#This Row],[asm_path]],"")</f>
        <v/>
      </c>
      <c r="W217" s="3" t="str">
        <f>IF(AND(data[[#This Row],[status]]="OK",data[[#This Row],[approach]]="atgt"),data[[#This Row],[asm_path]],"")</f>
        <v/>
      </c>
      <c r="X217" s="3" t="b">
        <f>COUNTIF(W:W,data[[#This Row],[path_ok_status_evoavalla]]) = 1</f>
        <v>0</v>
      </c>
    </row>
    <row r="218" spans="1:24" x14ac:dyDescent="0.25">
      <c r="A218" t="s">
        <v>1332</v>
      </c>
      <c r="B218" t="s">
        <v>1333</v>
      </c>
      <c r="C218" t="s">
        <v>635</v>
      </c>
      <c r="D218" t="s">
        <v>635</v>
      </c>
      <c r="E218" t="s">
        <v>636</v>
      </c>
      <c r="F218" t="s">
        <v>626</v>
      </c>
      <c r="G218" t="s">
        <v>637</v>
      </c>
      <c r="H218" t="s">
        <v>623</v>
      </c>
      <c r="I218" t="s">
        <v>638</v>
      </c>
      <c r="J218" t="s">
        <v>632</v>
      </c>
      <c r="K218" s="2" t="s">
        <v>620</v>
      </c>
      <c r="L218" s="2" t="s">
        <v>620</v>
      </c>
      <c r="M218" s="2" t="s">
        <v>620</v>
      </c>
      <c r="N218" s="2" t="s">
        <v>620</v>
      </c>
      <c r="O218" t="s">
        <v>639</v>
      </c>
      <c r="P218" t="s">
        <v>639</v>
      </c>
      <c r="Q218" t="s">
        <v>639</v>
      </c>
      <c r="R218" t="s">
        <v>639</v>
      </c>
      <c r="S218" t="s">
        <v>639</v>
      </c>
      <c r="T218" t="s">
        <v>620</v>
      </c>
      <c r="U218" t="s">
        <v>620</v>
      </c>
      <c r="V218" s="3" t="str">
        <f>IF(AND(data[[#This Row],[status]]="OK",data[[#This Row],[approach]]="evoavalla"),data[[#This Row],[asm_path]],"")</f>
        <v/>
      </c>
      <c r="W218" s="3" t="str">
        <f>IF(AND(data[[#This Row],[status]]="OK",data[[#This Row],[approach]]="atgt"),data[[#This Row],[asm_path]],"")</f>
        <v/>
      </c>
      <c r="X218" s="3" t="b">
        <f>COUNTIF(W:W,data[[#This Row],[path_ok_status_evoavalla]]) = 1</f>
        <v>0</v>
      </c>
    </row>
    <row r="219" spans="1:24" x14ac:dyDescent="0.25">
      <c r="A219" t="s">
        <v>1334</v>
      </c>
      <c r="B219" t="s">
        <v>1335</v>
      </c>
      <c r="C219" t="s">
        <v>682</v>
      </c>
      <c r="D219" t="s">
        <v>636</v>
      </c>
      <c r="E219" t="s">
        <v>620</v>
      </c>
      <c r="F219" t="s">
        <v>635</v>
      </c>
      <c r="G219" t="s">
        <v>697</v>
      </c>
      <c r="H219" t="s">
        <v>623</v>
      </c>
      <c r="I219" t="s">
        <v>638</v>
      </c>
      <c r="J219" t="s">
        <v>632</v>
      </c>
      <c r="K219" s="2" t="s">
        <v>620</v>
      </c>
      <c r="L219" s="2" t="s">
        <v>620</v>
      </c>
      <c r="M219" s="2" t="s">
        <v>620</v>
      </c>
      <c r="N219" s="2" t="s">
        <v>620</v>
      </c>
      <c r="O219" t="s">
        <v>639</v>
      </c>
      <c r="P219" t="s">
        <v>639</v>
      </c>
      <c r="Q219" t="s">
        <v>639</v>
      </c>
      <c r="R219" t="s">
        <v>639</v>
      </c>
      <c r="S219" t="s">
        <v>639</v>
      </c>
      <c r="T219" t="s">
        <v>620</v>
      </c>
      <c r="U219" t="s">
        <v>620</v>
      </c>
      <c r="V219" s="3" t="str">
        <f>IF(AND(data[[#This Row],[status]]="OK",data[[#This Row],[approach]]="evoavalla"),data[[#This Row],[asm_path]],"")</f>
        <v/>
      </c>
      <c r="W219" s="3" t="str">
        <f>IF(AND(data[[#This Row],[status]]="OK",data[[#This Row],[approach]]="atgt"),data[[#This Row],[asm_path]],"")</f>
        <v/>
      </c>
      <c r="X219" s="3" t="b">
        <f>COUNTIF(W:W,data[[#This Row],[path_ok_status_evoavalla]]) = 1</f>
        <v>0</v>
      </c>
    </row>
    <row r="220" spans="1:24" x14ac:dyDescent="0.25">
      <c r="A220" t="s">
        <v>1336</v>
      </c>
      <c r="B220" t="s">
        <v>1337</v>
      </c>
      <c r="C220" t="s">
        <v>1338</v>
      </c>
      <c r="D220" t="s">
        <v>629</v>
      </c>
      <c r="E220" t="s">
        <v>636</v>
      </c>
      <c r="F220" t="s">
        <v>1339</v>
      </c>
      <c r="G220" t="s">
        <v>1340</v>
      </c>
      <c r="H220" t="s">
        <v>623</v>
      </c>
      <c r="I220" t="s">
        <v>624</v>
      </c>
      <c r="J220" t="s">
        <v>1341</v>
      </c>
      <c r="K220" s="2" t="s">
        <v>636</v>
      </c>
      <c r="L220" s="2" t="s">
        <v>635</v>
      </c>
      <c r="M220" s="2" t="s">
        <v>635</v>
      </c>
      <c r="N220" s="2" t="s">
        <v>1342</v>
      </c>
      <c r="O220" t="s">
        <v>1343</v>
      </c>
      <c r="P220" t="s">
        <v>1344</v>
      </c>
      <c r="Q220" t="s">
        <v>896</v>
      </c>
      <c r="R220" t="s">
        <v>1345</v>
      </c>
      <c r="S220" t="s">
        <v>1346</v>
      </c>
      <c r="T220" t="s">
        <v>620</v>
      </c>
      <c r="U220" t="s">
        <v>636</v>
      </c>
      <c r="V220" s="3" t="str">
        <f>IF(AND(data[[#This Row],[status]]="OK",data[[#This Row],[approach]]="evoavalla"),data[[#This Row],[asm_path]],"")</f>
        <v>../../../asm_examples/examples/hemodialysisDevice/SCP2017/HemodialysisRef2.asm</v>
      </c>
      <c r="W220" s="3" t="str">
        <f>IF(AND(data[[#This Row],[status]]="OK",data[[#This Row],[approach]]="atgt"),data[[#This Row],[asm_path]],"")</f>
        <v/>
      </c>
      <c r="X220" s="3" t="b">
        <f>COUNTIF(W:W,data[[#This Row],[path_ok_status_evoavalla]]) = 1</f>
        <v>0</v>
      </c>
    </row>
    <row r="221" spans="1:24" x14ac:dyDescent="0.25">
      <c r="A221" t="s">
        <v>1347</v>
      </c>
      <c r="B221" t="s">
        <v>1348</v>
      </c>
      <c r="C221" t="s">
        <v>636</v>
      </c>
      <c r="D221" t="s">
        <v>635</v>
      </c>
      <c r="E221" t="s">
        <v>620</v>
      </c>
      <c r="F221" t="s">
        <v>636</v>
      </c>
      <c r="G221" t="s">
        <v>682</v>
      </c>
      <c r="H221" t="s">
        <v>623</v>
      </c>
      <c r="I221" t="s">
        <v>638</v>
      </c>
      <c r="J221" t="s">
        <v>632</v>
      </c>
      <c r="K221" s="2" t="s">
        <v>620</v>
      </c>
      <c r="L221" s="2" t="s">
        <v>620</v>
      </c>
      <c r="M221" s="2" t="s">
        <v>620</v>
      </c>
      <c r="N221" s="2" t="s">
        <v>620</v>
      </c>
      <c r="O221" t="s">
        <v>639</v>
      </c>
      <c r="P221" t="s">
        <v>639</v>
      </c>
      <c r="Q221" t="s">
        <v>639</v>
      </c>
      <c r="R221" t="s">
        <v>639</v>
      </c>
      <c r="S221" t="s">
        <v>639</v>
      </c>
      <c r="T221" t="s">
        <v>620</v>
      </c>
      <c r="U221" t="s">
        <v>620</v>
      </c>
      <c r="V221" s="3" t="str">
        <f>IF(AND(data[[#This Row],[status]]="OK",data[[#This Row],[approach]]="evoavalla"),data[[#This Row],[asm_path]],"")</f>
        <v/>
      </c>
      <c r="W221" s="3" t="str">
        <f>IF(AND(data[[#This Row],[status]]="OK",data[[#This Row],[approach]]="atgt"),data[[#This Row],[asm_path]],"")</f>
        <v/>
      </c>
      <c r="X221" s="3" t="b">
        <f>COUNTIF(W:W,data[[#This Row],[path_ok_status_evoavalla]]) = 1</f>
        <v>0</v>
      </c>
    </row>
    <row r="222" spans="1:24" x14ac:dyDescent="0.25">
      <c r="A222" t="s">
        <v>1349</v>
      </c>
      <c r="B222" t="s">
        <v>1350</v>
      </c>
      <c r="C222" t="s">
        <v>664</v>
      </c>
      <c r="D222" t="s">
        <v>965</v>
      </c>
      <c r="E222" t="s">
        <v>620</v>
      </c>
      <c r="F222" t="s">
        <v>682</v>
      </c>
      <c r="G222" t="s">
        <v>809</v>
      </c>
      <c r="H222" t="s">
        <v>623</v>
      </c>
      <c r="I222" t="s">
        <v>624</v>
      </c>
      <c r="J222" t="s">
        <v>1351</v>
      </c>
      <c r="K222" s="2" t="s">
        <v>675</v>
      </c>
      <c r="L222" s="2" t="s">
        <v>965</v>
      </c>
      <c r="M222" s="2" t="s">
        <v>969</v>
      </c>
      <c r="N222" s="2" t="s">
        <v>629</v>
      </c>
      <c r="O222" t="s">
        <v>630</v>
      </c>
      <c r="P222" t="s">
        <v>970</v>
      </c>
      <c r="Q222" t="s">
        <v>632</v>
      </c>
      <c r="R222" t="s">
        <v>630</v>
      </c>
      <c r="S222" t="s">
        <v>630</v>
      </c>
      <c r="T222" t="s">
        <v>620</v>
      </c>
      <c r="U222" t="s">
        <v>620</v>
      </c>
      <c r="V222" s="3" t="str">
        <f>IF(AND(data[[#This Row],[status]]="OK",data[[#This Row],[approach]]="evoavalla"),data[[#This Row],[asm_path]],"")</f>
        <v>../../../asm_examples/PHD/phd_master_flat2_v1.asm</v>
      </c>
      <c r="W222" s="3" t="str">
        <f>IF(AND(data[[#This Row],[status]]="OK",data[[#This Row],[approach]]="atgt"),data[[#This Row],[asm_path]],"")</f>
        <v/>
      </c>
      <c r="X222" s="3" t="b">
        <f>COUNTIF(W:W,data[[#This Row],[path_ok_status_evoavalla]]) = 1</f>
        <v>1</v>
      </c>
    </row>
    <row r="223" spans="1:24" x14ac:dyDescent="0.25">
      <c r="A223" t="s">
        <v>1352</v>
      </c>
      <c r="B223" t="s">
        <v>1353</v>
      </c>
      <c r="C223" t="s">
        <v>683</v>
      </c>
      <c r="D223" t="s">
        <v>740</v>
      </c>
      <c r="E223" t="s">
        <v>620</v>
      </c>
      <c r="F223" t="s">
        <v>621</v>
      </c>
      <c r="G223" t="s">
        <v>644</v>
      </c>
      <c r="H223" t="s">
        <v>623</v>
      </c>
      <c r="I223" t="s">
        <v>638</v>
      </c>
      <c r="J223" t="s">
        <v>632</v>
      </c>
      <c r="K223" s="2" t="s">
        <v>620</v>
      </c>
      <c r="L223" s="2" t="s">
        <v>620</v>
      </c>
      <c r="M223" s="2" t="s">
        <v>620</v>
      </c>
      <c r="N223" s="2" t="s">
        <v>620</v>
      </c>
      <c r="O223" t="s">
        <v>639</v>
      </c>
      <c r="P223" t="s">
        <v>639</v>
      </c>
      <c r="Q223" t="s">
        <v>639</v>
      </c>
      <c r="R223" t="s">
        <v>639</v>
      </c>
      <c r="S223" t="s">
        <v>639</v>
      </c>
      <c r="T223" t="s">
        <v>620</v>
      </c>
      <c r="U223" t="s">
        <v>620</v>
      </c>
      <c r="V223" s="3" t="str">
        <f>IF(AND(data[[#This Row],[status]]="OK",data[[#This Row],[approach]]="evoavalla"),data[[#This Row],[asm_path]],"")</f>
        <v/>
      </c>
      <c r="W223" s="3" t="str">
        <f>IF(AND(data[[#This Row],[status]]="OK",data[[#This Row],[approach]]="atgt"),data[[#This Row],[asm_path]],"")</f>
        <v/>
      </c>
      <c r="X223" s="3" t="b">
        <f>COUNTIF(W:W,data[[#This Row],[path_ok_status_evoavalla]]) = 1</f>
        <v>0</v>
      </c>
    </row>
    <row r="224" spans="1:24" x14ac:dyDescent="0.25">
      <c r="A224" t="s">
        <v>1354</v>
      </c>
      <c r="B224" t="s">
        <v>1355</v>
      </c>
      <c r="C224" t="s">
        <v>664</v>
      </c>
      <c r="D224" t="s">
        <v>690</v>
      </c>
      <c r="E224" t="s">
        <v>636</v>
      </c>
      <c r="F224" t="s">
        <v>716</v>
      </c>
      <c r="G224" t="s">
        <v>816</v>
      </c>
      <c r="H224" t="s">
        <v>623</v>
      </c>
      <c r="I224" t="s">
        <v>638</v>
      </c>
      <c r="J224" t="s">
        <v>632</v>
      </c>
      <c r="K224" s="2" t="s">
        <v>620</v>
      </c>
      <c r="L224" s="2" t="s">
        <v>620</v>
      </c>
      <c r="M224" s="2" t="s">
        <v>620</v>
      </c>
      <c r="N224" s="2" t="s">
        <v>620</v>
      </c>
      <c r="O224" t="s">
        <v>639</v>
      </c>
      <c r="P224" t="s">
        <v>639</v>
      </c>
      <c r="Q224" t="s">
        <v>639</v>
      </c>
      <c r="R224" t="s">
        <v>639</v>
      </c>
      <c r="S224" t="s">
        <v>639</v>
      </c>
      <c r="T224" t="s">
        <v>620</v>
      </c>
      <c r="U224" t="s">
        <v>620</v>
      </c>
      <c r="V224" s="3" t="str">
        <f>IF(AND(data[[#This Row],[status]]="OK",data[[#This Row],[approach]]="evoavalla"),data[[#This Row],[asm_path]],"")</f>
        <v/>
      </c>
      <c r="W224" s="3" t="str">
        <f>IF(AND(data[[#This Row],[status]]="OK",data[[#This Row],[approach]]="atgt"),data[[#This Row],[asm_path]],"")</f>
        <v/>
      </c>
      <c r="X224" s="3" t="b">
        <f>COUNTIF(W:W,data[[#This Row],[path_ok_status_evoavalla]]) = 1</f>
        <v>0</v>
      </c>
    </row>
    <row r="225" spans="1:24" x14ac:dyDescent="0.25">
      <c r="A225" t="s">
        <v>1356</v>
      </c>
      <c r="B225" t="s">
        <v>1357</v>
      </c>
      <c r="C225" t="s">
        <v>664</v>
      </c>
      <c r="D225" t="s">
        <v>683</v>
      </c>
      <c r="E225" t="s">
        <v>636</v>
      </c>
      <c r="F225" t="s">
        <v>716</v>
      </c>
      <c r="G225" t="s">
        <v>745</v>
      </c>
      <c r="H225" t="s">
        <v>623</v>
      </c>
      <c r="I225" t="s">
        <v>638</v>
      </c>
      <c r="J225" t="s">
        <v>632</v>
      </c>
      <c r="K225" s="2" t="s">
        <v>620</v>
      </c>
      <c r="L225" s="2" t="s">
        <v>620</v>
      </c>
      <c r="M225" s="2" t="s">
        <v>620</v>
      </c>
      <c r="N225" s="2" t="s">
        <v>620</v>
      </c>
      <c r="O225" t="s">
        <v>639</v>
      </c>
      <c r="P225" t="s">
        <v>639</v>
      </c>
      <c r="Q225" t="s">
        <v>639</v>
      </c>
      <c r="R225" t="s">
        <v>639</v>
      </c>
      <c r="S225" t="s">
        <v>639</v>
      </c>
      <c r="T225" t="s">
        <v>620</v>
      </c>
      <c r="U225" t="s">
        <v>620</v>
      </c>
      <c r="V225" s="3" t="str">
        <f>IF(AND(data[[#This Row],[status]]="OK",data[[#This Row],[approach]]="evoavalla"),data[[#This Row],[asm_path]],"")</f>
        <v/>
      </c>
      <c r="W225" s="3" t="str">
        <f>IF(AND(data[[#This Row],[status]]="OK",data[[#This Row],[approach]]="atgt"),data[[#This Row],[asm_path]],"")</f>
        <v/>
      </c>
      <c r="X225" s="3" t="b">
        <f>COUNTIF(W:W,data[[#This Row],[path_ok_status_evoavalla]]) = 1</f>
        <v>0</v>
      </c>
    </row>
    <row r="226" spans="1:24" x14ac:dyDescent="0.25">
      <c r="A226" t="s">
        <v>1358</v>
      </c>
      <c r="B226" t="s">
        <v>1359</v>
      </c>
      <c r="C226" t="s">
        <v>636</v>
      </c>
      <c r="D226" t="s">
        <v>636</v>
      </c>
      <c r="E226" t="s">
        <v>620</v>
      </c>
      <c r="F226" t="s">
        <v>620</v>
      </c>
      <c r="G226" t="s">
        <v>636</v>
      </c>
      <c r="H226" t="s">
        <v>623</v>
      </c>
      <c r="I226" t="s">
        <v>638</v>
      </c>
      <c r="J226" t="s">
        <v>632</v>
      </c>
      <c r="K226" s="2" t="s">
        <v>620</v>
      </c>
      <c r="L226" s="2" t="s">
        <v>620</v>
      </c>
      <c r="M226" s="2" t="s">
        <v>620</v>
      </c>
      <c r="N226" s="2" t="s">
        <v>620</v>
      </c>
      <c r="O226" t="s">
        <v>639</v>
      </c>
      <c r="P226" t="s">
        <v>639</v>
      </c>
      <c r="Q226" t="s">
        <v>639</v>
      </c>
      <c r="R226" t="s">
        <v>639</v>
      </c>
      <c r="S226" t="s">
        <v>639</v>
      </c>
      <c r="T226" t="s">
        <v>620</v>
      </c>
      <c r="U226" t="s">
        <v>620</v>
      </c>
      <c r="V226" s="3" t="str">
        <f>IF(AND(data[[#This Row],[status]]="OK",data[[#This Row],[approach]]="evoavalla"),data[[#This Row],[asm_path]],"")</f>
        <v/>
      </c>
      <c r="W226" s="3" t="str">
        <f>IF(AND(data[[#This Row],[status]]="OK",data[[#This Row],[approach]]="atgt"),data[[#This Row],[asm_path]],"")</f>
        <v/>
      </c>
      <c r="X226" s="3" t="b">
        <f>COUNTIF(W:W,data[[#This Row],[path_ok_status_evoavalla]]) = 1</f>
        <v>0</v>
      </c>
    </row>
    <row r="227" spans="1:24" x14ac:dyDescent="0.25">
      <c r="A227" t="s">
        <v>1360</v>
      </c>
      <c r="B227" t="s">
        <v>1361</v>
      </c>
      <c r="C227" t="s">
        <v>635</v>
      </c>
      <c r="D227" t="s">
        <v>635</v>
      </c>
      <c r="E227" t="s">
        <v>620</v>
      </c>
      <c r="F227" t="s">
        <v>620</v>
      </c>
      <c r="G227" t="s">
        <v>621</v>
      </c>
      <c r="H227" t="s">
        <v>623</v>
      </c>
      <c r="I227" t="s">
        <v>638</v>
      </c>
      <c r="J227" t="s">
        <v>632</v>
      </c>
      <c r="K227" s="2" t="s">
        <v>620</v>
      </c>
      <c r="L227" s="2" t="s">
        <v>620</v>
      </c>
      <c r="M227" s="2" t="s">
        <v>620</v>
      </c>
      <c r="N227" s="2" t="s">
        <v>620</v>
      </c>
      <c r="O227" t="s">
        <v>639</v>
      </c>
      <c r="P227" t="s">
        <v>639</v>
      </c>
      <c r="Q227" t="s">
        <v>639</v>
      </c>
      <c r="R227" t="s">
        <v>639</v>
      </c>
      <c r="S227" t="s">
        <v>639</v>
      </c>
      <c r="T227" t="s">
        <v>620</v>
      </c>
      <c r="U227" t="s">
        <v>620</v>
      </c>
      <c r="V227" s="3" t="str">
        <f>IF(AND(data[[#This Row],[status]]="OK",data[[#This Row],[approach]]="evoavalla"),data[[#This Row],[asm_path]],"")</f>
        <v/>
      </c>
      <c r="W227" s="3" t="str">
        <f>IF(AND(data[[#This Row],[status]]="OK",data[[#This Row],[approach]]="atgt"),data[[#This Row],[asm_path]],"")</f>
        <v/>
      </c>
      <c r="X227" s="3" t="b">
        <f>COUNTIF(W:W,data[[#This Row],[path_ok_status_evoavalla]]) = 1</f>
        <v>0</v>
      </c>
    </row>
    <row r="228" spans="1:24" x14ac:dyDescent="0.25">
      <c r="A228" t="s">
        <v>1362</v>
      </c>
      <c r="B228" t="s">
        <v>1363</v>
      </c>
      <c r="C228" t="s">
        <v>643</v>
      </c>
      <c r="D228" t="s">
        <v>643</v>
      </c>
      <c r="E228" t="s">
        <v>620</v>
      </c>
      <c r="F228" t="s">
        <v>683</v>
      </c>
      <c r="G228" t="s">
        <v>781</v>
      </c>
      <c r="H228" t="s">
        <v>623</v>
      </c>
      <c r="I228" t="s">
        <v>624</v>
      </c>
      <c r="J228" t="s">
        <v>1364</v>
      </c>
      <c r="K228" s="2" t="s">
        <v>664</v>
      </c>
      <c r="L228" s="2" t="s">
        <v>710</v>
      </c>
      <c r="M228" s="2" t="s">
        <v>626</v>
      </c>
      <c r="N228" s="2" t="s">
        <v>1315</v>
      </c>
      <c r="O228" t="s">
        <v>630</v>
      </c>
      <c r="P228" t="s">
        <v>1365</v>
      </c>
      <c r="Q228" t="s">
        <v>632</v>
      </c>
      <c r="R228" t="s">
        <v>630</v>
      </c>
      <c r="S228" t="s">
        <v>630</v>
      </c>
      <c r="T228" t="s">
        <v>620</v>
      </c>
      <c r="U228" t="s">
        <v>620</v>
      </c>
      <c r="V228" s="3" t="str">
        <f>IF(AND(data[[#This Row],[status]]="OK",data[[#This Row],[approach]]="evoavalla"),data[[#This Row],[asm_path]],"")</f>
        <v>../../../asm_examples/stereoacuity/certifierGround.asm</v>
      </c>
      <c r="W228" s="3" t="str">
        <f>IF(AND(data[[#This Row],[status]]="OK",data[[#This Row],[approach]]="atgt"),data[[#This Row],[asm_path]],"")</f>
        <v/>
      </c>
      <c r="X228" s="3" t="b">
        <f>COUNTIF(W:W,data[[#This Row],[path_ok_status_evoavalla]]) = 1</f>
        <v>1</v>
      </c>
    </row>
    <row r="229" spans="1:24" x14ac:dyDescent="0.25">
      <c r="A229" t="s">
        <v>1366</v>
      </c>
      <c r="B229" t="s">
        <v>1367</v>
      </c>
      <c r="C229" t="s">
        <v>664</v>
      </c>
      <c r="D229" t="s">
        <v>628</v>
      </c>
      <c r="E229" t="s">
        <v>620</v>
      </c>
      <c r="F229" t="s">
        <v>626</v>
      </c>
      <c r="G229" t="s">
        <v>642</v>
      </c>
      <c r="H229" t="s">
        <v>623</v>
      </c>
      <c r="I229" t="s">
        <v>638</v>
      </c>
      <c r="J229" t="s">
        <v>632</v>
      </c>
      <c r="K229" s="2" t="s">
        <v>620</v>
      </c>
      <c r="L229" s="2" t="s">
        <v>620</v>
      </c>
      <c r="M229" s="2" t="s">
        <v>620</v>
      </c>
      <c r="N229" s="2" t="s">
        <v>620</v>
      </c>
      <c r="O229" t="s">
        <v>639</v>
      </c>
      <c r="P229" t="s">
        <v>639</v>
      </c>
      <c r="Q229" t="s">
        <v>639</v>
      </c>
      <c r="R229" t="s">
        <v>639</v>
      </c>
      <c r="S229" t="s">
        <v>639</v>
      </c>
      <c r="T229" t="s">
        <v>620</v>
      </c>
      <c r="U229" t="s">
        <v>620</v>
      </c>
      <c r="V229" s="3" t="str">
        <f>IF(AND(data[[#This Row],[status]]="OK",data[[#This Row],[approach]]="evoavalla"),data[[#This Row],[asm_path]],"")</f>
        <v/>
      </c>
      <c r="W229" s="3" t="str">
        <f>IF(AND(data[[#This Row],[status]]="OK",data[[#This Row],[approach]]="atgt"),data[[#This Row],[asm_path]],"")</f>
        <v/>
      </c>
      <c r="X229" s="3" t="b">
        <f>COUNTIF(W:W,data[[#This Row],[path_ok_status_evoavalla]]) = 1</f>
        <v>0</v>
      </c>
    </row>
    <row r="230" spans="1:24" x14ac:dyDescent="0.25">
      <c r="A230" t="s">
        <v>1368</v>
      </c>
      <c r="B230" t="s">
        <v>1369</v>
      </c>
      <c r="C230" t="s">
        <v>626</v>
      </c>
      <c r="D230" t="s">
        <v>643</v>
      </c>
      <c r="E230" t="s">
        <v>620</v>
      </c>
      <c r="F230" t="s">
        <v>716</v>
      </c>
      <c r="G230" t="s">
        <v>750</v>
      </c>
      <c r="H230" t="s">
        <v>623</v>
      </c>
      <c r="I230" t="s">
        <v>624</v>
      </c>
      <c r="J230" t="s">
        <v>1370</v>
      </c>
      <c r="K230" s="2" t="s">
        <v>635</v>
      </c>
      <c r="L230" s="2" t="s">
        <v>626</v>
      </c>
      <c r="M230" s="2" t="s">
        <v>664</v>
      </c>
      <c r="N230" s="2" t="s">
        <v>732</v>
      </c>
      <c r="O230" t="s">
        <v>630</v>
      </c>
      <c r="P230" t="s">
        <v>630</v>
      </c>
      <c r="Q230" t="s">
        <v>632</v>
      </c>
      <c r="R230" t="s">
        <v>793</v>
      </c>
      <c r="S230" t="s">
        <v>630</v>
      </c>
      <c r="T230" t="s">
        <v>620</v>
      </c>
      <c r="U230" t="s">
        <v>620</v>
      </c>
      <c r="V230" s="3" t="str">
        <f>IF(AND(data[[#This Row],[status]]="OK",data[[#This Row],[approach]]="evoavalla"),data[[#This Row],[asm_path]],"")</f>
        <v>../../../asm_examples/examples/traffic_light/oneWayTrafficLightUsingEnumFlat.asm</v>
      </c>
      <c r="W230" s="3" t="str">
        <f>IF(AND(data[[#This Row],[status]]="OK",data[[#This Row],[approach]]="atgt"),data[[#This Row],[asm_path]],"")</f>
        <v/>
      </c>
      <c r="X230" s="3" t="b">
        <f>COUNTIF(W:W,data[[#This Row],[path_ok_status_evoavalla]]) = 1</f>
        <v>1</v>
      </c>
    </row>
    <row r="231" spans="1:24" x14ac:dyDescent="0.25">
      <c r="A231" t="s">
        <v>1371</v>
      </c>
      <c r="B231" t="s">
        <v>1372</v>
      </c>
      <c r="C231" t="s">
        <v>636</v>
      </c>
      <c r="D231" t="s">
        <v>635</v>
      </c>
      <c r="E231" t="s">
        <v>620</v>
      </c>
      <c r="F231" t="s">
        <v>635</v>
      </c>
      <c r="G231" t="s">
        <v>664</v>
      </c>
      <c r="H231" t="s">
        <v>623</v>
      </c>
      <c r="I231" t="s">
        <v>624</v>
      </c>
      <c r="J231" t="s">
        <v>1373</v>
      </c>
      <c r="K231" s="2" t="s">
        <v>636</v>
      </c>
      <c r="L231" s="2" t="s">
        <v>635</v>
      </c>
      <c r="M231" s="2" t="s">
        <v>620</v>
      </c>
      <c r="N231" s="2" t="s">
        <v>620</v>
      </c>
      <c r="O231" t="s">
        <v>630</v>
      </c>
      <c r="P231" t="s">
        <v>630</v>
      </c>
      <c r="Q231" t="s">
        <v>632</v>
      </c>
      <c r="R231" t="s">
        <v>834</v>
      </c>
      <c r="S231" t="s">
        <v>630</v>
      </c>
      <c r="T231" t="s">
        <v>620</v>
      </c>
      <c r="U231" t="s">
        <v>620</v>
      </c>
      <c r="V231" s="3" t="str">
        <f>IF(AND(data[[#This Row],[status]]="OK",data[[#This Row],[approach]]="evoavalla"),data[[#This Row],[asm_path]],"")</f>
        <v>../../../asm_examples/examples/simple_example/euclideMCD.asm</v>
      </c>
      <c r="W231" s="3" t="str">
        <f>IF(AND(data[[#This Row],[status]]="OK",data[[#This Row],[approach]]="atgt"),data[[#This Row],[asm_path]],"")</f>
        <v/>
      </c>
      <c r="X231" s="3" t="b">
        <f>COUNTIF(W:W,data[[#This Row],[path_ok_status_evoavalla]]) = 1</f>
        <v>0</v>
      </c>
    </row>
    <row r="232" spans="1:24" x14ac:dyDescent="0.25">
      <c r="A232" t="s">
        <v>1374</v>
      </c>
      <c r="B232" t="s">
        <v>1375</v>
      </c>
      <c r="C232" t="s">
        <v>1376</v>
      </c>
      <c r="D232" t="s">
        <v>1084</v>
      </c>
      <c r="E232" t="s">
        <v>620</v>
      </c>
      <c r="F232" t="s">
        <v>817</v>
      </c>
      <c r="G232" t="s">
        <v>1377</v>
      </c>
      <c r="H232" t="s">
        <v>623</v>
      </c>
      <c r="I232" t="s">
        <v>624</v>
      </c>
      <c r="J232" t="s">
        <v>1378</v>
      </c>
      <c r="K232" s="2" t="s">
        <v>635</v>
      </c>
      <c r="L232" s="2" t="s">
        <v>635</v>
      </c>
      <c r="M232" s="2" t="s">
        <v>635</v>
      </c>
      <c r="N232" s="2" t="s">
        <v>1137</v>
      </c>
      <c r="O232" t="s">
        <v>1379</v>
      </c>
      <c r="P232" t="s">
        <v>1284</v>
      </c>
      <c r="Q232" t="s">
        <v>632</v>
      </c>
      <c r="R232" t="s">
        <v>1380</v>
      </c>
      <c r="S232" t="s">
        <v>1381</v>
      </c>
      <c r="T232" t="s">
        <v>620</v>
      </c>
      <c r="U232" t="s">
        <v>620</v>
      </c>
      <c r="V232" s="3" t="str">
        <f>IF(AND(data[[#This Row],[status]]="OK",data[[#This Row],[approach]]="evoavalla"),data[[#This Row],[asm_path]],"")</f>
        <v>../../../asm_examples/examples/hemodialysisDevice/ABZ2016/Hemodialysis_ref2_forMC.asm</v>
      </c>
      <c r="W232" s="3" t="str">
        <f>IF(AND(data[[#This Row],[status]]="OK",data[[#This Row],[approach]]="atgt"),data[[#This Row],[asm_path]],"")</f>
        <v/>
      </c>
      <c r="X232" s="3" t="b">
        <f>COUNTIF(W:W,data[[#This Row],[path_ok_status_evoavalla]]) = 1</f>
        <v>0</v>
      </c>
    </row>
    <row r="233" spans="1:24" x14ac:dyDescent="0.25">
      <c r="A233" t="s">
        <v>1382</v>
      </c>
      <c r="B233" t="s">
        <v>1383</v>
      </c>
      <c r="C233" t="s">
        <v>664</v>
      </c>
      <c r="D233" t="s">
        <v>683</v>
      </c>
      <c r="E233" t="s">
        <v>636</v>
      </c>
      <c r="F233" t="s">
        <v>716</v>
      </c>
      <c r="G233" t="s">
        <v>745</v>
      </c>
      <c r="H233" t="s">
        <v>623</v>
      </c>
      <c r="I233" t="s">
        <v>638</v>
      </c>
      <c r="J233" t="s">
        <v>632</v>
      </c>
      <c r="K233" s="2" t="s">
        <v>620</v>
      </c>
      <c r="L233" s="2" t="s">
        <v>620</v>
      </c>
      <c r="M233" s="2" t="s">
        <v>620</v>
      </c>
      <c r="N233" s="2" t="s">
        <v>620</v>
      </c>
      <c r="O233" t="s">
        <v>639</v>
      </c>
      <c r="P233" t="s">
        <v>639</v>
      </c>
      <c r="Q233" t="s">
        <v>639</v>
      </c>
      <c r="R233" t="s">
        <v>639</v>
      </c>
      <c r="S233" t="s">
        <v>639</v>
      </c>
      <c r="T233" t="s">
        <v>620</v>
      </c>
      <c r="U233" t="s">
        <v>620</v>
      </c>
      <c r="V233" s="3" t="str">
        <f>IF(AND(data[[#This Row],[status]]="OK",data[[#This Row],[approach]]="evoavalla"),data[[#This Row],[asm_path]],"")</f>
        <v/>
      </c>
      <c r="W233" s="3" t="str">
        <f>IF(AND(data[[#This Row],[status]]="OK",data[[#This Row],[approach]]="atgt"),data[[#This Row],[asm_path]],"")</f>
        <v/>
      </c>
      <c r="X233" s="3" t="b">
        <f>COUNTIF(W:W,data[[#This Row],[path_ok_status_evoavalla]]) = 1</f>
        <v>0</v>
      </c>
    </row>
    <row r="234" spans="1:24" x14ac:dyDescent="0.25">
      <c r="A234" t="s">
        <v>1384</v>
      </c>
      <c r="B234" t="s">
        <v>1385</v>
      </c>
      <c r="C234" t="s">
        <v>664</v>
      </c>
      <c r="D234" t="s">
        <v>683</v>
      </c>
      <c r="E234" t="s">
        <v>636</v>
      </c>
      <c r="F234" t="s">
        <v>716</v>
      </c>
      <c r="G234" t="s">
        <v>740</v>
      </c>
      <c r="H234" t="s">
        <v>623</v>
      </c>
      <c r="I234" t="s">
        <v>638</v>
      </c>
      <c r="J234" t="s">
        <v>632</v>
      </c>
      <c r="K234" s="2" t="s">
        <v>620</v>
      </c>
      <c r="L234" s="2" t="s">
        <v>620</v>
      </c>
      <c r="M234" s="2" t="s">
        <v>620</v>
      </c>
      <c r="N234" s="2" t="s">
        <v>620</v>
      </c>
      <c r="O234" t="s">
        <v>639</v>
      </c>
      <c r="P234" t="s">
        <v>639</v>
      </c>
      <c r="Q234" t="s">
        <v>639</v>
      </c>
      <c r="R234" t="s">
        <v>639</v>
      </c>
      <c r="S234" t="s">
        <v>639</v>
      </c>
      <c r="T234" t="s">
        <v>620</v>
      </c>
      <c r="U234" t="s">
        <v>620</v>
      </c>
      <c r="V234" s="3" t="str">
        <f>IF(AND(data[[#This Row],[status]]="OK",data[[#This Row],[approach]]="evoavalla"),data[[#This Row],[asm_path]],"")</f>
        <v/>
      </c>
      <c r="W234" s="3" t="str">
        <f>IF(AND(data[[#This Row],[status]]="OK",data[[#This Row],[approach]]="atgt"),data[[#This Row],[asm_path]],"")</f>
        <v/>
      </c>
      <c r="X234" s="3" t="b">
        <f>COUNTIF(W:W,data[[#This Row],[path_ok_status_evoavalla]]) = 1</f>
        <v>0</v>
      </c>
    </row>
    <row r="235" spans="1:24" x14ac:dyDescent="0.25">
      <c r="A235" t="s">
        <v>1386</v>
      </c>
      <c r="B235" t="s">
        <v>1387</v>
      </c>
      <c r="C235" t="s">
        <v>682</v>
      </c>
      <c r="D235" t="s">
        <v>664</v>
      </c>
      <c r="E235" t="s">
        <v>636</v>
      </c>
      <c r="F235" t="s">
        <v>682</v>
      </c>
      <c r="G235" t="s">
        <v>761</v>
      </c>
      <c r="H235" t="s">
        <v>623</v>
      </c>
      <c r="I235" t="s">
        <v>638</v>
      </c>
      <c r="J235" t="s">
        <v>632</v>
      </c>
      <c r="K235" s="2" t="s">
        <v>620</v>
      </c>
      <c r="L235" s="2" t="s">
        <v>620</v>
      </c>
      <c r="M235" s="2" t="s">
        <v>620</v>
      </c>
      <c r="N235" s="2" t="s">
        <v>620</v>
      </c>
      <c r="O235" t="s">
        <v>639</v>
      </c>
      <c r="P235" t="s">
        <v>639</v>
      </c>
      <c r="Q235" t="s">
        <v>639</v>
      </c>
      <c r="R235" t="s">
        <v>639</v>
      </c>
      <c r="S235" t="s">
        <v>639</v>
      </c>
      <c r="T235" t="s">
        <v>620</v>
      </c>
      <c r="U235" t="s">
        <v>620</v>
      </c>
      <c r="V235" s="3" t="str">
        <f>IF(AND(data[[#This Row],[status]]="OK",data[[#This Row],[approach]]="evoavalla"),data[[#This Row],[asm_path]],"")</f>
        <v/>
      </c>
      <c r="W235" s="3" t="str">
        <f>IF(AND(data[[#This Row],[status]]="OK",data[[#This Row],[approach]]="atgt"),data[[#This Row],[asm_path]],"")</f>
        <v/>
      </c>
      <c r="X235" s="3" t="b">
        <f>COUNTIF(W:W,data[[#This Row],[path_ok_status_evoavalla]]) = 1</f>
        <v>0</v>
      </c>
    </row>
    <row r="236" spans="1:24" x14ac:dyDescent="0.25">
      <c r="A236" t="s">
        <v>1388</v>
      </c>
      <c r="B236" t="s">
        <v>1389</v>
      </c>
      <c r="C236" t="s">
        <v>636</v>
      </c>
      <c r="D236" t="s">
        <v>635</v>
      </c>
      <c r="E236" t="s">
        <v>620</v>
      </c>
      <c r="F236" t="s">
        <v>635</v>
      </c>
      <c r="G236" t="s">
        <v>626</v>
      </c>
      <c r="H236" t="s">
        <v>623</v>
      </c>
      <c r="I236" t="s">
        <v>638</v>
      </c>
      <c r="J236" t="s">
        <v>632</v>
      </c>
      <c r="K236" s="2" t="s">
        <v>620</v>
      </c>
      <c r="L236" s="2" t="s">
        <v>620</v>
      </c>
      <c r="M236" s="2" t="s">
        <v>620</v>
      </c>
      <c r="N236" s="2" t="s">
        <v>620</v>
      </c>
      <c r="O236" t="s">
        <v>639</v>
      </c>
      <c r="P236" t="s">
        <v>639</v>
      </c>
      <c r="Q236" t="s">
        <v>639</v>
      </c>
      <c r="R236" t="s">
        <v>639</v>
      </c>
      <c r="S236" t="s">
        <v>639</v>
      </c>
      <c r="T236" t="s">
        <v>620</v>
      </c>
      <c r="U236" t="s">
        <v>620</v>
      </c>
      <c r="V236" s="3" t="str">
        <f>IF(AND(data[[#This Row],[status]]="OK",data[[#This Row],[approach]]="evoavalla"),data[[#This Row],[asm_path]],"")</f>
        <v/>
      </c>
      <c r="W236" s="3" t="str">
        <f>IF(AND(data[[#This Row],[status]]="OK",data[[#This Row],[approach]]="atgt"),data[[#This Row],[asm_path]],"")</f>
        <v/>
      </c>
      <c r="X236" s="3" t="b">
        <f>COUNTIF(W:W,data[[#This Row],[path_ok_status_evoavalla]]) = 1</f>
        <v>0</v>
      </c>
    </row>
    <row r="237" spans="1:24" x14ac:dyDescent="0.25">
      <c r="A237" t="s">
        <v>1390</v>
      </c>
      <c r="B237" t="s">
        <v>1391</v>
      </c>
      <c r="C237" t="s">
        <v>664</v>
      </c>
      <c r="D237" t="s">
        <v>635</v>
      </c>
      <c r="E237" t="s">
        <v>620</v>
      </c>
      <c r="F237" t="s">
        <v>620</v>
      </c>
      <c r="G237" t="s">
        <v>626</v>
      </c>
      <c r="H237" t="s">
        <v>623</v>
      </c>
      <c r="I237" t="s">
        <v>638</v>
      </c>
      <c r="J237" t="s">
        <v>632</v>
      </c>
      <c r="K237" s="2" t="s">
        <v>620</v>
      </c>
      <c r="L237" s="2" t="s">
        <v>620</v>
      </c>
      <c r="M237" s="2" t="s">
        <v>620</v>
      </c>
      <c r="N237" s="2" t="s">
        <v>620</v>
      </c>
      <c r="O237" t="s">
        <v>639</v>
      </c>
      <c r="P237" t="s">
        <v>639</v>
      </c>
      <c r="Q237" t="s">
        <v>639</v>
      </c>
      <c r="R237" t="s">
        <v>639</v>
      </c>
      <c r="S237" t="s">
        <v>639</v>
      </c>
      <c r="T237" t="s">
        <v>620</v>
      </c>
      <c r="U237" t="s">
        <v>620</v>
      </c>
      <c r="V237" s="3" t="str">
        <f>IF(AND(data[[#This Row],[status]]="OK",data[[#This Row],[approach]]="evoavalla"),data[[#This Row],[asm_path]],"")</f>
        <v/>
      </c>
      <c r="W237" s="3" t="str">
        <f>IF(AND(data[[#This Row],[status]]="OK",data[[#This Row],[approach]]="atgt"),data[[#This Row],[asm_path]],"")</f>
        <v/>
      </c>
      <c r="X237" s="3" t="b">
        <f>COUNTIF(W:W,data[[#This Row],[path_ok_status_evoavalla]]) = 1</f>
        <v>0</v>
      </c>
    </row>
    <row r="238" spans="1:24" x14ac:dyDescent="0.25">
      <c r="A238" t="s">
        <v>1392</v>
      </c>
      <c r="B238" t="s">
        <v>892</v>
      </c>
      <c r="C238" t="s">
        <v>636</v>
      </c>
      <c r="D238" t="s">
        <v>620</v>
      </c>
      <c r="E238" t="s">
        <v>620</v>
      </c>
      <c r="F238" t="s">
        <v>620</v>
      </c>
      <c r="G238" t="s">
        <v>636</v>
      </c>
      <c r="H238" t="s">
        <v>623</v>
      </c>
      <c r="I238" t="s">
        <v>638</v>
      </c>
      <c r="J238" t="s">
        <v>632</v>
      </c>
      <c r="K238" s="2" t="s">
        <v>620</v>
      </c>
      <c r="L238" s="2" t="s">
        <v>620</v>
      </c>
      <c r="M238" s="2" t="s">
        <v>620</v>
      </c>
      <c r="N238" s="2" t="s">
        <v>620</v>
      </c>
      <c r="O238" t="s">
        <v>639</v>
      </c>
      <c r="P238" t="s">
        <v>639</v>
      </c>
      <c r="Q238" t="s">
        <v>639</v>
      </c>
      <c r="R238" t="s">
        <v>639</v>
      </c>
      <c r="S238" t="s">
        <v>639</v>
      </c>
      <c r="T238" t="s">
        <v>620</v>
      </c>
      <c r="U238" t="s">
        <v>620</v>
      </c>
      <c r="V238" s="3" t="str">
        <f>IF(AND(data[[#This Row],[status]]="OK",data[[#This Row],[approach]]="evoavalla"),data[[#This Row],[asm_path]],"")</f>
        <v/>
      </c>
      <c r="W238" s="3" t="str">
        <f>IF(AND(data[[#This Row],[status]]="OK",data[[#This Row],[approach]]="atgt"),data[[#This Row],[asm_path]],"")</f>
        <v/>
      </c>
      <c r="X238" s="3" t="b">
        <f>COUNTIF(W:W,data[[#This Row],[path_ok_status_evoavalla]]) = 1</f>
        <v>0</v>
      </c>
    </row>
    <row r="239" spans="1:24" x14ac:dyDescent="0.25">
      <c r="A239" t="s">
        <v>1393</v>
      </c>
      <c r="B239" t="s">
        <v>1394</v>
      </c>
      <c r="C239" t="s">
        <v>635</v>
      </c>
      <c r="D239" t="s">
        <v>635</v>
      </c>
      <c r="E239" t="s">
        <v>620</v>
      </c>
      <c r="F239" t="s">
        <v>620</v>
      </c>
      <c r="G239" t="s">
        <v>761</v>
      </c>
      <c r="H239" t="s">
        <v>623</v>
      </c>
      <c r="I239" t="s">
        <v>638</v>
      </c>
      <c r="J239" t="s">
        <v>632</v>
      </c>
      <c r="K239" s="2" t="s">
        <v>620</v>
      </c>
      <c r="L239" s="2" t="s">
        <v>620</v>
      </c>
      <c r="M239" s="2" t="s">
        <v>620</v>
      </c>
      <c r="N239" s="2" t="s">
        <v>620</v>
      </c>
      <c r="O239" t="s">
        <v>639</v>
      </c>
      <c r="P239" t="s">
        <v>639</v>
      </c>
      <c r="Q239" t="s">
        <v>639</v>
      </c>
      <c r="R239" t="s">
        <v>639</v>
      </c>
      <c r="S239" t="s">
        <v>639</v>
      </c>
      <c r="T239" t="s">
        <v>620</v>
      </c>
      <c r="U239" t="s">
        <v>620</v>
      </c>
      <c r="V239" s="3" t="str">
        <f>IF(AND(data[[#This Row],[status]]="OK",data[[#This Row],[approach]]="evoavalla"),data[[#This Row],[asm_path]],"")</f>
        <v/>
      </c>
      <c r="W239" s="3" t="str">
        <f>IF(AND(data[[#This Row],[status]]="OK",data[[#This Row],[approach]]="atgt"),data[[#This Row],[asm_path]],"")</f>
        <v/>
      </c>
      <c r="X239" s="3" t="b">
        <f>COUNTIF(W:W,data[[#This Row],[path_ok_status_evoavalla]]) = 1</f>
        <v>0</v>
      </c>
    </row>
    <row r="240" spans="1:24" x14ac:dyDescent="0.25">
      <c r="A240" t="s">
        <v>1395</v>
      </c>
      <c r="B240" t="s">
        <v>1396</v>
      </c>
      <c r="C240" t="s">
        <v>635</v>
      </c>
      <c r="D240" t="s">
        <v>635</v>
      </c>
      <c r="E240" t="s">
        <v>635</v>
      </c>
      <c r="F240" t="s">
        <v>682</v>
      </c>
      <c r="G240" t="s">
        <v>683</v>
      </c>
      <c r="H240" t="s">
        <v>623</v>
      </c>
      <c r="I240" t="s">
        <v>638</v>
      </c>
      <c r="J240" t="s">
        <v>632</v>
      </c>
      <c r="K240" s="2" t="s">
        <v>620</v>
      </c>
      <c r="L240" s="2" t="s">
        <v>620</v>
      </c>
      <c r="M240" s="2" t="s">
        <v>620</v>
      </c>
      <c r="N240" s="2" t="s">
        <v>620</v>
      </c>
      <c r="O240" t="s">
        <v>639</v>
      </c>
      <c r="P240" t="s">
        <v>639</v>
      </c>
      <c r="Q240" t="s">
        <v>639</v>
      </c>
      <c r="R240" t="s">
        <v>639</v>
      </c>
      <c r="S240" t="s">
        <v>639</v>
      </c>
      <c r="T240" t="s">
        <v>620</v>
      </c>
      <c r="U240" t="s">
        <v>620</v>
      </c>
      <c r="V240" s="3" t="str">
        <f>IF(AND(data[[#This Row],[status]]="OK",data[[#This Row],[approach]]="evoavalla"),data[[#This Row],[asm_path]],"")</f>
        <v/>
      </c>
      <c r="W240" s="3" t="str">
        <f>IF(AND(data[[#This Row],[status]]="OK",data[[#This Row],[approach]]="atgt"),data[[#This Row],[asm_path]],"")</f>
        <v/>
      </c>
      <c r="X240" s="3" t="b">
        <f>COUNTIF(W:W,data[[#This Row],[path_ok_status_evoavalla]]) = 1</f>
        <v>0</v>
      </c>
    </row>
    <row r="241" spans="1:24" x14ac:dyDescent="0.25">
      <c r="A241" t="s">
        <v>1397</v>
      </c>
      <c r="B241" t="s">
        <v>1398</v>
      </c>
      <c r="C241" t="s">
        <v>717</v>
      </c>
      <c r="D241" t="s">
        <v>815</v>
      </c>
      <c r="E241" t="s">
        <v>816</v>
      </c>
      <c r="F241" t="s">
        <v>817</v>
      </c>
      <c r="G241" t="s">
        <v>818</v>
      </c>
      <c r="H241" t="s">
        <v>623</v>
      </c>
      <c r="I241" t="s">
        <v>638</v>
      </c>
      <c r="J241" t="s">
        <v>632</v>
      </c>
      <c r="K241" s="2" t="s">
        <v>620</v>
      </c>
      <c r="L241" s="2" t="s">
        <v>620</v>
      </c>
      <c r="M241" s="2" t="s">
        <v>620</v>
      </c>
      <c r="N241" s="2" t="s">
        <v>620</v>
      </c>
      <c r="O241" t="s">
        <v>639</v>
      </c>
      <c r="P241" t="s">
        <v>639</v>
      </c>
      <c r="Q241" t="s">
        <v>639</v>
      </c>
      <c r="R241" t="s">
        <v>639</v>
      </c>
      <c r="S241" t="s">
        <v>639</v>
      </c>
      <c r="T241" t="s">
        <v>620</v>
      </c>
      <c r="U241" t="s">
        <v>620</v>
      </c>
      <c r="V241" s="3" t="str">
        <f>IF(AND(data[[#This Row],[status]]="OK",data[[#This Row],[approach]]="evoavalla"),data[[#This Row],[asm_path]],"")</f>
        <v/>
      </c>
      <c r="W241" s="3" t="str">
        <f>IF(AND(data[[#This Row],[status]]="OK",data[[#This Row],[approach]]="atgt"),data[[#This Row],[asm_path]],"")</f>
        <v/>
      </c>
      <c r="X241" s="3" t="b">
        <f>COUNTIF(W:W,data[[#This Row],[path_ok_status_evoavalla]]) = 1</f>
        <v>0</v>
      </c>
    </row>
    <row r="242" spans="1:24" x14ac:dyDescent="0.25">
      <c r="A242" t="s">
        <v>1399</v>
      </c>
      <c r="B242" t="s">
        <v>1400</v>
      </c>
      <c r="C242" t="s">
        <v>761</v>
      </c>
      <c r="D242" t="s">
        <v>750</v>
      </c>
      <c r="E242" t="s">
        <v>635</v>
      </c>
      <c r="F242" t="s">
        <v>745</v>
      </c>
      <c r="G242" t="s">
        <v>842</v>
      </c>
      <c r="H242" t="s">
        <v>623</v>
      </c>
      <c r="I242" t="s">
        <v>638</v>
      </c>
      <c r="J242" t="s">
        <v>632</v>
      </c>
      <c r="K242" s="2" t="s">
        <v>620</v>
      </c>
      <c r="L242" s="2" t="s">
        <v>620</v>
      </c>
      <c r="M242" s="2" t="s">
        <v>620</v>
      </c>
      <c r="N242" s="2" t="s">
        <v>620</v>
      </c>
      <c r="O242" t="s">
        <v>639</v>
      </c>
      <c r="P242" t="s">
        <v>639</v>
      </c>
      <c r="Q242" t="s">
        <v>639</v>
      </c>
      <c r="R242" t="s">
        <v>639</v>
      </c>
      <c r="S242" t="s">
        <v>639</v>
      </c>
      <c r="T242" t="s">
        <v>620</v>
      </c>
      <c r="U242" t="s">
        <v>620</v>
      </c>
      <c r="V242" s="3" t="str">
        <f>IF(AND(data[[#This Row],[status]]="OK",data[[#This Row],[approach]]="evoavalla"),data[[#This Row],[asm_path]],"")</f>
        <v/>
      </c>
      <c r="W242" s="3" t="str">
        <f>IF(AND(data[[#This Row],[status]]="OK",data[[#This Row],[approach]]="atgt"),data[[#This Row],[asm_path]],"")</f>
        <v/>
      </c>
      <c r="X242" s="3" t="b">
        <f>COUNTIF(W:W,data[[#This Row],[path_ok_status_evoavalla]]) = 1</f>
        <v>0</v>
      </c>
    </row>
    <row r="243" spans="1:24" x14ac:dyDescent="0.25">
      <c r="A243" t="s">
        <v>1401</v>
      </c>
      <c r="B243" t="s">
        <v>1402</v>
      </c>
      <c r="C243" t="s">
        <v>682</v>
      </c>
      <c r="D243" t="s">
        <v>683</v>
      </c>
      <c r="E243" t="s">
        <v>636</v>
      </c>
      <c r="F243" t="s">
        <v>716</v>
      </c>
      <c r="G243" t="s">
        <v>745</v>
      </c>
      <c r="H243" t="s">
        <v>623</v>
      </c>
      <c r="I243" t="s">
        <v>638</v>
      </c>
      <c r="J243" t="s">
        <v>632</v>
      </c>
      <c r="K243" s="2" t="s">
        <v>620</v>
      </c>
      <c r="L243" s="2" t="s">
        <v>620</v>
      </c>
      <c r="M243" s="2" t="s">
        <v>620</v>
      </c>
      <c r="N243" s="2" t="s">
        <v>620</v>
      </c>
      <c r="O243" t="s">
        <v>639</v>
      </c>
      <c r="P243" t="s">
        <v>639</v>
      </c>
      <c r="Q243" t="s">
        <v>639</v>
      </c>
      <c r="R243" t="s">
        <v>639</v>
      </c>
      <c r="S243" t="s">
        <v>639</v>
      </c>
      <c r="T243" t="s">
        <v>620</v>
      </c>
      <c r="U243" t="s">
        <v>620</v>
      </c>
      <c r="V243" s="3" t="str">
        <f>IF(AND(data[[#This Row],[status]]="OK",data[[#This Row],[approach]]="evoavalla"),data[[#This Row],[asm_path]],"")</f>
        <v/>
      </c>
      <c r="W243" s="3" t="str">
        <f>IF(AND(data[[#This Row],[status]]="OK",data[[#This Row],[approach]]="atgt"),data[[#This Row],[asm_path]],"")</f>
        <v/>
      </c>
      <c r="X243" s="3" t="b">
        <f>COUNTIF(W:W,data[[#This Row],[path_ok_status_evoavalla]]) = 1</f>
        <v>0</v>
      </c>
    </row>
    <row r="244" spans="1:24" x14ac:dyDescent="0.25">
      <c r="A244" t="s">
        <v>1403</v>
      </c>
      <c r="B244" t="s">
        <v>1404</v>
      </c>
      <c r="C244" t="s">
        <v>682</v>
      </c>
      <c r="D244" t="s">
        <v>635</v>
      </c>
      <c r="E244" t="s">
        <v>620</v>
      </c>
      <c r="F244" t="s">
        <v>636</v>
      </c>
      <c r="G244" t="s">
        <v>683</v>
      </c>
      <c r="H244" t="s">
        <v>623</v>
      </c>
      <c r="I244" t="s">
        <v>638</v>
      </c>
      <c r="J244" t="s">
        <v>632</v>
      </c>
      <c r="K244" s="2" t="s">
        <v>620</v>
      </c>
      <c r="L244" s="2" t="s">
        <v>620</v>
      </c>
      <c r="M244" s="2" t="s">
        <v>620</v>
      </c>
      <c r="N244" s="2" t="s">
        <v>620</v>
      </c>
      <c r="O244" t="s">
        <v>639</v>
      </c>
      <c r="P244" t="s">
        <v>639</v>
      </c>
      <c r="Q244" t="s">
        <v>639</v>
      </c>
      <c r="R244" t="s">
        <v>639</v>
      </c>
      <c r="S244" t="s">
        <v>639</v>
      </c>
      <c r="T244" t="s">
        <v>620</v>
      </c>
      <c r="U244" t="s">
        <v>620</v>
      </c>
      <c r="V244" s="3" t="str">
        <f>IF(AND(data[[#This Row],[status]]="OK",data[[#This Row],[approach]]="evoavalla"),data[[#This Row],[asm_path]],"")</f>
        <v/>
      </c>
      <c r="W244" s="3" t="str">
        <f>IF(AND(data[[#This Row],[status]]="OK",data[[#This Row],[approach]]="atgt"),data[[#This Row],[asm_path]],"")</f>
        <v/>
      </c>
      <c r="X244" s="3" t="b">
        <f>COUNTIF(W:W,data[[#This Row],[path_ok_status_evoavalla]]) = 1</f>
        <v>0</v>
      </c>
    </row>
    <row r="245" spans="1:24" x14ac:dyDescent="0.25">
      <c r="A245" t="s">
        <v>1405</v>
      </c>
      <c r="B245" t="s">
        <v>1406</v>
      </c>
      <c r="C245" t="s">
        <v>635</v>
      </c>
      <c r="D245" t="s">
        <v>664</v>
      </c>
      <c r="E245" t="s">
        <v>620</v>
      </c>
      <c r="F245" t="s">
        <v>620</v>
      </c>
      <c r="G245" t="s">
        <v>798</v>
      </c>
      <c r="H245" t="s">
        <v>623</v>
      </c>
      <c r="I245" t="s">
        <v>638</v>
      </c>
      <c r="J245" t="s">
        <v>632</v>
      </c>
      <c r="K245" s="2" t="s">
        <v>620</v>
      </c>
      <c r="L245" s="2" t="s">
        <v>620</v>
      </c>
      <c r="M245" s="2" t="s">
        <v>620</v>
      </c>
      <c r="N245" s="2" t="s">
        <v>620</v>
      </c>
      <c r="O245" t="s">
        <v>639</v>
      </c>
      <c r="P245" t="s">
        <v>639</v>
      </c>
      <c r="Q245" t="s">
        <v>639</v>
      </c>
      <c r="R245" t="s">
        <v>639</v>
      </c>
      <c r="S245" t="s">
        <v>639</v>
      </c>
      <c r="T245" t="s">
        <v>620</v>
      </c>
      <c r="U245" t="s">
        <v>620</v>
      </c>
      <c r="V245" s="3" t="str">
        <f>IF(AND(data[[#This Row],[status]]="OK",data[[#This Row],[approach]]="evoavalla"),data[[#This Row],[asm_path]],"")</f>
        <v/>
      </c>
      <c r="W245" s="3" t="str">
        <f>IF(AND(data[[#This Row],[status]]="OK",data[[#This Row],[approach]]="atgt"),data[[#This Row],[asm_path]],"")</f>
        <v/>
      </c>
      <c r="X245" s="3" t="b">
        <f>COUNTIF(W:W,data[[#This Row],[path_ok_status_evoavalla]]) = 1</f>
        <v>0</v>
      </c>
    </row>
    <row r="246" spans="1:24" x14ac:dyDescent="0.25">
      <c r="A246" t="s">
        <v>1407</v>
      </c>
      <c r="B246" t="s">
        <v>1408</v>
      </c>
      <c r="C246" t="s">
        <v>636</v>
      </c>
      <c r="D246" t="s">
        <v>620</v>
      </c>
      <c r="E246" t="s">
        <v>620</v>
      </c>
      <c r="F246" t="s">
        <v>620</v>
      </c>
      <c r="G246" t="s">
        <v>636</v>
      </c>
      <c r="H246" t="s">
        <v>623</v>
      </c>
      <c r="I246" t="s">
        <v>624</v>
      </c>
      <c r="J246" t="s">
        <v>1409</v>
      </c>
      <c r="K246" s="2" t="s">
        <v>636</v>
      </c>
      <c r="L246" s="2" t="s">
        <v>636</v>
      </c>
      <c r="M246" s="2" t="s">
        <v>620</v>
      </c>
      <c r="N246" s="2" t="s">
        <v>620</v>
      </c>
      <c r="O246" t="s">
        <v>630</v>
      </c>
      <c r="P246" t="s">
        <v>632</v>
      </c>
      <c r="Q246" t="s">
        <v>632</v>
      </c>
      <c r="R246" t="s">
        <v>632</v>
      </c>
      <c r="S246" t="s">
        <v>630</v>
      </c>
      <c r="T246" t="s">
        <v>620</v>
      </c>
      <c r="U246" t="s">
        <v>620</v>
      </c>
      <c r="V246" s="3" t="str">
        <f>IF(AND(data[[#This Row],[status]]="OK",data[[#This Row],[approach]]="evoavalla"),data[[#This Row],[asm_path]],"")</f>
        <v>../../../asm_examples/examples/testRanges.asm</v>
      </c>
      <c r="W246" s="3" t="str">
        <f>IF(AND(data[[#This Row],[status]]="OK",data[[#This Row],[approach]]="atgt"),data[[#This Row],[asm_path]],"")</f>
        <v/>
      </c>
      <c r="X246" s="3" t="b">
        <f>COUNTIF(W:W,data[[#This Row],[path_ok_status_evoavalla]]) = 1</f>
        <v>0</v>
      </c>
    </row>
    <row r="247" spans="1:24" x14ac:dyDescent="0.25">
      <c r="A247" t="s">
        <v>1410</v>
      </c>
      <c r="B247" t="s">
        <v>1411</v>
      </c>
      <c r="C247" t="s">
        <v>710</v>
      </c>
      <c r="D247" t="s">
        <v>716</v>
      </c>
      <c r="E247" t="s">
        <v>636</v>
      </c>
      <c r="F247" t="s">
        <v>761</v>
      </c>
      <c r="G247" t="s">
        <v>622</v>
      </c>
      <c r="H247" t="s">
        <v>623</v>
      </c>
      <c r="I247" t="s">
        <v>638</v>
      </c>
      <c r="J247" t="s">
        <v>632</v>
      </c>
      <c r="K247" s="2" t="s">
        <v>620</v>
      </c>
      <c r="L247" s="2" t="s">
        <v>620</v>
      </c>
      <c r="M247" s="2" t="s">
        <v>620</v>
      </c>
      <c r="N247" s="2" t="s">
        <v>620</v>
      </c>
      <c r="O247" t="s">
        <v>639</v>
      </c>
      <c r="P247" t="s">
        <v>639</v>
      </c>
      <c r="Q247" t="s">
        <v>639</v>
      </c>
      <c r="R247" t="s">
        <v>639</v>
      </c>
      <c r="S247" t="s">
        <v>639</v>
      </c>
      <c r="T247" t="s">
        <v>620</v>
      </c>
      <c r="U247" t="s">
        <v>620</v>
      </c>
      <c r="V247" s="3" t="str">
        <f>IF(AND(data[[#This Row],[status]]="OK",data[[#This Row],[approach]]="evoavalla"),data[[#This Row],[asm_path]],"")</f>
        <v/>
      </c>
      <c r="W247" s="3" t="str">
        <f>IF(AND(data[[#This Row],[status]]="OK",data[[#This Row],[approach]]="atgt"),data[[#This Row],[asm_path]],"")</f>
        <v/>
      </c>
      <c r="X247" s="3" t="b">
        <f>COUNTIF(W:W,data[[#This Row],[path_ok_status_evoavalla]]) = 1</f>
        <v>0</v>
      </c>
    </row>
    <row r="248" spans="1:24" x14ac:dyDescent="0.25">
      <c r="A248" t="s">
        <v>1412</v>
      </c>
      <c r="B248" t="s">
        <v>1413</v>
      </c>
      <c r="C248" t="s">
        <v>626</v>
      </c>
      <c r="D248" t="s">
        <v>1250</v>
      </c>
      <c r="E248" t="s">
        <v>620</v>
      </c>
      <c r="F248" t="s">
        <v>619</v>
      </c>
      <c r="G248" t="s">
        <v>1414</v>
      </c>
      <c r="H248" t="s">
        <v>623</v>
      </c>
      <c r="I248" t="s">
        <v>638</v>
      </c>
      <c r="J248" t="s">
        <v>1415</v>
      </c>
      <c r="K248" s="2" t="s">
        <v>620</v>
      </c>
      <c r="L248" s="2" t="s">
        <v>620</v>
      </c>
      <c r="M248" s="2" t="s">
        <v>620</v>
      </c>
      <c r="N248" s="2" t="s">
        <v>620</v>
      </c>
      <c r="O248" t="s">
        <v>639</v>
      </c>
      <c r="P248" t="s">
        <v>639</v>
      </c>
      <c r="Q248" t="s">
        <v>639</v>
      </c>
      <c r="R248" t="s">
        <v>639</v>
      </c>
      <c r="S248" t="s">
        <v>639</v>
      </c>
      <c r="T248" t="s">
        <v>620</v>
      </c>
      <c r="U248" t="s">
        <v>635</v>
      </c>
      <c r="V248" s="3" t="str">
        <f>IF(AND(data[[#This Row],[status]]="OK",data[[#This Row],[approach]]="evoavalla"),data[[#This Row],[asm_path]],"")</f>
        <v/>
      </c>
      <c r="W248" s="3" t="str">
        <f>IF(AND(data[[#This Row],[status]]="OK",data[[#This Row],[approach]]="atgt"),data[[#This Row],[asm_path]],"")</f>
        <v/>
      </c>
      <c r="X248" s="3" t="b">
        <f>COUNTIF(W:W,data[[#This Row],[path_ok_status_evoavalla]]) = 1</f>
        <v>0</v>
      </c>
    </row>
    <row r="249" spans="1:24" x14ac:dyDescent="0.25">
      <c r="A249" t="s">
        <v>1416</v>
      </c>
      <c r="B249" t="s">
        <v>1417</v>
      </c>
      <c r="C249" t="s">
        <v>683</v>
      </c>
      <c r="D249" t="s">
        <v>677</v>
      </c>
      <c r="E249" t="s">
        <v>636</v>
      </c>
      <c r="F249" t="s">
        <v>745</v>
      </c>
      <c r="G249" t="s">
        <v>837</v>
      </c>
      <c r="H249" t="s">
        <v>623</v>
      </c>
      <c r="I249" t="s">
        <v>638</v>
      </c>
      <c r="J249" t="s">
        <v>632</v>
      </c>
      <c r="K249" s="2" t="s">
        <v>620</v>
      </c>
      <c r="L249" s="2" t="s">
        <v>620</v>
      </c>
      <c r="M249" s="2" t="s">
        <v>620</v>
      </c>
      <c r="N249" s="2" t="s">
        <v>620</v>
      </c>
      <c r="O249" t="s">
        <v>639</v>
      </c>
      <c r="P249" t="s">
        <v>639</v>
      </c>
      <c r="Q249" t="s">
        <v>639</v>
      </c>
      <c r="R249" t="s">
        <v>639</v>
      </c>
      <c r="S249" t="s">
        <v>639</v>
      </c>
      <c r="T249" t="s">
        <v>620</v>
      </c>
      <c r="U249" t="s">
        <v>620</v>
      </c>
      <c r="V249" s="3" t="str">
        <f>IF(AND(data[[#This Row],[status]]="OK",data[[#This Row],[approach]]="evoavalla"),data[[#This Row],[asm_path]],"")</f>
        <v/>
      </c>
      <c r="W249" s="3" t="str">
        <f>IF(AND(data[[#This Row],[status]]="OK",data[[#This Row],[approach]]="atgt"),data[[#This Row],[asm_path]],"")</f>
        <v/>
      </c>
      <c r="X249" s="3" t="b">
        <f>COUNTIF(W:W,data[[#This Row],[path_ok_status_evoavalla]]) = 1</f>
        <v>0</v>
      </c>
    </row>
    <row r="250" spans="1:24" x14ac:dyDescent="0.25">
      <c r="A250" t="s">
        <v>1418</v>
      </c>
      <c r="B250" t="s">
        <v>1419</v>
      </c>
      <c r="C250" t="s">
        <v>618</v>
      </c>
      <c r="D250" t="s">
        <v>745</v>
      </c>
      <c r="E250" t="s">
        <v>620</v>
      </c>
      <c r="F250" t="s">
        <v>761</v>
      </c>
      <c r="G250" t="s">
        <v>831</v>
      </c>
      <c r="H250" t="s">
        <v>623</v>
      </c>
      <c r="I250" t="s">
        <v>624</v>
      </c>
      <c r="J250" t="s">
        <v>1420</v>
      </c>
      <c r="K250" s="2" t="s">
        <v>664</v>
      </c>
      <c r="L250" s="2" t="s">
        <v>642</v>
      </c>
      <c r="M250" s="2" t="s">
        <v>664</v>
      </c>
      <c r="N250" s="2" t="s">
        <v>833</v>
      </c>
      <c r="O250" t="s">
        <v>630</v>
      </c>
      <c r="P250" t="s">
        <v>834</v>
      </c>
      <c r="Q250" t="s">
        <v>632</v>
      </c>
      <c r="R250" t="s">
        <v>630</v>
      </c>
      <c r="S250" t="s">
        <v>630</v>
      </c>
      <c r="T250" t="s">
        <v>620</v>
      </c>
      <c r="U250" t="s">
        <v>620</v>
      </c>
      <c r="V250" s="3" t="str">
        <f>IF(AND(data[[#This Row],[status]]="OK",data[[#This Row],[approach]]="evoavalla"),data[[#This Row],[asm_path]],"")</f>
        <v>../../../asm_examples/stereoacuity/certifierRaff5.asm</v>
      </c>
      <c r="W250" s="3" t="str">
        <f>IF(AND(data[[#This Row],[status]]="OK",data[[#This Row],[approach]]="atgt"),data[[#This Row],[asm_path]],"")</f>
        <v/>
      </c>
      <c r="X250" s="3" t="b">
        <f>COUNTIF(W:W,data[[#This Row],[path_ok_status_evoavalla]]) = 1</f>
        <v>1</v>
      </c>
    </row>
    <row r="251" spans="1:24" x14ac:dyDescent="0.25">
      <c r="A251" t="s">
        <v>1421</v>
      </c>
      <c r="B251" t="s">
        <v>1422</v>
      </c>
      <c r="C251" t="s">
        <v>636</v>
      </c>
      <c r="D251" t="s">
        <v>628</v>
      </c>
      <c r="E251" t="s">
        <v>620</v>
      </c>
      <c r="F251" t="s">
        <v>636</v>
      </c>
      <c r="G251" t="s">
        <v>621</v>
      </c>
      <c r="H251" t="s">
        <v>623</v>
      </c>
      <c r="I251" t="s">
        <v>638</v>
      </c>
      <c r="J251" t="s">
        <v>632</v>
      </c>
      <c r="K251" s="2" t="s">
        <v>620</v>
      </c>
      <c r="L251" s="2" t="s">
        <v>620</v>
      </c>
      <c r="M251" s="2" t="s">
        <v>620</v>
      </c>
      <c r="N251" s="2" t="s">
        <v>620</v>
      </c>
      <c r="O251" t="s">
        <v>639</v>
      </c>
      <c r="P251" t="s">
        <v>639</v>
      </c>
      <c r="Q251" t="s">
        <v>639</v>
      </c>
      <c r="R251" t="s">
        <v>639</v>
      </c>
      <c r="S251" t="s">
        <v>639</v>
      </c>
      <c r="T251" t="s">
        <v>620</v>
      </c>
      <c r="U251" t="s">
        <v>620</v>
      </c>
      <c r="V251" s="3" t="str">
        <f>IF(AND(data[[#This Row],[status]]="OK",data[[#This Row],[approach]]="evoavalla"),data[[#This Row],[asm_path]],"")</f>
        <v/>
      </c>
      <c r="W251" s="3" t="str">
        <f>IF(AND(data[[#This Row],[status]]="OK",data[[#This Row],[approach]]="atgt"),data[[#This Row],[asm_path]],"")</f>
        <v/>
      </c>
      <c r="X251" s="3" t="b">
        <f>COUNTIF(W:W,data[[#This Row],[path_ok_status_evoavalla]]) = 1</f>
        <v>0</v>
      </c>
    </row>
    <row r="252" spans="1:24" x14ac:dyDescent="0.25">
      <c r="A252" t="s">
        <v>1423</v>
      </c>
      <c r="B252" t="s">
        <v>1424</v>
      </c>
      <c r="C252" t="s">
        <v>664</v>
      </c>
      <c r="D252" t="s">
        <v>980</v>
      </c>
      <c r="E252" t="s">
        <v>620</v>
      </c>
      <c r="F252" t="s">
        <v>637</v>
      </c>
      <c r="G252" t="s">
        <v>837</v>
      </c>
      <c r="H252" t="s">
        <v>623</v>
      </c>
      <c r="I252" t="s">
        <v>624</v>
      </c>
      <c r="J252" t="s">
        <v>1425</v>
      </c>
      <c r="K252" s="2" t="s">
        <v>682</v>
      </c>
      <c r="L252" s="2" t="s">
        <v>628</v>
      </c>
      <c r="M252" s="2" t="s">
        <v>683</v>
      </c>
      <c r="N252" s="2" t="s">
        <v>1426</v>
      </c>
      <c r="O252" t="s">
        <v>630</v>
      </c>
      <c r="P252" t="s">
        <v>1427</v>
      </c>
      <c r="Q252" t="s">
        <v>632</v>
      </c>
      <c r="R252" t="s">
        <v>1428</v>
      </c>
      <c r="S252" t="s">
        <v>1429</v>
      </c>
      <c r="T252" t="s">
        <v>620</v>
      </c>
      <c r="U252" t="s">
        <v>636</v>
      </c>
      <c r="V252" s="3" t="str">
        <f>IF(AND(data[[#This Row],[status]]="OK",data[[#This Row],[approach]]="evoavalla"),data[[#This Row],[asm_path]],"")</f>
        <v>../../../asm_examples/examples/landingGearSystem/LGS_3L.asm</v>
      </c>
      <c r="W252" s="3" t="str">
        <f>IF(AND(data[[#This Row],[status]]="OK",data[[#This Row],[approach]]="atgt"),data[[#This Row],[asm_path]],"")</f>
        <v/>
      </c>
      <c r="X252" s="3" t="b">
        <f>COUNTIF(W:W,data[[#This Row],[path_ok_status_evoavalla]]) = 1</f>
        <v>0</v>
      </c>
    </row>
    <row r="253" spans="1:24" x14ac:dyDescent="0.25">
      <c r="A253" t="s">
        <v>1430</v>
      </c>
      <c r="B253" t="s">
        <v>1431</v>
      </c>
      <c r="C253" t="s">
        <v>682</v>
      </c>
      <c r="D253" t="s">
        <v>664</v>
      </c>
      <c r="E253" t="s">
        <v>636</v>
      </c>
      <c r="F253" t="s">
        <v>682</v>
      </c>
      <c r="G253" t="s">
        <v>621</v>
      </c>
      <c r="H253" t="s">
        <v>623</v>
      </c>
      <c r="I253" t="s">
        <v>638</v>
      </c>
      <c r="J253" t="s">
        <v>632</v>
      </c>
      <c r="K253" s="2" t="s">
        <v>620</v>
      </c>
      <c r="L253" s="2" t="s">
        <v>620</v>
      </c>
      <c r="M253" s="2" t="s">
        <v>620</v>
      </c>
      <c r="N253" s="2" t="s">
        <v>620</v>
      </c>
      <c r="O253" t="s">
        <v>639</v>
      </c>
      <c r="P253" t="s">
        <v>639</v>
      </c>
      <c r="Q253" t="s">
        <v>639</v>
      </c>
      <c r="R253" t="s">
        <v>639</v>
      </c>
      <c r="S253" t="s">
        <v>639</v>
      </c>
      <c r="T253" t="s">
        <v>620</v>
      </c>
      <c r="U253" t="s">
        <v>620</v>
      </c>
      <c r="V253" s="3" t="str">
        <f>IF(AND(data[[#This Row],[status]]="OK",data[[#This Row],[approach]]="evoavalla"),data[[#This Row],[asm_path]],"")</f>
        <v/>
      </c>
      <c r="W253" s="3" t="str">
        <f>IF(AND(data[[#This Row],[status]]="OK",data[[#This Row],[approach]]="atgt"),data[[#This Row],[asm_path]],"")</f>
        <v/>
      </c>
      <c r="X253" s="3" t="b">
        <f>COUNTIF(W:W,data[[#This Row],[path_ok_status_evoavalla]]) = 1</f>
        <v>0</v>
      </c>
    </row>
    <row r="254" spans="1:24" x14ac:dyDescent="0.25">
      <c r="A254" t="s">
        <v>1432</v>
      </c>
      <c r="B254" t="s">
        <v>1433</v>
      </c>
      <c r="C254" t="s">
        <v>635</v>
      </c>
      <c r="D254" t="s">
        <v>626</v>
      </c>
      <c r="E254" t="s">
        <v>620</v>
      </c>
      <c r="F254" t="s">
        <v>628</v>
      </c>
      <c r="G254" t="s">
        <v>618</v>
      </c>
      <c r="H254" t="s">
        <v>623</v>
      </c>
      <c r="I254" t="s">
        <v>638</v>
      </c>
      <c r="J254" t="s">
        <v>632</v>
      </c>
      <c r="K254" s="2" t="s">
        <v>620</v>
      </c>
      <c r="L254" s="2" t="s">
        <v>620</v>
      </c>
      <c r="M254" s="2" t="s">
        <v>620</v>
      </c>
      <c r="N254" s="2" t="s">
        <v>620</v>
      </c>
      <c r="O254" t="s">
        <v>639</v>
      </c>
      <c r="P254" t="s">
        <v>639</v>
      </c>
      <c r="Q254" t="s">
        <v>639</v>
      </c>
      <c r="R254" t="s">
        <v>639</v>
      </c>
      <c r="S254" t="s">
        <v>639</v>
      </c>
      <c r="T254" t="s">
        <v>620</v>
      </c>
      <c r="U254" t="s">
        <v>620</v>
      </c>
      <c r="V254" s="3" t="str">
        <f>IF(AND(data[[#This Row],[status]]="OK",data[[#This Row],[approach]]="evoavalla"),data[[#This Row],[asm_path]],"")</f>
        <v/>
      </c>
      <c r="W254" s="3" t="str">
        <f>IF(AND(data[[#This Row],[status]]="OK",data[[#This Row],[approach]]="atgt"),data[[#This Row],[asm_path]],"")</f>
        <v/>
      </c>
      <c r="X254" s="3" t="b">
        <f>COUNTIF(W:W,data[[#This Row],[path_ok_status_evoavalla]]) = 1</f>
        <v>0</v>
      </c>
    </row>
    <row r="255" spans="1:24" x14ac:dyDescent="0.25">
      <c r="A255" t="s">
        <v>1434</v>
      </c>
      <c r="B255" t="s">
        <v>1435</v>
      </c>
      <c r="C255" t="s">
        <v>716</v>
      </c>
      <c r="D255" t="s">
        <v>627</v>
      </c>
      <c r="E255" t="s">
        <v>636</v>
      </c>
      <c r="F255" t="s">
        <v>716</v>
      </c>
      <c r="G255" t="s">
        <v>918</v>
      </c>
      <c r="H255" t="s">
        <v>623</v>
      </c>
      <c r="I255" t="s">
        <v>638</v>
      </c>
      <c r="J255" t="s">
        <v>632</v>
      </c>
      <c r="K255" s="2" t="s">
        <v>620</v>
      </c>
      <c r="L255" s="2" t="s">
        <v>620</v>
      </c>
      <c r="M255" s="2" t="s">
        <v>620</v>
      </c>
      <c r="N255" s="2" t="s">
        <v>620</v>
      </c>
      <c r="O255" t="s">
        <v>639</v>
      </c>
      <c r="P255" t="s">
        <v>639</v>
      </c>
      <c r="Q255" t="s">
        <v>639</v>
      </c>
      <c r="R255" t="s">
        <v>639</v>
      </c>
      <c r="S255" t="s">
        <v>639</v>
      </c>
      <c r="T255" t="s">
        <v>620</v>
      </c>
      <c r="U255" t="s">
        <v>620</v>
      </c>
      <c r="V255" s="3" t="str">
        <f>IF(AND(data[[#This Row],[status]]="OK",data[[#This Row],[approach]]="evoavalla"),data[[#This Row],[asm_path]],"")</f>
        <v/>
      </c>
      <c r="W255" s="3" t="str">
        <f>IF(AND(data[[#This Row],[status]]="OK",data[[#This Row],[approach]]="atgt"),data[[#This Row],[asm_path]],"")</f>
        <v/>
      </c>
      <c r="X255" s="3" t="b">
        <f>COUNTIF(W:W,data[[#This Row],[path_ok_status_evoavalla]]) = 1</f>
        <v>0</v>
      </c>
    </row>
    <row r="256" spans="1:24" x14ac:dyDescent="0.25">
      <c r="A256" t="s">
        <v>1436</v>
      </c>
      <c r="B256" t="s">
        <v>1437</v>
      </c>
      <c r="C256" t="s">
        <v>635</v>
      </c>
      <c r="D256" t="s">
        <v>628</v>
      </c>
      <c r="E256" t="s">
        <v>620</v>
      </c>
      <c r="F256" t="s">
        <v>682</v>
      </c>
      <c r="G256" t="s">
        <v>710</v>
      </c>
      <c r="H256" t="s">
        <v>623</v>
      </c>
      <c r="I256" t="s">
        <v>624</v>
      </c>
      <c r="J256" t="s">
        <v>1438</v>
      </c>
      <c r="K256" s="2" t="s">
        <v>635</v>
      </c>
      <c r="L256" s="2" t="s">
        <v>635</v>
      </c>
      <c r="M256" s="2" t="s">
        <v>635</v>
      </c>
      <c r="N256" s="2" t="s">
        <v>620</v>
      </c>
      <c r="O256" t="s">
        <v>630</v>
      </c>
      <c r="P256" t="s">
        <v>630</v>
      </c>
      <c r="Q256" t="s">
        <v>632</v>
      </c>
      <c r="R256" t="s">
        <v>863</v>
      </c>
      <c r="S256" t="s">
        <v>630</v>
      </c>
      <c r="T256" t="s">
        <v>620</v>
      </c>
      <c r="U256" t="s">
        <v>620</v>
      </c>
      <c r="V256" s="3" t="str">
        <f>IF(AND(data[[#This Row],[status]]="OK",data[[#This Row],[approach]]="evoavalla"),data[[#This Row],[asm_path]],"")</f>
        <v>../../../asm_examples/examples/simple_example/fattoriale.asm</v>
      </c>
      <c r="W256" s="3" t="str">
        <f>IF(AND(data[[#This Row],[status]]="OK",data[[#This Row],[approach]]="atgt"),data[[#This Row],[asm_path]],"")</f>
        <v/>
      </c>
      <c r="X256" s="3" t="b">
        <f>COUNTIF(W:W,data[[#This Row],[path_ok_status_evoavalla]]) = 1</f>
        <v>0</v>
      </c>
    </row>
    <row r="257" spans="1:24" x14ac:dyDescent="0.25">
      <c r="A257" t="s">
        <v>1439</v>
      </c>
      <c r="B257" t="s">
        <v>1440</v>
      </c>
      <c r="C257" t="s">
        <v>675</v>
      </c>
      <c r="D257" t="s">
        <v>808</v>
      </c>
      <c r="E257" t="s">
        <v>620</v>
      </c>
      <c r="F257" t="s">
        <v>816</v>
      </c>
      <c r="G257" t="s">
        <v>1084</v>
      </c>
      <c r="H257" t="s">
        <v>623</v>
      </c>
      <c r="I257" t="s">
        <v>638</v>
      </c>
      <c r="J257" t="s">
        <v>632</v>
      </c>
      <c r="K257" s="2" t="s">
        <v>620</v>
      </c>
      <c r="L257" s="2" t="s">
        <v>620</v>
      </c>
      <c r="M257" s="2" t="s">
        <v>620</v>
      </c>
      <c r="N257" s="2" t="s">
        <v>620</v>
      </c>
      <c r="O257" t="s">
        <v>639</v>
      </c>
      <c r="P257" t="s">
        <v>639</v>
      </c>
      <c r="Q257" t="s">
        <v>639</v>
      </c>
      <c r="R257" t="s">
        <v>639</v>
      </c>
      <c r="S257" t="s">
        <v>639</v>
      </c>
      <c r="T257" t="s">
        <v>620</v>
      </c>
      <c r="U257" t="s">
        <v>620</v>
      </c>
      <c r="V257" s="3" t="str">
        <f>IF(AND(data[[#This Row],[status]]="OK",data[[#This Row],[approach]]="evoavalla"),data[[#This Row],[asm_path]],"")</f>
        <v/>
      </c>
      <c r="W257" s="3" t="str">
        <f>IF(AND(data[[#This Row],[status]]="OK",data[[#This Row],[approach]]="atgt"),data[[#This Row],[asm_path]],"")</f>
        <v/>
      </c>
      <c r="X257" s="3" t="b">
        <f>COUNTIF(W:W,data[[#This Row],[path_ok_status_evoavalla]]) = 1</f>
        <v>0</v>
      </c>
    </row>
    <row r="258" spans="1:24" x14ac:dyDescent="0.25">
      <c r="A258" t="s">
        <v>1441</v>
      </c>
      <c r="B258" t="s">
        <v>1442</v>
      </c>
      <c r="C258" t="s">
        <v>626</v>
      </c>
      <c r="D258" t="s">
        <v>635</v>
      </c>
      <c r="E258" t="s">
        <v>620</v>
      </c>
      <c r="F258" t="s">
        <v>682</v>
      </c>
      <c r="G258" t="s">
        <v>761</v>
      </c>
      <c r="H258" t="s">
        <v>623</v>
      </c>
      <c r="I258" t="s">
        <v>624</v>
      </c>
      <c r="J258" t="s">
        <v>1443</v>
      </c>
      <c r="K258" s="2" t="s">
        <v>636</v>
      </c>
      <c r="L258" s="2" t="s">
        <v>682</v>
      </c>
      <c r="M258" s="2" t="s">
        <v>620</v>
      </c>
      <c r="N258" s="2" t="s">
        <v>664</v>
      </c>
      <c r="O258" t="s">
        <v>630</v>
      </c>
      <c r="P258" t="s">
        <v>630</v>
      </c>
      <c r="Q258" t="s">
        <v>632</v>
      </c>
      <c r="R258" t="s">
        <v>630</v>
      </c>
      <c r="S258" t="s">
        <v>630</v>
      </c>
      <c r="T258" t="s">
        <v>620</v>
      </c>
      <c r="U258" t="s">
        <v>620</v>
      </c>
      <c r="V258" s="3" t="str">
        <f>IF(AND(data[[#This Row],[status]]="OK",data[[#This Row],[approach]]="evoavalla"),data[[#This Row],[asm_path]],"")</f>
        <v>../../../asm_examples/examples/hemodialysisDevice/ABZ2016/Hemodialysis_GM.asm</v>
      </c>
      <c r="W258" s="3" t="str">
        <f>IF(AND(data[[#This Row],[status]]="OK",data[[#This Row],[approach]]="atgt"),data[[#This Row],[asm_path]],"")</f>
        <v/>
      </c>
      <c r="X258" s="3" t="b">
        <f>COUNTIF(W:W,data[[#This Row],[path_ok_status_evoavalla]]) = 1</f>
        <v>1</v>
      </c>
    </row>
    <row r="259" spans="1:24" x14ac:dyDescent="0.25">
      <c r="A259" t="s">
        <v>1444</v>
      </c>
      <c r="B259" t="s">
        <v>1445</v>
      </c>
      <c r="C259" t="s">
        <v>636</v>
      </c>
      <c r="D259" t="s">
        <v>620</v>
      </c>
      <c r="E259" t="s">
        <v>620</v>
      </c>
      <c r="F259" t="s">
        <v>620</v>
      </c>
      <c r="G259" t="s">
        <v>636</v>
      </c>
      <c r="H259" t="s">
        <v>623</v>
      </c>
      <c r="I259" t="s">
        <v>624</v>
      </c>
      <c r="J259" t="s">
        <v>1446</v>
      </c>
      <c r="K259" s="2" t="s">
        <v>636</v>
      </c>
      <c r="L259" s="2" t="s">
        <v>636</v>
      </c>
      <c r="M259" s="2" t="s">
        <v>620</v>
      </c>
      <c r="N259" s="2" t="s">
        <v>620</v>
      </c>
      <c r="O259" t="s">
        <v>630</v>
      </c>
      <c r="P259" t="s">
        <v>632</v>
      </c>
      <c r="Q259" t="s">
        <v>632</v>
      </c>
      <c r="R259" t="s">
        <v>632</v>
      </c>
      <c r="S259" t="s">
        <v>630</v>
      </c>
      <c r="T259" t="s">
        <v>620</v>
      </c>
      <c r="U259" t="s">
        <v>620</v>
      </c>
      <c r="V259" s="3" t="str">
        <f>IF(AND(data[[#This Row],[status]]="OK",data[[#This Row],[approach]]="evoavalla"),data[[#This Row],[asm_path]],"")</f>
        <v>../../../asm_examples/examples/trafficLightCoSim/emptyModel.asm</v>
      </c>
      <c r="W259" s="3" t="str">
        <f>IF(AND(data[[#This Row],[status]]="OK",data[[#This Row],[approach]]="atgt"),data[[#This Row],[asm_path]],"")</f>
        <v/>
      </c>
      <c r="X259" s="3" t="b">
        <f>COUNTIF(W:W,data[[#This Row],[path_ok_status_evoavalla]]) = 1</f>
        <v>0</v>
      </c>
    </row>
    <row r="260" spans="1:24" x14ac:dyDescent="0.25">
      <c r="A260" t="s">
        <v>1447</v>
      </c>
      <c r="B260" t="s">
        <v>1448</v>
      </c>
      <c r="C260" t="s">
        <v>635</v>
      </c>
      <c r="D260" t="s">
        <v>635</v>
      </c>
      <c r="E260" t="s">
        <v>636</v>
      </c>
      <c r="F260" t="s">
        <v>626</v>
      </c>
      <c r="G260" t="s">
        <v>637</v>
      </c>
      <c r="H260" t="s">
        <v>623</v>
      </c>
      <c r="I260" t="s">
        <v>638</v>
      </c>
      <c r="J260" t="s">
        <v>632</v>
      </c>
      <c r="K260" s="2" t="s">
        <v>620</v>
      </c>
      <c r="L260" s="2" t="s">
        <v>620</v>
      </c>
      <c r="M260" s="2" t="s">
        <v>620</v>
      </c>
      <c r="N260" s="2" t="s">
        <v>620</v>
      </c>
      <c r="O260" t="s">
        <v>639</v>
      </c>
      <c r="P260" t="s">
        <v>639</v>
      </c>
      <c r="Q260" t="s">
        <v>639</v>
      </c>
      <c r="R260" t="s">
        <v>639</v>
      </c>
      <c r="S260" t="s">
        <v>639</v>
      </c>
      <c r="T260" t="s">
        <v>620</v>
      </c>
      <c r="U260" t="s">
        <v>620</v>
      </c>
      <c r="V260" s="3" t="str">
        <f>IF(AND(data[[#This Row],[status]]="OK",data[[#This Row],[approach]]="evoavalla"),data[[#This Row],[asm_path]],"")</f>
        <v/>
      </c>
      <c r="W260" s="3" t="str">
        <f>IF(AND(data[[#This Row],[status]]="OK",data[[#This Row],[approach]]="atgt"),data[[#This Row],[asm_path]],"")</f>
        <v/>
      </c>
      <c r="X260" s="3" t="b">
        <f>COUNTIF(W:W,data[[#This Row],[path_ok_status_evoavalla]]) = 1</f>
        <v>0</v>
      </c>
    </row>
    <row r="261" spans="1:24" x14ac:dyDescent="0.25">
      <c r="A261" t="s">
        <v>1449</v>
      </c>
      <c r="B261" t="s">
        <v>1450</v>
      </c>
      <c r="C261" t="s">
        <v>636</v>
      </c>
      <c r="D261" t="s">
        <v>635</v>
      </c>
      <c r="E261" t="s">
        <v>620</v>
      </c>
      <c r="F261" t="s">
        <v>635</v>
      </c>
      <c r="G261" t="s">
        <v>664</v>
      </c>
      <c r="H261" t="s">
        <v>623</v>
      </c>
      <c r="I261" t="s">
        <v>624</v>
      </c>
      <c r="J261" t="s">
        <v>1451</v>
      </c>
      <c r="K261" s="2" t="s">
        <v>635</v>
      </c>
      <c r="L261" s="2" t="s">
        <v>682</v>
      </c>
      <c r="M261" s="2" t="s">
        <v>664</v>
      </c>
      <c r="N261" s="2" t="s">
        <v>620</v>
      </c>
      <c r="O261" t="s">
        <v>630</v>
      </c>
      <c r="P261" t="s">
        <v>630</v>
      </c>
      <c r="Q261" t="s">
        <v>632</v>
      </c>
      <c r="R261" t="s">
        <v>630</v>
      </c>
      <c r="S261" t="s">
        <v>630</v>
      </c>
      <c r="T261" t="s">
        <v>620</v>
      </c>
      <c r="U261" t="s">
        <v>620</v>
      </c>
      <c r="V261" s="3" t="str">
        <f>IF(AND(data[[#This Row],[status]]="OK",data[[#This Row],[approach]]="evoavalla"),data[[#This Row],[asm_path]],"")</f>
        <v>../../../asm_examples/examples/parkingSimple.asm</v>
      </c>
      <c r="W261" s="3" t="str">
        <f>IF(AND(data[[#This Row],[status]]="OK",data[[#This Row],[approach]]="atgt"),data[[#This Row],[asm_path]],"")</f>
        <v/>
      </c>
      <c r="X261" s="3" t="b">
        <f>COUNTIF(W:W,data[[#This Row],[path_ok_status_evoavalla]]) = 1</f>
        <v>1</v>
      </c>
    </row>
    <row r="262" spans="1:24" x14ac:dyDescent="0.25">
      <c r="A262" t="s">
        <v>1452</v>
      </c>
      <c r="B262" t="s">
        <v>1448</v>
      </c>
      <c r="C262" t="s">
        <v>635</v>
      </c>
      <c r="D262" t="s">
        <v>635</v>
      </c>
      <c r="E262" t="s">
        <v>636</v>
      </c>
      <c r="F262" t="s">
        <v>626</v>
      </c>
      <c r="G262" t="s">
        <v>637</v>
      </c>
      <c r="H262" t="s">
        <v>623</v>
      </c>
      <c r="I262" t="s">
        <v>638</v>
      </c>
      <c r="J262" t="s">
        <v>632</v>
      </c>
      <c r="K262" s="2" t="s">
        <v>620</v>
      </c>
      <c r="L262" s="2" t="s">
        <v>620</v>
      </c>
      <c r="M262" s="2" t="s">
        <v>620</v>
      </c>
      <c r="N262" s="2" t="s">
        <v>620</v>
      </c>
      <c r="O262" t="s">
        <v>639</v>
      </c>
      <c r="P262" t="s">
        <v>639</v>
      </c>
      <c r="Q262" t="s">
        <v>639</v>
      </c>
      <c r="R262" t="s">
        <v>639</v>
      </c>
      <c r="S262" t="s">
        <v>639</v>
      </c>
      <c r="T262" t="s">
        <v>620</v>
      </c>
      <c r="U262" t="s">
        <v>620</v>
      </c>
      <c r="V262" s="3" t="str">
        <f>IF(AND(data[[#This Row],[status]]="OK",data[[#This Row],[approach]]="evoavalla"),data[[#This Row],[asm_path]],"")</f>
        <v/>
      </c>
      <c r="W262" s="3" t="str">
        <f>IF(AND(data[[#This Row],[status]]="OK",data[[#This Row],[approach]]="atgt"),data[[#This Row],[asm_path]],"")</f>
        <v/>
      </c>
      <c r="X262" s="3" t="b">
        <f>COUNTIF(W:W,data[[#This Row],[path_ok_status_evoavalla]]) = 1</f>
        <v>0</v>
      </c>
    </row>
    <row r="263" spans="1:24" x14ac:dyDescent="0.25">
      <c r="A263" t="s">
        <v>1453</v>
      </c>
      <c r="B263" t="s">
        <v>1267</v>
      </c>
      <c r="C263" t="s">
        <v>635</v>
      </c>
      <c r="D263" t="s">
        <v>635</v>
      </c>
      <c r="E263" t="s">
        <v>636</v>
      </c>
      <c r="F263" t="s">
        <v>626</v>
      </c>
      <c r="G263" t="s">
        <v>761</v>
      </c>
      <c r="H263" t="s">
        <v>623</v>
      </c>
      <c r="I263" t="s">
        <v>638</v>
      </c>
      <c r="J263" t="s">
        <v>632</v>
      </c>
      <c r="K263" s="2" t="s">
        <v>620</v>
      </c>
      <c r="L263" s="2" t="s">
        <v>620</v>
      </c>
      <c r="M263" s="2" t="s">
        <v>620</v>
      </c>
      <c r="N263" s="2" t="s">
        <v>620</v>
      </c>
      <c r="O263" t="s">
        <v>639</v>
      </c>
      <c r="P263" t="s">
        <v>639</v>
      </c>
      <c r="Q263" t="s">
        <v>639</v>
      </c>
      <c r="R263" t="s">
        <v>639</v>
      </c>
      <c r="S263" t="s">
        <v>639</v>
      </c>
      <c r="T263" t="s">
        <v>620</v>
      </c>
      <c r="U263" t="s">
        <v>620</v>
      </c>
      <c r="V263" s="3" t="str">
        <f>IF(AND(data[[#This Row],[status]]="OK",data[[#This Row],[approach]]="evoavalla"),data[[#This Row],[asm_path]],"")</f>
        <v/>
      </c>
      <c r="W263" s="3" t="str">
        <f>IF(AND(data[[#This Row],[status]]="OK",data[[#This Row],[approach]]="atgt"),data[[#This Row],[asm_path]],"")</f>
        <v/>
      </c>
      <c r="X263" s="3" t="b">
        <f>COUNTIF(W:W,data[[#This Row],[path_ok_status_evoavalla]]) = 1</f>
        <v>0</v>
      </c>
    </row>
    <row r="264" spans="1:24" x14ac:dyDescent="0.25">
      <c r="A264" t="s">
        <v>1454</v>
      </c>
      <c r="B264" t="s">
        <v>1455</v>
      </c>
      <c r="C264" t="s">
        <v>682</v>
      </c>
      <c r="D264" t="s">
        <v>635</v>
      </c>
      <c r="E264" t="s">
        <v>620</v>
      </c>
      <c r="F264" t="s">
        <v>664</v>
      </c>
      <c r="G264" t="s">
        <v>637</v>
      </c>
      <c r="H264" t="s">
        <v>623</v>
      </c>
      <c r="I264" t="s">
        <v>624</v>
      </c>
      <c r="J264" t="s">
        <v>1129</v>
      </c>
      <c r="K264" s="2" t="s">
        <v>635</v>
      </c>
      <c r="L264" s="2" t="s">
        <v>682</v>
      </c>
      <c r="M264" s="2" t="s">
        <v>635</v>
      </c>
      <c r="N264" s="2" t="s">
        <v>626</v>
      </c>
      <c r="O264" t="s">
        <v>630</v>
      </c>
      <c r="P264" t="s">
        <v>630</v>
      </c>
      <c r="Q264" t="s">
        <v>632</v>
      </c>
      <c r="R264" t="s">
        <v>888</v>
      </c>
      <c r="S264" t="s">
        <v>630</v>
      </c>
      <c r="T264" t="s">
        <v>620</v>
      </c>
      <c r="U264" t="s">
        <v>620</v>
      </c>
      <c r="V264" s="3" t="str">
        <f>IF(AND(data[[#This Row],[status]]="OK",data[[#This Row],[approach]]="evoavalla"),data[[#This Row],[asm_path]],"")</f>
        <v>../../../asm_examples/unibgstudents/Prova.asm</v>
      </c>
      <c r="W264" s="3" t="str">
        <f>IF(AND(data[[#This Row],[status]]="OK",data[[#This Row],[approach]]="atgt"),data[[#This Row],[asm_path]],"")</f>
        <v/>
      </c>
      <c r="X264" s="3" t="b">
        <f>COUNTIF(W:W,data[[#This Row],[path_ok_status_evoavalla]]) = 1</f>
        <v>1</v>
      </c>
    </row>
    <row r="265" spans="1:24" x14ac:dyDescent="0.25">
      <c r="A265" t="s">
        <v>1456</v>
      </c>
      <c r="B265" t="s">
        <v>1457</v>
      </c>
      <c r="C265" t="s">
        <v>635</v>
      </c>
      <c r="D265" t="s">
        <v>635</v>
      </c>
      <c r="E265" t="s">
        <v>635</v>
      </c>
      <c r="F265" t="s">
        <v>682</v>
      </c>
      <c r="G265" t="s">
        <v>683</v>
      </c>
      <c r="H265" t="s">
        <v>623</v>
      </c>
      <c r="I265" t="s">
        <v>638</v>
      </c>
      <c r="J265" t="s">
        <v>632</v>
      </c>
      <c r="K265" s="2" t="s">
        <v>620</v>
      </c>
      <c r="L265" s="2" t="s">
        <v>620</v>
      </c>
      <c r="M265" s="2" t="s">
        <v>620</v>
      </c>
      <c r="N265" s="2" t="s">
        <v>620</v>
      </c>
      <c r="O265" t="s">
        <v>639</v>
      </c>
      <c r="P265" t="s">
        <v>639</v>
      </c>
      <c r="Q265" t="s">
        <v>639</v>
      </c>
      <c r="R265" t="s">
        <v>639</v>
      </c>
      <c r="S265" t="s">
        <v>639</v>
      </c>
      <c r="T265" t="s">
        <v>620</v>
      </c>
      <c r="U265" t="s">
        <v>620</v>
      </c>
      <c r="V265" s="3" t="str">
        <f>IF(AND(data[[#This Row],[status]]="OK",data[[#This Row],[approach]]="evoavalla"),data[[#This Row],[asm_path]],"")</f>
        <v/>
      </c>
      <c r="W265" s="3" t="str">
        <f>IF(AND(data[[#This Row],[status]]="OK",data[[#This Row],[approach]]="atgt"),data[[#This Row],[asm_path]],"")</f>
        <v/>
      </c>
      <c r="X265" s="3" t="b">
        <f>COUNTIF(W:W,data[[#This Row],[path_ok_status_evoavalla]]) = 1</f>
        <v>0</v>
      </c>
    </row>
    <row r="266" spans="1:24" x14ac:dyDescent="0.25">
      <c r="A266" t="s">
        <v>1458</v>
      </c>
      <c r="B266" t="s">
        <v>1459</v>
      </c>
      <c r="C266" t="s">
        <v>636</v>
      </c>
      <c r="D266" t="s">
        <v>664</v>
      </c>
      <c r="E266" t="s">
        <v>620</v>
      </c>
      <c r="F266" t="s">
        <v>635</v>
      </c>
      <c r="G266" t="s">
        <v>683</v>
      </c>
      <c r="H266" t="s">
        <v>623</v>
      </c>
      <c r="I266" t="s">
        <v>624</v>
      </c>
      <c r="J266" t="s">
        <v>1460</v>
      </c>
      <c r="K266" s="2" t="s">
        <v>636</v>
      </c>
      <c r="L266" s="2" t="s">
        <v>636</v>
      </c>
      <c r="M266" s="2" t="s">
        <v>636</v>
      </c>
      <c r="N266" s="2" t="s">
        <v>626</v>
      </c>
      <c r="O266" t="s">
        <v>630</v>
      </c>
      <c r="P266" t="s">
        <v>834</v>
      </c>
      <c r="Q266" t="s">
        <v>632</v>
      </c>
      <c r="R266" t="s">
        <v>630</v>
      </c>
      <c r="S266" t="s">
        <v>630</v>
      </c>
      <c r="T266" t="s">
        <v>635</v>
      </c>
      <c r="U266" t="s">
        <v>620</v>
      </c>
      <c r="V266" s="3" t="str">
        <f>IF(AND(data[[#This Row],[status]]="OK",data[[#This Row],[approach]]="evoavalla"),data[[#This Row],[asm_path]],"")</f>
        <v>../../../asm_examples/examples/railRoadGate/railroadGate.asm</v>
      </c>
      <c r="W266" s="3" t="str">
        <f>IF(AND(data[[#This Row],[status]]="OK",data[[#This Row],[approach]]="atgt"),data[[#This Row],[asm_path]],"")</f>
        <v/>
      </c>
      <c r="X266" s="3" t="b">
        <f>COUNTIF(W:W,data[[#This Row],[path_ok_status_evoavalla]]) = 1</f>
        <v>0</v>
      </c>
    </row>
    <row r="267" spans="1:24" x14ac:dyDescent="0.25">
      <c r="A267" t="s">
        <v>1461</v>
      </c>
      <c r="B267" t="s">
        <v>1462</v>
      </c>
      <c r="C267" t="s">
        <v>635</v>
      </c>
      <c r="D267" t="s">
        <v>682</v>
      </c>
      <c r="E267" t="s">
        <v>620</v>
      </c>
      <c r="F267" t="s">
        <v>635</v>
      </c>
      <c r="G267" t="s">
        <v>716</v>
      </c>
      <c r="H267" t="s">
        <v>623</v>
      </c>
      <c r="I267" t="s">
        <v>624</v>
      </c>
      <c r="J267" t="s">
        <v>1463</v>
      </c>
      <c r="K267" s="2" t="s">
        <v>636</v>
      </c>
      <c r="L267" s="2" t="s">
        <v>636</v>
      </c>
      <c r="M267" s="2" t="s">
        <v>620</v>
      </c>
      <c r="N267" s="2" t="s">
        <v>620</v>
      </c>
      <c r="O267" t="s">
        <v>993</v>
      </c>
      <c r="P267" t="s">
        <v>1130</v>
      </c>
      <c r="Q267" t="s">
        <v>632</v>
      </c>
      <c r="R267" t="s">
        <v>897</v>
      </c>
      <c r="S267" t="s">
        <v>1167</v>
      </c>
      <c r="T267" t="s">
        <v>620</v>
      </c>
      <c r="U267" t="s">
        <v>620</v>
      </c>
      <c r="V267" s="3" t="str">
        <f>IF(AND(data[[#This Row],[status]]="OK",data[[#This Row],[approach]]="evoavalla"),data[[#This Row],[asm_path]],"")</f>
        <v>../../../asm_examples/examples/simple_example/AdvancedClock.asm</v>
      </c>
      <c r="W267" s="3" t="str">
        <f>IF(AND(data[[#This Row],[status]]="OK",data[[#This Row],[approach]]="atgt"),data[[#This Row],[asm_path]],"")</f>
        <v/>
      </c>
      <c r="X267" s="3" t="b">
        <f>COUNTIF(W:W,data[[#This Row],[path_ok_status_evoavalla]]) = 1</f>
        <v>1</v>
      </c>
    </row>
    <row r="268" spans="1:24" x14ac:dyDescent="0.25">
      <c r="A268" t="s">
        <v>1464</v>
      </c>
      <c r="B268" t="s">
        <v>1465</v>
      </c>
      <c r="C268" t="s">
        <v>626</v>
      </c>
      <c r="D268" t="s">
        <v>716</v>
      </c>
      <c r="E268" t="s">
        <v>620</v>
      </c>
      <c r="F268" t="s">
        <v>664</v>
      </c>
      <c r="G268" t="s">
        <v>740</v>
      </c>
      <c r="H268" t="s">
        <v>623</v>
      </c>
      <c r="I268" t="s">
        <v>638</v>
      </c>
      <c r="J268" t="s">
        <v>632</v>
      </c>
      <c r="K268" s="2" t="s">
        <v>620</v>
      </c>
      <c r="L268" s="2" t="s">
        <v>620</v>
      </c>
      <c r="M268" s="2" t="s">
        <v>620</v>
      </c>
      <c r="N268" s="2" t="s">
        <v>620</v>
      </c>
      <c r="O268" t="s">
        <v>639</v>
      </c>
      <c r="P268" t="s">
        <v>639</v>
      </c>
      <c r="Q268" t="s">
        <v>639</v>
      </c>
      <c r="R268" t="s">
        <v>639</v>
      </c>
      <c r="S268" t="s">
        <v>639</v>
      </c>
      <c r="T268" t="s">
        <v>620</v>
      </c>
      <c r="U268" t="s">
        <v>620</v>
      </c>
      <c r="V268" s="3" t="str">
        <f>IF(AND(data[[#This Row],[status]]="OK",data[[#This Row],[approach]]="evoavalla"),data[[#This Row],[asm_path]],"")</f>
        <v/>
      </c>
      <c r="W268" s="3" t="str">
        <f>IF(AND(data[[#This Row],[status]]="OK",data[[#This Row],[approach]]="atgt"),data[[#This Row],[asm_path]],"")</f>
        <v/>
      </c>
      <c r="X268" s="3" t="b">
        <f>COUNTIF(W:W,data[[#This Row],[path_ok_status_evoavalla]]) = 1</f>
        <v>0</v>
      </c>
    </row>
    <row r="269" spans="1:24" x14ac:dyDescent="0.25">
      <c r="A269" t="s">
        <v>1466</v>
      </c>
      <c r="B269" t="s">
        <v>1467</v>
      </c>
      <c r="C269" t="s">
        <v>682</v>
      </c>
      <c r="D269" t="s">
        <v>683</v>
      </c>
      <c r="E269" t="s">
        <v>636</v>
      </c>
      <c r="F269" t="s">
        <v>716</v>
      </c>
      <c r="G269" t="s">
        <v>745</v>
      </c>
      <c r="H269" t="s">
        <v>623</v>
      </c>
      <c r="I269" t="s">
        <v>638</v>
      </c>
      <c r="J269" t="s">
        <v>632</v>
      </c>
      <c r="K269" s="2" t="s">
        <v>620</v>
      </c>
      <c r="L269" s="2" t="s">
        <v>620</v>
      </c>
      <c r="M269" s="2" t="s">
        <v>620</v>
      </c>
      <c r="N269" s="2" t="s">
        <v>620</v>
      </c>
      <c r="O269" t="s">
        <v>639</v>
      </c>
      <c r="P269" t="s">
        <v>639</v>
      </c>
      <c r="Q269" t="s">
        <v>639</v>
      </c>
      <c r="R269" t="s">
        <v>639</v>
      </c>
      <c r="S269" t="s">
        <v>639</v>
      </c>
      <c r="T269" t="s">
        <v>620</v>
      </c>
      <c r="U269" t="s">
        <v>620</v>
      </c>
      <c r="V269" s="3" t="str">
        <f>IF(AND(data[[#This Row],[status]]="OK",data[[#This Row],[approach]]="evoavalla"),data[[#This Row],[asm_path]],"")</f>
        <v/>
      </c>
      <c r="W269" s="3" t="str">
        <f>IF(AND(data[[#This Row],[status]]="OK",data[[#This Row],[approach]]="atgt"),data[[#This Row],[asm_path]],"")</f>
        <v/>
      </c>
      <c r="X269" s="3" t="b">
        <f>COUNTIF(W:W,data[[#This Row],[path_ok_status_evoavalla]]) = 1</f>
        <v>0</v>
      </c>
    </row>
    <row r="270" spans="1:24" x14ac:dyDescent="0.25">
      <c r="A270" t="s">
        <v>1468</v>
      </c>
      <c r="B270" t="s">
        <v>1469</v>
      </c>
      <c r="C270" t="s">
        <v>618</v>
      </c>
      <c r="D270" t="s">
        <v>941</v>
      </c>
      <c r="E270" t="s">
        <v>620</v>
      </c>
      <c r="F270" t="s">
        <v>941</v>
      </c>
      <c r="G270" t="s">
        <v>1470</v>
      </c>
      <c r="H270" t="s">
        <v>623</v>
      </c>
      <c r="I270" t="s">
        <v>624</v>
      </c>
      <c r="J270" t="s">
        <v>1471</v>
      </c>
      <c r="K270" s="2" t="s">
        <v>664</v>
      </c>
      <c r="L270" s="2" t="s">
        <v>618</v>
      </c>
      <c r="M270" s="2" t="s">
        <v>643</v>
      </c>
      <c r="N270" s="2" t="s">
        <v>817</v>
      </c>
      <c r="O270" t="s">
        <v>630</v>
      </c>
      <c r="P270" t="s">
        <v>1472</v>
      </c>
      <c r="Q270" t="s">
        <v>632</v>
      </c>
      <c r="R270" t="s">
        <v>1140</v>
      </c>
      <c r="S270" t="s">
        <v>630</v>
      </c>
      <c r="T270" t="s">
        <v>620</v>
      </c>
      <c r="U270" t="s">
        <v>620</v>
      </c>
      <c r="V270" s="3" t="str">
        <f>IF(AND(data[[#This Row],[status]]="OK",data[[#This Row],[approach]]="evoavalla"),data[[#This Row],[asm_path]],"")</f>
        <v>../../../asm_examples/examples/TrafficLightYakindu/TrafficLight2/TrafficLight_2.asm</v>
      </c>
      <c r="W270" s="3" t="str">
        <f>IF(AND(data[[#This Row],[status]]="OK",data[[#This Row],[approach]]="atgt"),data[[#This Row],[asm_path]],"")</f>
        <v/>
      </c>
      <c r="X270" s="3" t="b">
        <f>COUNTIF(W:W,data[[#This Row],[path_ok_status_evoavalla]]) = 1</f>
        <v>1</v>
      </c>
    </row>
    <row r="271" spans="1:24" x14ac:dyDescent="0.25">
      <c r="A271" t="s">
        <v>1473</v>
      </c>
      <c r="B271" t="s">
        <v>1474</v>
      </c>
      <c r="C271" t="s">
        <v>628</v>
      </c>
      <c r="D271" t="s">
        <v>1475</v>
      </c>
      <c r="E271" t="s">
        <v>620</v>
      </c>
      <c r="F271" t="s">
        <v>618</v>
      </c>
      <c r="G271" t="s">
        <v>1476</v>
      </c>
      <c r="H271" t="s">
        <v>623</v>
      </c>
      <c r="I271" t="s">
        <v>624</v>
      </c>
      <c r="J271" t="s">
        <v>1477</v>
      </c>
      <c r="K271" s="2" t="s">
        <v>736</v>
      </c>
      <c r="L271" s="2" t="s">
        <v>838</v>
      </c>
      <c r="M271" s="2" t="s">
        <v>838</v>
      </c>
      <c r="N271" s="2" t="s">
        <v>1478</v>
      </c>
      <c r="O271" t="s">
        <v>630</v>
      </c>
      <c r="P271" t="s">
        <v>1479</v>
      </c>
      <c r="Q271" t="s">
        <v>632</v>
      </c>
      <c r="R271" t="s">
        <v>1480</v>
      </c>
      <c r="S271" t="s">
        <v>1481</v>
      </c>
      <c r="T271" t="s">
        <v>620</v>
      </c>
      <c r="U271" t="s">
        <v>620</v>
      </c>
      <c r="V271" s="3" t="str">
        <f>IF(AND(data[[#This Row],[status]]="OK",data[[#This Row],[approach]]="evoavalla"),data[[#This Row],[asm_path]],"")</f>
        <v>../../../asm_examples/PHD/phd_master_flat2_v6.asm</v>
      </c>
      <c r="W271" s="3" t="str">
        <f>IF(AND(data[[#This Row],[status]]="OK",data[[#This Row],[approach]]="atgt"),data[[#This Row],[asm_path]],"")</f>
        <v/>
      </c>
      <c r="X271" s="3" t="b">
        <f>COUNTIF(W:W,data[[#This Row],[path_ok_status_evoavalla]]) = 1</f>
        <v>1</v>
      </c>
    </row>
    <row r="272" spans="1:24" x14ac:dyDescent="0.25">
      <c r="A272" t="s">
        <v>1482</v>
      </c>
      <c r="B272" t="s">
        <v>1483</v>
      </c>
      <c r="C272" t="s">
        <v>717</v>
      </c>
      <c r="D272" t="s">
        <v>815</v>
      </c>
      <c r="E272" t="s">
        <v>816</v>
      </c>
      <c r="F272" t="s">
        <v>1484</v>
      </c>
      <c r="G272" t="s">
        <v>1485</v>
      </c>
      <c r="H272" t="s">
        <v>623</v>
      </c>
      <c r="I272" t="s">
        <v>638</v>
      </c>
      <c r="J272" t="s">
        <v>632</v>
      </c>
      <c r="K272" s="2" t="s">
        <v>620</v>
      </c>
      <c r="L272" s="2" t="s">
        <v>620</v>
      </c>
      <c r="M272" s="2" t="s">
        <v>620</v>
      </c>
      <c r="N272" s="2" t="s">
        <v>620</v>
      </c>
      <c r="O272" t="s">
        <v>639</v>
      </c>
      <c r="P272" t="s">
        <v>639</v>
      </c>
      <c r="Q272" t="s">
        <v>639</v>
      </c>
      <c r="R272" t="s">
        <v>639</v>
      </c>
      <c r="S272" t="s">
        <v>639</v>
      </c>
      <c r="T272" t="s">
        <v>620</v>
      </c>
      <c r="U272" t="s">
        <v>620</v>
      </c>
      <c r="V272" s="3" t="str">
        <f>IF(AND(data[[#This Row],[status]]="OK",data[[#This Row],[approach]]="evoavalla"),data[[#This Row],[asm_path]],"")</f>
        <v/>
      </c>
      <c r="W272" s="3" t="str">
        <f>IF(AND(data[[#This Row],[status]]="OK",data[[#This Row],[approach]]="atgt"),data[[#This Row],[asm_path]],"")</f>
        <v/>
      </c>
      <c r="X272" s="3" t="b">
        <f>COUNTIF(W:W,data[[#This Row],[path_ok_status_evoavalla]]) = 1</f>
        <v>0</v>
      </c>
    </row>
    <row r="273" spans="1:24" x14ac:dyDescent="0.25">
      <c r="A273" t="s">
        <v>1486</v>
      </c>
      <c r="B273" t="s">
        <v>1487</v>
      </c>
      <c r="C273" t="s">
        <v>618</v>
      </c>
      <c r="D273" t="s">
        <v>945</v>
      </c>
      <c r="E273" t="s">
        <v>620</v>
      </c>
      <c r="F273" t="s">
        <v>697</v>
      </c>
      <c r="G273" t="s">
        <v>1488</v>
      </c>
      <c r="H273" t="s">
        <v>623</v>
      </c>
      <c r="I273" t="s">
        <v>638</v>
      </c>
      <c r="J273" t="s">
        <v>632</v>
      </c>
      <c r="K273" s="2" t="s">
        <v>620</v>
      </c>
      <c r="L273" s="2" t="s">
        <v>620</v>
      </c>
      <c r="M273" s="2" t="s">
        <v>620</v>
      </c>
      <c r="N273" s="2" t="s">
        <v>620</v>
      </c>
      <c r="O273" t="s">
        <v>639</v>
      </c>
      <c r="P273" t="s">
        <v>639</v>
      </c>
      <c r="Q273" t="s">
        <v>639</v>
      </c>
      <c r="R273" t="s">
        <v>639</v>
      </c>
      <c r="S273" t="s">
        <v>639</v>
      </c>
      <c r="T273" t="s">
        <v>620</v>
      </c>
      <c r="U273" t="s">
        <v>620</v>
      </c>
      <c r="V273" s="3" t="str">
        <f>IF(AND(data[[#This Row],[status]]="OK",data[[#This Row],[approach]]="evoavalla"),data[[#This Row],[asm_path]],"")</f>
        <v/>
      </c>
      <c r="W273" s="3" t="str">
        <f>IF(AND(data[[#This Row],[status]]="OK",data[[#This Row],[approach]]="atgt"),data[[#This Row],[asm_path]],"")</f>
        <v/>
      </c>
      <c r="X273" s="3" t="b">
        <f>COUNTIF(W:W,data[[#This Row],[path_ok_status_evoavalla]]) = 1</f>
        <v>0</v>
      </c>
    </row>
    <row r="274" spans="1:24" x14ac:dyDescent="0.25">
      <c r="A274" t="s">
        <v>1489</v>
      </c>
      <c r="B274" t="s">
        <v>1260</v>
      </c>
      <c r="C274" t="s">
        <v>635</v>
      </c>
      <c r="D274" t="s">
        <v>635</v>
      </c>
      <c r="E274" t="s">
        <v>636</v>
      </c>
      <c r="F274" t="s">
        <v>626</v>
      </c>
      <c r="G274" t="s">
        <v>643</v>
      </c>
      <c r="H274" t="s">
        <v>623</v>
      </c>
      <c r="I274" t="s">
        <v>638</v>
      </c>
      <c r="J274" t="s">
        <v>632</v>
      </c>
      <c r="K274" s="2" t="s">
        <v>620</v>
      </c>
      <c r="L274" s="2" t="s">
        <v>620</v>
      </c>
      <c r="M274" s="2" t="s">
        <v>620</v>
      </c>
      <c r="N274" s="2" t="s">
        <v>620</v>
      </c>
      <c r="O274" t="s">
        <v>639</v>
      </c>
      <c r="P274" t="s">
        <v>639</v>
      </c>
      <c r="Q274" t="s">
        <v>639</v>
      </c>
      <c r="R274" t="s">
        <v>639</v>
      </c>
      <c r="S274" t="s">
        <v>639</v>
      </c>
      <c r="T274" t="s">
        <v>620</v>
      </c>
      <c r="U274" t="s">
        <v>620</v>
      </c>
      <c r="V274" s="3" t="str">
        <f>IF(AND(data[[#This Row],[status]]="OK",data[[#This Row],[approach]]="evoavalla"),data[[#This Row],[asm_path]],"")</f>
        <v/>
      </c>
      <c r="W274" s="3" t="str">
        <f>IF(AND(data[[#This Row],[status]]="OK",data[[#This Row],[approach]]="atgt"),data[[#This Row],[asm_path]],"")</f>
        <v/>
      </c>
      <c r="X274" s="3" t="b">
        <f>COUNTIF(W:W,data[[#This Row],[path_ok_status_evoavalla]]) = 1</f>
        <v>0</v>
      </c>
    </row>
    <row r="275" spans="1:24" x14ac:dyDescent="0.25">
      <c r="A275" t="s">
        <v>1490</v>
      </c>
      <c r="B275" t="s">
        <v>1491</v>
      </c>
      <c r="C275" t="s">
        <v>635</v>
      </c>
      <c r="D275" t="s">
        <v>636</v>
      </c>
      <c r="E275" t="s">
        <v>636</v>
      </c>
      <c r="F275" t="s">
        <v>635</v>
      </c>
      <c r="G275" t="s">
        <v>664</v>
      </c>
      <c r="H275" t="s">
        <v>623</v>
      </c>
      <c r="I275" t="s">
        <v>638</v>
      </c>
      <c r="J275" t="s">
        <v>632</v>
      </c>
      <c r="K275" s="2" t="s">
        <v>620</v>
      </c>
      <c r="L275" s="2" t="s">
        <v>620</v>
      </c>
      <c r="M275" s="2" t="s">
        <v>620</v>
      </c>
      <c r="N275" s="2" t="s">
        <v>620</v>
      </c>
      <c r="O275" t="s">
        <v>639</v>
      </c>
      <c r="P275" t="s">
        <v>639</v>
      </c>
      <c r="Q275" t="s">
        <v>639</v>
      </c>
      <c r="R275" t="s">
        <v>639</v>
      </c>
      <c r="S275" t="s">
        <v>639</v>
      </c>
      <c r="T275" t="s">
        <v>620</v>
      </c>
      <c r="U275" t="s">
        <v>620</v>
      </c>
      <c r="V275" s="3" t="str">
        <f>IF(AND(data[[#This Row],[status]]="OK",data[[#This Row],[approach]]="evoavalla"),data[[#This Row],[asm_path]],"")</f>
        <v/>
      </c>
      <c r="W275" s="3" t="str">
        <f>IF(AND(data[[#This Row],[status]]="OK",data[[#This Row],[approach]]="atgt"),data[[#This Row],[asm_path]],"")</f>
        <v/>
      </c>
      <c r="X275" s="3" t="b">
        <f>COUNTIF(W:W,data[[#This Row],[path_ok_status_evoavalla]]) = 1</f>
        <v>0</v>
      </c>
    </row>
    <row r="276" spans="1:24" x14ac:dyDescent="0.25">
      <c r="A276" t="s">
        <v>1492</v>
      </c>
      <c r="B276" t="s">
        <v>1493</v>
      </c>
      <c r="C276" t="s">
        <v>682</v>
      </c>
      <c r="D276" t="s">
        <v>635</v>
      </c>
      <c r="E276" t="s">
        <v>620</v>
      </c>
      <c r="F276" t="s">
        <v>636</v>
      </c>
      <c r="G276" t="s">
        <v>628</v>
      </c>
      <c r="H276" t="s">
        <v>623</v>
      </c>
      <c r="I276" t="s">
        <v>638</v>
      </c>
      <c r="J276" t="s">
        <v>632</v>
      </c>
      <c r="K276" s="2" t="s">
        <v>620</v>
      </c>
      <c r="L276" s="2" t="s">
        <v>620</v>
      </c>
      <c r="M276" s="2" t="s">
        <v>620</v>
      </c>
      <c r="N276" s="2" t="s">
        <v>620</v>
      </c>
      <c r="O276" t="s">
        <v>639</v>
      </c>
      <c r="P276" t="s">
        <v>639</v>
      </c>
      <c r="Q276" t="s">
        <v>639</v>
      </c>
      <c r="R276" t="s">
        <v>639</v>
      </c>
      <c r="S276" t="s">
        <v>639</v>
      </c>
      <c r="T276" t="s">
        <v>620</v>
      </c>
      <c r="U276" t="s">
        <v>620</v>
      </c>
      <c r="V276" s="3" t="str">
        <f>IF(AND(data[[#This Row],[status]]="OK",data[[#This Row],[approach]]="evoavalla"),data[[#This Row],[asm_path]],"")</f>
        <v/>
      </c>
      <c r="W276" s="3" t="str">
        <f>IF(AND(data[[#This Row],[status]]="OK",data[[#This Row],[approach]]="atgt"),data[[#This Row],[asm_path]],"")</f>
        <v/>
      </c>
      <c r="X276" s="3" t="b">
        <f>COUNTIF(W:W,data[[#This Row],[path_ok_status_evoavalla]]) = 1</f>
        <v>0</v>
      </c>
    </row>
    <row r="277" spans="1:24" x14ac:dyDescent="0.25">
      <c r="A277" t="s">
        <v>1494</v>
      </c>
      <c r="B277" t="s">
        <v>1495</v>
      </c>
      <c r="C277" t="s">
        <v>637</v>
      </c>
      <c r="D277" t="s">
        <v>750</v>
      </c>
      <c r="E277" t="s">
        <v>636</v>
      </c>
      <c r="F277" t="s">
        <v>745</v>
      </c>
      <c r="G277" t="s">
        <v>799</v>
      </c>
      <c r="H277" t="s">
        <v>623</v>
      </c>
      <c r="I277" t="s">
        <v>638</v>
      </c>
      <c r="J277" t="s">
        <v>632</v>
      </c>
      <c r="K277" s="2" t="s">
        <v>620</v>
      </c>
      <c r="L277" s="2" t="s">
        <v>620</v>
      </c>
      <c r="M277" s="2" t="s">
        <v>620</v>
      </c>
      <c r="N277" s="2" t="s">
        <v>620</v>
      </c>
      <c r="O277" t="s">
        <v>639</v>
      </c>
      <c r="P277" t="s">
        <v>639</v>
      </c>
      <c r="Q277" t="s">
        <v>639</v>
      </c>
      <c r="R277" t="s">
        <v>639</v>
      </c>
      <c r="S277" t="s">
        <v>639</v>
      </c>
      <c r="T277" t="s">
        <v>620</v>
      </c>
      <c r="U277" t="s">
        <v>620</v>
      </c>
      <c r="V277" s="3" t="str">
        <f>IF(AND(data[[#This Row],[status]]="OK",data[[#This Row],[approach]]="evoavalla"),data[[#This Row],[asm_path]],"")</f>
        <v/>
      </c>
      <c r="W277" s="3" t="str">
        <f>IF(AND(data[[#This Row],[status]]="OK",data[[#This Row],[approach]]="atgt"),data[[#This Row],[asm_path]],"")</f>
        <v/>
      </c>
      <c r="X277" s="3" t="b">
        <f>COUNTIF(W:W,data[[#This Row],[path_ok_status_evoavalla]]) = 1</f>
        <v>0</v>
      </c>
    </row>
    <row r="278" spans="1:24" x14ac:dyDescent="0.25">
      <c r="A278" t="s">
        <v>1496</v>
      </c>
      <c r="B278" t="s">
        <v>1497</v>
      </c>
      <c r="C278" t="s">
        <v>697</v>
      </c>
      <c r="D278" t="s">
        <v>644</v>
      </c>
      <c r="E278" t="s">
        <v>620</v>
      </c>
      <c r="F278" t="s">
        <v>732</v>
      </c>
      <c r="G278" t="s">
        <v>1498</v>
      </c>
      <c r="H278" t="s">
        <v>623</v>
      </c>
      <c r="I278" t="s">
        <v>638</v>
      </c>
      <c r="J278" t="s">
        <v>632</v>
      </c>
      <c r="K278" s="2" t="s">
        <v>620</v>
      </c>
      <c r="L278" s="2" t="s">
        <v>620</v>
      </c>
      <c r="M278" s="2" t="s">
        <v>620</v>
      </c>
      <c r="N278" s="2" t="s">
        <v>620</v>
      </c>
      <c r="O278" t="s">
        <v>639</v>
      </c>
      <c r="P278" t="s">
        <v>639</v>
      </c>
      <c r="Q278" t="s">
        <v>639</v>
      </c>
      <c r="R278" t="s">
        <v>639</v>
      </c>
      <c r="S278" t="s">
        <v>639</v>
      </c>
      <c r="T278" t="s">
        <v>620</v>
      </c>
      <c r="U278" t="s">
        <v>620</v>
      </c>
      <c r="V278" s="3" t="str">
        <f>IF(AND(data[[#This Row],[status]]="OK",data[[#This Row],[approach]]="evoavalla"),data[[#This Row],[asm_path]],"")</f>
        <v/>
      </c>
      <c r="W278" s="3" t="str">
        <f>IF(AND(data[[#This Row],[status]]="OK",data[[#This Row],[approach]]="atgt"),data[[#This Row],[asm_path]],"")</f>
        <v/>
      </c>
      <c r="X278" s="3" t="b">
        <f>COUNTIF(W:W,data[[#This Row],[path_ok_status_evoavalla]]) = 1</f>
        <v>0</v>
      </c>
    </row>
    <row r="279" spans="1:24" x14ac:dyDescent="0.25">
      <c r="A279" t="s">
        <v>1499</v>
      </c>
      <c r="B279" t="s">
        <v>1500</v>
      </c>
      <c r="C279" t="s">
        <v>664</v>
      </c>
      <c r="D279" t="s">
        <v>628</v>
      </c>
      <c r="E279" t="s">
        <v>620</v>
      </c>
      <c r="F279" t="s">
        <v>664</v>
      </c>
      <c r="G279" t="s">
        <v>642</v>
      </c>
      <c r="H279" t="s">
        <v>623</v>
      </c>
      <c r="I279" t="s">
        <v>624</v>
      </c>
      <c r="J279" t="s">
        <v>1501</v>
      </c>
      <c r="K279" s="2" t="s">
        <v>635</v>
      </c>
      <c r="L279" s="2" t="s">
        <v>635</v>
      </c>
      <c r="M279" s="2" t="s">
        <v>635</v>
      </c>
      <c r="N279" s="2" t="s">
        <v>664</v>
      </c>
      <c r="O279" t="s">
        <v>630</v>
      </c>
      <c r="P279" t="s">
        <v>630</v>
      </c>
      <c r="Q279" t="s">
        <v>632</v>
      </c>
      <c r="R279" t="s">
        <v>888</v>
      </c>
      <c r="S279" t="s">
        <v>630</v>
      </c>
      <c r="T279" t="s">
        <v>620</v>
      </c>
      <c r="U279" t="s">
        <v>620</v>
      </c>
      <c r="V279" s="3" t="str">
        <f>IF(AND(data[[#This Row],[status]]="OK",data[[#This Row],[approach]]="evoavalla"),data[[#This Row],[asm_path]],"")</f>
        <v>../../../asm_examples/unibgstudents/Rubrica.asm</v>
      </c>
      <c r="W279" s="3" t="str">
        <f>IF(AND(data[[#This Row],[status]]="OK",data[[#This Row],[approach]]="atgt"),data[[#This Row],[asm_path]],"")</f>
        <v/>
      </c>
      <c r="X279" s="3" t="b">
        <f>COUNTIF(W:W,data[[#This Row],[path_ok_status_evoavalla]]) = 1</f>
        <v>0</v>
      </c>
    </row>
    <row r="280" spans="1:24" x14ac:dyDescent="0.25">
      <c r="A280" t="s">
        <v>1502</v>
      </c>
      <c r="B280" t="s">
        <v>1503</v>
      </c>
      <c r="C280" t="s">
        <v>761</v>
      </c>
      <c r="D280" t="s">
        <v>750</v>
      </c>
      <c r="E280" t="s">
        <v>635</v>
      </c>
      <c r="F280" t="s">
        <v>745</v>
      </c>
      <c r="G280" t="s">
        <v>842</v>
      </c>
      <c r="H280" t="s">
        <v>623</v>
      </c>
      <c r="I280" t="s">
        <v>638</v>
      </c>
      <c r="J280" t="s">
        <v>632</v>
      </c>
      <c r="K280" s="2" t="s">
        <v>620</v>
      </c>
      <c r="L280" s="2" t="s">
        <v>620</v>
      </c>
      <c r="M280" s="2" t="s">
        <v>620</v>
      </c>
      <c r="N280" s="2" t="s">
        <v>620</v>
      </c>
      <c r="O280" t="s">
        <v>639</v>
      </c>
      <c r="P280" t="s">
        <v>639</v>
      </c>
      <c r="Q280" t="s">
        <v>639</v>
      </c>
      <c r="R280" t="s">
        <v>639</v>
      </c>
      <c r="S280" t="s">
        <v>639</v>
      </c>
      <c r="T280" t="s">
        <v>620</v>
      </c>
      <c r="U280" t="s">
        <v>620</v>
      </c>
      <c r="V280" s="3" t="str">
        <f>IF(AND(data[[#This Row],[status]]="OK",data[[#This Row],[approach]]="evoavalla"),data[[#This Row],[asm_path]],"")</f>
        <v/>
      </c>
      <c r="W280" s="3" t="str">
        <f>IF(AND(data[[#This Row],[status]]="OK",data[[#This Row],[approach]]="atgt"),data[[#This Row],[asm_path]],"")</f>
        <v/>
      </c>
      <c r="X280" s="3" t="b">
        <f>COUNTIF(W:W,data[[#This Row],[path_ok_status_evoavalla]]) = 1</f>
        <v>0</v>
      </c>
    </row>
    <row r="281" spans="1:24" x14ac:dyDescent="0.25">
      <c r="A281" t="s">
        <v>1504</v>
      </c>
      <c r="B281" t="s">
        <v>1505</v>
      </c>
      <c r="C281" t="s">
        <v>710</v>
      </c>
      <c r="D281" t="s">
        <v>745</v>
      </c>
      <c r="E281" t="s">
        <v>636</v>
      </c>
      <c r="F281" t="s">
        <v>761</v>
      </c>
      <c r="G281" t="s">
        <v>945</v>
      </c>
      <c r="H281" t="s">
        <v>623</v>
      </c>
      <c r="I281" t="s">
        <v>638</v>
      </c>
      <c r="J281" t="s">
        <v>632</v>
      </c>
      <c r="K281" s="2" t="s">
        <v>620</v>
      </c>
      <c r="L281" s="2" t="s">
        <v>620</v>
      </c>
      <c r="M281" s="2" t="s">
        <v>620</v>
      </c>
      <c r="N281" s="2" t="s">
        <v>620</v>
      </c>
      <c r="O281" t="s">
        <v>639</v>
      </c>
      <c r="P281" t="s">
        <v>639</v>
      </c>
      <c r="Q281" t="s">
        <v>639</v>
      </c>
      <c r="R281" t="s">
        <v>639</v>
      </c>
      <c r="S281" t="s">
        <v>639</v>
      </c>
      <c r="T281" t="s">
        <v>620</v>
      </c>
      <c r="U281" t="s">
        <v>620</v>
      </c>
      <c r="V281" s="3" t="str">
        <f>IF(AND(data[[#This Row],[status]]="OK",data[[#This Row],[approach]]="evoavalla"),data[[#This Row],[asm_path]],"")</f>
        <v/>
      </c>
      <c r="W281" s="3" t="str">
        <f>IF(AND(data[[#This Row],[status]]="OK",data[[#This Row],[approach]]="atgt"),data[[#This Row],[asm_path]],"")</f>
        <v/>
      </c>
      <c r="X281" s="3" t="b">
        <f>COUNTIF(W:W,data[[#This Row],[path_ok_status_evoavalla]]) = 1</f>
        <v>0</v>
      </c>
    </row>
    <row r="282" spans="1:24" x14ac:dyDescent="0.25">
      <c r="A282" t="s">
        <v>1506</v>
      </c>
      <c r="B282" t="s">
        <v>1507</v>
      </c>
      <c r="C282" t="s">
        <v>635</v>
      </c>
      <c r="D282" t="s">
        <v>626</v>
      </c>
      <c r="E282" t="s">
        <v>620</v>
      </c>
      <c r="F282" t="s">
        <v>664</v>
      </c>
      <c r="G282" t="s">
        <v>643</v>
      </c>
      <c r="H282" t="s">
        <v>623</v>
      </c>
      <c r="I282" t="s">
        <v>638</v>
      </c>
      <c r="J282" t="s">
        <v>632</v>
      </c>
      <c r="K282" s="2" t="s">
        <v>620</v>
      </c>
      <c r="L282" s="2" t="s">
        <v>620</v>
      </c>
      <c r="M282" s="2" t="s">
        <v>620</v>
      </c>
      <c r="N282" s="2" t="s">
        <v>620</v>
      </c>
      <c r="O282" t="s">
        <v>639</v>
      </c>
      <c r="P282" t="s">
        <v>639</v>
      </c>
      <c r="Q282" t="s">
        <v>639</v>
      </c>
      <c r="R282" t="s">
        <v>639</v>
      </c>
      <c r="S282" t="s">
        <v>639</v>
      </c>
      <c r="T282" t="s">
        <v>620</v>
      </c>
      <c r="U282" t="s">
        <v>620</v>
      </c>
      <c r="V282" s="3" t="str">
        <f>IF(AND(data[[#This Row],[status]]="OK",data[[#This Row],[approach]]="evoavalla"),data[[#This Row],[asm_path]],"")</f>
        <v/>
      </c>
      <c r="W282" s="3" t="str">
        <f>IF(AND(data[[#This Row],[status]]="OK",data[[#This Row],[approach]]="atgt"),data[[#This Row],[asm_path]],"")</f>
        <v/>
      </c>
      <c r="X282" s="3" t="b">
        <f>COUNTIF(W:W,data[[#This Row],[path_ok_status_evoavalla]]) = 1</f>
        <v>0</v>
      </c>
    </row>
    <row r="283" spans="1:24" x14ac:dyDescent="0.25">
      <c r="A283" t="s">
        <v>1508</v>
      </c>
      <c r="B283" t="s">
        <v>1509</v>
      </c>
      <c r="C283" t="s">
        <v>636</v>
      </c>
      <c r="D283" t="s">
        <v>683</v>
      </c>
      <c r="E283" t="s">
        <v>620</v>
      </c>
      <c r="F283" t="s">
        <v>635</v>
      </c>
      <c r="G283" t="s">
        <v>710</v>
      </c>
      <c r="H283" t="s">
        <v>623</v>
      </c>
      <c r="I283" t="s">
        <v>638</v>
      </c>
      <c r="J283" t="s">
        <v>632</v>
      </c>
      <c r="K283" s="2" t="s">
        <v>620</v>
      </c>
      <c r="L283" s="2" t="s">
        <v>620</v>
      </c>
      <c r="M283" s="2" t="s">
        <v>620</v>
      </c>
      <c r="N283" s="2" t="s">
        <v>620</v>
      </c>
      <c r="O283" t="s">
        <v>639</v>
      </c>
      <c r="P283" t="s">
        <v>639</v>
      </c>
      <c r="Q283" t="s">
        <v>639</v>
      </c>
      <c r="R283" t="s">
        <v>639</v>
      </c>
      <c r="S283" t="s">
        <v>639</v>
      </c>
      <c r="T283" t="s">
        <v>620</v>
      </c>
      <c r="U283" t="s">
        <v>620</v>
      </c>
      <c r="V283" s="3" t="str">
        <f>IF(AND(data[[#This Row],[status]]="OK",data[[#This Row],[approach]]="evoavalla"),data[[#This Row],[asm_path]],"")</f>
        <v/>
      </c>
      <c r="W283" s="3" t="str">
        <f>IF(AND(data[[#This Row],[status]]="OK",data[[#This Row],[approach]]="atgt"),data[[#This Row],[asm_path]],"")</f>
        <v/>
      </c>
      <c r="X283" s="3" t="b">
        <f>COUNTIF(W:W,data[[#This Row],[path_ok_status_evoavalla]]) = 1</f>
        <v>0</v>
      </c>
    </row>
    <row r="284" spans="1:24" x14ac:dyDescent="0.25">
      <c r="A284" t="s">
        <v>1510</v>
      </c>
      <c r="B284" t="s">
        <v>1511</v>
      </c>
      <c r="C284" t="s">
        <v>635</v>
      </c>
      <c r="D284" t="s">
        <v>626</v>
      </c>
      <c r="E284" t="s">
        <v>620</v>
      </c>
      <c r="F284" t="s">
        <v>664</v>
      </c>
      <c r="G284" t="s">
        <v>643</v>
      </c>
      <c r="H284" t="s">
        <v>623</v>
      </c>
      <c r="I284" t="s">
        <v>624</v>
      </c>
      <c r="J284" t="s">
        <v>1512</v>
      </c>
      <c r="K284" s="2" t="s">
        <v>682</v>
      </c>
      <c r="L284" s="2" t="s">
        <v>682</v>
      </c>
      <c r="M284" s="2" t="s">
        <v>682</v>
      </c>
      <c r="N284" s="2" t="s">
        <v>620</v>
      </c>
      <c r="O284" t="s">
        <v>630</v>
      </c>
      <c r="P284" t="s">
        <v>630</v>
      </c>
      <c r="Q284" t="s">
        <v>632</v>
      </c>
      <c r="R284" t="s">
        <v>834</v>
      </c>
      <c r="S284" t="s">
        <v>630</v>
      </c>
      <c r="T284" t="s">
        <v>620</v>
      </c>
      <c r="U284" t="s">
        <v>620</v>
      </c>
      <c r="V284" s="3" t="str">
        <f>IF(AND(data[[#This Row],[status]]="OK",data[[#This Row],[approach]]="evoavalla"),data[[#This Row],[asm_path]],"")</f>
        <v>../../../asm_examples/examples/sensorVotingSimpleVersion.asm</v>
      </c>
      <c r="W284" s="3" t="str">
        <f>IF(AND(data[[#This Row],[status]]="OK",data[[#This Row],[approach]]="atgt"),data[[#This Row],[asm_path]],"")</f>
        <v/>
      </c>
      <c r="X284" s="3" t="b">
        <f>COUNTIF(W:W,data[[#This Row],[path_ok_status_evoavalla]]) = 1</f>
        <v>1</v>
      </c>
    </row>
    <row r="285" spans="1:24" x14ac:dyDescent="0.25">
      <c r="A285" t="s">
        <v>1513</v>
      </c>
      <c r="B285" t="s">
        <v>1514</v>
      </c>
      <c r="C285" t="s">
        <v>677</v>
      </c>
      <c r="D285" t="s">
        <v>697</v>
      </c>
      <c r="E285" t="s">
        <v>637</v>
      </c>
      <c r="F285" t="s">
        <v>741</v>
      </c>
      <c r="G285" t="s">
        <v>849</v>
      </c>
      <c r="H285" t="s">
        <v>623</v>
      </c>
      <c r="I285" t="s">
        <v>638</v>
      </c>
      <c r="J285" t="s">
        <v>632</v>
      </c>
      <c r="K285" s="2" t="s">
        <v>620</v>
      </c>
      <c r="L285" s="2" t="s">
        <v>620</v>
      </c>
      <c r="M285" s="2" t="s">
        <v>620</v>
      </c>
      <c r="N285" s="2" t="s">
        <v>620</v>
      </c>
      <c r="O285" t="s">
        <v>639</v>
      </c>
      <c r="P285" t="s">
        <v>639</v>
      </c>
      <c r="Q285" t="s">
        <v>639</v>
      </c>
      <c r="R285" t="s">
        <v>639</v>
      </c>
      <c r="S285" t="s">
        <v>639</v>
      </c>
      <c r="T285" t="s">
        <v>620</v>
      </c>
      <c r="U285" t="s">
        <v>620</v>
      </c>
      <c r="V285" s="3" t="str">
        <f>IF(AND(data[[#This Row],[status]]="OK",data[[#This Row],[approach]]="evoavalla"),data[[#This Row],[asm_path]],"")</f>
        <v/>
      </c>
      <c r="W285" s="3" t="str">
        <f>IF(AND(data[[#This Row],[status]]="OK",data[[#This Row],[approach]]="atgt"),data[[#This Row],[asm_path]],"")</f>
        <v/>
      </c>
      <c r="X285" s="3" t="b">
        <f>COUNTIF(W:W,data[[#This Row],[path_ok_status_evoavalla]]) = 1</f>
        <v>0</v>
      </c>
    </row>
    <row r="286" spans="1:24" x14ac:dyDescent="0.25">
      <c r="A286" t="s">
        <v>1515</v>
      </c>
      <c r="B286" t="s">
        <v>1516</v>
      </c>
      <c r="C286" t="s">
        <v>682</v>
      </c>
      <c r="D286" t="s">
        <v>682</v>
      </c>
      <c r="E286" t="s">
        <v>620</v>
      </c>
      <c r="F286" t="s">
        <v>635</v>
      </c>
      <c r="G286" t="s">
        <v>637</v>
      </c>
      <c r="H286" t="s">
        <v>623</v>
      </c>
      <c r="I286" t="s">
        <v>638</v>
      </c>
      <c r="J286" t="s">
        <v>632</v>
      </c>
      <c r="K286" s="2" t="s">
        <v>620</v>
      </c>
      <c r="L286" s="2" t="s">
        <v>620</v>
      </c>
      <c r="M286" s="2" t="s">
        <v>620</v>
      </c>
      <c r="N286" s="2" t="s">
        <v>620</v>
      </c>
      <c r="O286" t="s">
        <v>639</v>
      </c>
      <c r="P286" t="s">
        <v>639</v>
      </c>
      <c r="Q286" t="s">
        <v>639</v>
      </c>
      <c r="R286" t="s">
        <v>639</v>
      </c>
      <c r="S286" t="s">
        <v>639</v>
      </c>
      <c r="T286" t="s">
        <v>620</v>
      </c>
      <c r="U286" t="s">
        <v>620</v>
      </c>
      <c r="V286" s="3" t="str">
        <f>IF(AND(data[[#This Row],[status]]="OK",data[[#This Row],[approach]]="evoavalla"),data[[#This Row],[asm_path]],"")</f>
        <v/>
      </c>
      <c r="W286" s="3" t="str">
        <f>IF(AND(data[[#This Row],[status]]="OK",data[[#This Row],[approach]]="atgt"),data[[#This Row],[asm_path]],"")</f>
        <v/>
      </c>
      <c r="X286" s="3" t="b">
        <f>COUNTIF(W:W,data[[#This Row],[path_ok_status_evoavalla]]) = 1</f>
        <v>0</v>
      </c>
    </row>
    <row r="287" spans="1:24" x14ac:dyDescent="0.25">
      <c r="A287" t="s">
        <v>1517</v>
      </c>
      <c r="B287" t="s">
        <v>1518</v>
      </c>
      <c r="C287" t="s">
        <v>636</v>
      </c>
      <c r="D287" t="s">
        <v>636</v>
      </c>
      <c r="E287" t="s">
        <v>620</v>
      </c>
      <c r="F287" t="s">
        <v>636</v>
      </c>
      <c r="G287" t="s">
        <v>635</v>
      </c>
      <c r="H287" t="s">
        <v>623</v>
      </c>
      <c r="I287" t="s">
        <v>638</v>
      </c>
      <c r="J287" t="s">
        <v>632</v>
      </c>
      <c r="K287" s="2" t="s">
        <v>620</v>
      </c>
      <c r="L287" s="2" t="s">
        <v>620</v>
      </c>
      <c r="M287" s="2" t="s">
        <v>620</v>
      </c>
      <c r="N287" s="2" t="s">
        <v>620</v>
      </c>
      <c r="O287" t="s">
        <v>639</v>
      </c>
      <c r="P287" t="s">
        <v>639</v>
      </c>
      <c r="Q287" t="s">
        <v>639</v>
      </c>
      <c r="R287" t="s">
        <v>639</v>
      </c>
      <c r="S287" t="s">
        <v>639</v>
      </c>
      <c r="T287" t="s">
        <v>620</v>
      </c>
      <c r="U287" t="s">
        <v>620</v>
      </c>
      <c r="V287" s="3" t="str">
        <f>IF(AND(data[[#This Row],[status]]="OK",data[[#This Row],[approach]]="evoavalla"),data[[#This Row],[asm_path]],"")</f>
        <v/>
      </c>
      <c r="W287" s="3" t="str">
        <f>IF(AND(data[[#This Row],[status]]="OK",data[[#This Row],[approach]]="atgt"),data[[#This Row],[asm_path]],"")</f>
        <v/>
      </c>
      <c r="X287" s="3" t="b">
        <f>COUNTIF(W:W,data[[#This Row],[path_ok_status_evoavalla]]) = 1</f>
        <v>0</v>
      </c>
    </row>
    <row r="288" spans="1:24" x14ac:dyDescent="0.25">
      <c r="A288" t="s">
        <v>1519</v>
      </c>
      <c r="B288" t="s">
        <v>1520</v>
      </c>
      <c r="C288" t="s">
        <v>635</v>
      </c>
      <c r="D288" t="s">
        <v>628</v>
      </c>
      <c r="E288" t="s">
        <v>620</v>
      </c>
      <c r="F288" t="s">
        <v>664</v>
      </c>
      <c r="G288" t="s">
        <v>618</v>
      </c>
      <c r="H288" t="s">
        <v>623</v>
      </c>
      <c r="I288" t="s">
        <v>638</v>
      </c>
      <c r="J288" t="s">
        <v>632</v>
      </c>
      <c r="K288" s="2" t="s">
        <v>620</v>
      </c>
      <c r="L288" s="2" t="s">
        <v>620</v>
      </c>
      <c r="M288" s="2" t="s">
        <v>620</v>
      </c>
      <c r="N288" s="2" t="s">
        <v>620</v>
      </c>
      <c r="O288" t="s">
        <v>639</v>
      </c>
      <c r="P288" t="s">
        <v>639</v>
      </c>
      <c r="Q288" t="s">
        <v>639</v>
      </c>
      <c r="R288" t="s">
        <v>639</v>
      </c>
      <c r="S288" t="s">
        <v>639</v>
      </c>
      <c r="T288" t="s">
        <v>620</v>
      </c>
      <c r="U288" t="s">
        <v>620</v>
      </c>
      <c r="V288" s="3" t="str">
        <f>IF(AND(data[[#This Row],[status]]="OK",data[[#This Row],[approach]]="evoavalla"),data[[#This Row],[asm_path]],"")</f>
        <v/>
      </c>
      <c r="W288" s="3" t="str">
        <f>IF(AND(data[[#This Row],[status]]="OK",data[[#This Row],[approach]]="atgt"),data[[#This Row],[asm_path]],"")</f>
        <v/>
      </c>
      <c r="X288" s="3" t="b">
        <f>COUNTIF(W:W,data[[#This Row],[path_ok_status_evoavalla]]) = 1</f>
        <v>0</v>
      </c>
    </row>
    <row r="289" spans="1:24" x14ac:dyDescent="0.25">
      <c r="A289" t="s">
        <v>1521</v>
      </c>
      <c r="B289" t="s">
        <v>1522</v>
      </c>
      <c r="C289" t="s">
        <v>683</v>
      </c>
      <c r="D289" t="s">
        <v>710</v>
      </c>
      <c r="E289" t="s">
        <v>620</v>
      </c>
      <c r="F289" t="s">
        <v>643</v>
      </c>
      <c r="G289" t="s">
        <v>841</v>
      </c>
      <c r="H289" t="s">
        <v>623</v>
      </c>
      <c r="I289" t="s">
        <v>638</v>
      </c>
      <c r="J289" t="s">
        <v>632</v>
      </c>
      <c r="K289" s="2" t="s">
        <v>620</v>
      </c>
      <c r="L289" s="2" t="s">
        <v>620</v>
      </c>
      <c r="M289" s="2" t="s">
        <v>620</v>
      </c>
      <c r="N289" s="2" t="s">
        <v>620</v>
      </c>
      <c r="O289" t="s">
        <v>639</v>
      </c>
      <c r="P289" t="s">
        <v>639</v>
      </c>
      <c r="Q289" t="s">
        <v>639</v>
      </c>
      <c r="R289" t="s">
        <v>639</v>
      </c>
      <c r="S289" t="s">
        <v>639</v>
      </c>
      <c r="T289" t="s">
        <v>620</v>
      </c>
      <c r="U289" t="s">
        <v>620</v>
      </c>
      <c r="V289" s="3" t="str">
        <f>IF(AND(data[[#This Row],[status]]="OK",data[[#This Row],[approach]]="evoavalla"),data[[#This Row],[asm_path]],"")</f>
        <v/>
      </c>
      <c r="W289" s="3" t="str">
        <f>IF(AND(data[[#This Row],[status]]="OK",data[[#This Row],[approach]]="atgt"),data[[#This Row],[asm_path]],"")</f>
        <v/>
      </c>
      <c r="X289" s="3" t="b">
        <f>COUNTIF(W:W,data[[#This Row],[path_ok_status_evoavalla]]) = 1</f>
        <v>0</v>
      </c>
    </row>
    <row r="290" spans="1:24" x14ac:dyDescent="0.25">
      <c r="A290" t="s">
        <v>1523</v>
      </c>
      <c r="B290" t="s">
        <v>1524</v>
      </c>
      <c r="C290" t="s">
        <v>635</v>
      </c>
      <c r="D290" t="s">
        <v>635</v>
      </c>
      <c r="E290" t="s">
        <v>620</v>
      </c>
      <c r="F290" t="s">
        <v>664</v>
      </c>
      <c r="G290" t="s">
        <v>621</v>
      </c>
      <c r="H290" t="s">
        <v>623</v>
      </c>
      <c r="I290" t="s">
        <v>638</v>
      </c>
      <c r="J290" t="s">
        <v>632</v>
      </c>
      <c r="K290" s="2" t="s">
        <v>620</v>
      </c>
      <c r="L290" s="2" t="s">
        <v>620</v>
      </c>
      <c r="M290" s="2" t="s">
        <v>620</v>
      </c>
      <c r="N290" s="2" t="s">
        <v>620</v>
      </c>
      <c r="O290" t="s">
        <v>639</v>
      </c>
      <c r="P290" t="s">
        <v>639</v>
      </c>
      <c r="Q290" t="s">
        <v>639</v>
      </c>
      <c r="R290" t="s">
        <v>639</v>
      </c>
      <c r="S290" t="s">
        <v>639</v>
      </c>
      <c r="T290" t="s">
        <v>620</v>
      </c>
      <c r="U290" t="s">
        <v>620</v>
      </c>
      <c r="V290" s="3" t="str">
        <f>IF(AND(data[[#This Row],[status]]="OK",data[[#This Row],[approach]]="evoavalla"),data[[#This Row],[asm_path]],"")</f>
        <v/>
      </c>
      <c r="W290" s="3" t="str">
        <f>IF(AND(data[[#This Row],[status]]="OK",data[[#This Row],[approach]]="atgt"),data[[#This Row],[asm_path]],"")</f>
        <v/>
      </c>
      <c r="X290" s="3" t="b">
        <f>COUNTIF(W:W,data[[#This Row],[path_ok_status_evoavalla]]) = 1</f>
        <v>0</v>
      </c>
    </row>
    <row r="291" spans="1:24" x14ac:dyDescent="0.25">
      <c r="A291" t="s">
        <v>1525</v>
      </c>
      <c r="B291" t="s">
        <v>1526</v>
      </c>
      <c r="C291" t="s">
        <v>690</v>
      </c>
      <c r="D291" t="s">
        <v>675</v>
      </c>
      <c r="E291" t="s">
        <v>620</v>
      </c>
      <c r="F291" t="s">
        <v>710</v>
      </c>
      <c r="G291" t="s">
        <v>871</v>
      </c>
      <c r="H291" t="s">
        <v>623</v>
      </c>
      <c r="I291" t="s">
        <v>624</v>
      </c>
      <c r="J291" t="s">
        <v>1527</v>
      </c>
      <c r="K291" s="2" t="s">
        <v>628</v>
      </c>
      <c r="L291" s="2" t="s">
        <v>808</v>
      </c>
      <c r="M291" s="2" t="s">
        <v>643</v>
      </c>
      <c r="N291" s="2" t="s">
        <v>1528</v>
      </c>
      <c r="O291" t="s">
        <v>630</v>
      </c>
      <c r="P291" t="s">
        <v>1529</v>
      </c>
      <c r="Q291" t="s">
        <v>632</v>
      </c>
      <c r="R291" t="s">
        <v>915</v>
      </c>
      <c r="S291" t="s">
        <v>630</v>
      </c>
      <c r="T291" t="s">
        <v>620</v>
      </c>
      <c r="U291" t="s">
        <v>620</v>
      </c>
      <c r="V291" s="3" t="str">
        <f>IF(AND(data[[#This Row],[status]]="OK",data[[#This Row],[approach]]="evoavalla"),data[[#This Row],[asm_path]],"")</f>
        <v>../../../asm_examples/stereoacuity/certifierRaff5ForSMTproof.asm</v>
      </c>
      <c r="W291" s="3" t="str">
        <f>IF(AND(data[[#This Row],[status]]="OK",data[[#This Row],[approach]]="atgt"),data[[#This Row],[asm_path]],"")</f>
        <v/>
      </c>
      <c r="X291" s="3" t="b">
        <f>COUNTIF(W:W,data[[#This Row],[path_ok_status_evoavalla]]) = 1</f>
        <v>1</v>
      </c>
    </row>
    <row r="292" spans="1:24" x14ac:dyDescent="0.25">
      <c r="A292" t="s">
        <v>1530</v>
      </c>
      <c r="B292" t="s">
        <v>1531</v>
      </c>
      <c r="C292" t="s">
        <v>682</v>
      </c>
      <c r="D292" t="s">
        <v>635</v>
      </c>
      <c r="E292" t="s">
        <v>636</v>
      </c>
      <c r="F292" t="s">
        <v>635</v>
      </c>
      <c r="G292" t="s">
        <v>716</v>
      </c>
      <c r="H292" t="s">
        <v>623</v>
      </c>
      <c r="I292" t="s">
        <v>638</v>
      </c>
      <c r="J292" t="s">
        <v>632</v>
      </c>
      <c r="K292" s="2" t="s">
        <v>620</v>
      </c>
      <c r="L292" s="2" t="s">
        <v>620</v>
      </c>
      <c r="M292" s="2" t="s">
        <v>620</v>
      </c>
      <c r="N292" s="2" t="s">
        <v>620</v>
      </c>
      <c r="O292" t="s">
        <v>639</v>
      </c>
      <c r="P292" t="s">
        <v>639</v>
      </c>
      <c r="Q292" t="s">
        <v>639</v>
      </c>
      <c r="R292" t="s">
        <v>639</v>
      </c>
      <c r="S292" t="s">
        <v>639</v>
      </c>
      <c r="T292" t="s">
        <v>620</v>
      </c>
      <c r="U292" t="s">
        <v>620</v>
      </c>
      <c r="V292" s="3" t="str">
        <f>IF(AND(data[[#This Row],[status]]="OK",data[[#This Row],[approach]]="evoavalla"),data[[#This Row],[asm_path]],"")</f>
        <v/>
      </c>
      <c r="W292" s="3" t="str">
        <f>IF(AND(data[[#This Row],[status]]="OK",data[[#This Row],[approach]]="atgt"),data[[#This Row],[asm_path]],"")</f>
        <v/>
      </c>
      <c r="X292" s="3" t="b">
        <f>COUNTIF(W:W,data[[#This Row],[path_ok_status_evoavalla]]) = 1</f>
        <v>0</v>
      </c>
    </row>
    <row r="293" spans="1:24" x14ac:dyDescent="0.25">
      <c r="A293" t="s">
        <v>1532</v>
      </c>
      <c r="B293" t="s">
        <v>1533</v>
      </c>
      <c r="C293" t="s">
        <v>626</v>
      </c>
      <c r="D293" t="s">
        <v>643</v>
      </c>
      <c r="E293" t="s">
        <v>620</v>
      </c>
      <c r="F293" t="s">
        <v>626</v>
      </c>
      <c r="G293" t="s">
        <v>966</v>
      </c>
      <c r="H293" t="s">
        <v>623</v>
      </c>
      <c r="I293" t="s">
        <v>624</v>
      </c>
      <c r="J293" t="s">
        <v>1534</v>
      </c>
      <c r="K293" s="2" t="s">
        <v>636</v>
      </c>
      <c r="L293" s="2" t="s">
        <v>664</v>
      </c>
      <c r="M293" s="2" t="s">
        <v>636</v>
      </c>
      <c r="N293" s="2" t="s">
        <v>808</v>
      </c>
      <c r="O293" t="s">
        <v>630</v>
      </c>
      <c r="P293" t="s">
        <v>630</v>
      </c>
      <c r="Q293" t="s">
        <v>632</v>
      </c>
      <c r="R293" t="s">
        <v>1190</v>
      </c>
      <c r="S293" t="s">
        <v>630</v>
      </c>
      <c r="T293" t="s">
        <v>620</v>
      </c>
      <c r="U293" t="s">
        <v>636</v>
      </c>
      <c r="V293" s="3" t="str">
        <f>IF(AND(data[[#This Row],[status]]="OK",data[[#This Row],[approach]]="evoavalla"),data[[#This Row],[asm_path]],"")</f>
        <v>../../../asm_examples/examples/traffic_light/oneWayTrafficLightOnlyPassed.asm</v>
      </c>
      <c r="W293" s="3" t="str">
        <f>IF(AND(data[[#This Row],[status]]="OK",data[[#This Row],[approach]]="atgt"),data[[#This Row],[asm_path]],"")</f>
        <v/>
      </c>
      <c r="X293" s="3" t="b">
        <f>COUNTIF(W:W,data[[#This Row],[path_ok_status_evoavalla]]) = 1</f>
        <v>1</v>
      </c>
    </row>
    <row r="294" spans="1:24" x14ac:dyDescent="0.25">
      <c r="A294" t="s">
        <v>1535</v>
      </c>
      <c r="B294" t="s">
        <v>1536</v>
      </c>
      <c r="C294" t="s">
        <v>716</v>
      </c>
      <c r="D294" t="s">
        <v>618</v>
      </c>
      <c r="E294" t="s">
        <v>682</v>
      </c>
      <c r="F294" t="s">
        <v>643</v>
      </c>
      <c r="G294" t="s">
        <v>622</v>
      </c>
      <c r="H294" t="s">
        <v>623</v>
      </c>
      <c r="I294" t="s">
        <v>638</v>
      </c>
      <c r="J294" t="s">
        <v>632</v>
      </c>
      <c r="K294" s="2" t="s">
        <v>620</v>
      </c>
      <c r="L294" s="2" t="s">
        <v>620</v>
      </c>
      <c r="M294" s="2" t="s">
        <v>620</v>
      </c>
      <c r="N294" s="2" t="s">
        <v>620</v>
      </c>
      <c r="O294" t="s">
        <v>639</v>
      </c>
      <c r="P294" t="s">
        <v>639</v>
      </c>
      <c r="Q294" t="s">
        <v>639</v>
      </c>
      <c r="R294" t="s">
        <v>639</v>
      </c>
      <c r="S294" t="s">
        <v>639</v>
      </c>
      <c r="T294" t="s">
        <v>620</v>
      </c>
      <c r="U294" t="s">
        <v>620</v>
      </c>
      <c r="V294" s="3" t="str">
        <f>IF(AND(data[[#This Row],[status]]="OK",data[[#This Row],[approach]]="evoavalla"),data[[#This Row],[asm_path]],"")</f>
        <v/>
      </c>
      <c r="W294" s="3" t="str">
        <f>IF(AND(data[[#This Row],[status]]="OK",data[[#This Row],[approach]]="atgt"),data[[#This Row],[asm_path]],"")</f>
        <v/>
      </c>
      <c r="X294" s="3" t="b">
        <f>COUNTIF(W:W,data[[#This Row],[path_ok_status_evoavalla]]) = 1</f>
        <v>0</v>
      </c>
    </row>
    <row r="295" spans="1:24" x14ac:dyDescent="0.25">
      <c r="A295" t="s">
        <v>1537</v>
      </c>
      <c r="B295" t="s">
        <v>1538</v>
      </c>
      <c r="C295" t="s">
        <v>682</v>
      </c>
      <c r="D295" t="s">
        <v>682</v>
      </c>
      <c r="E295" t="s">
        <v>620</v>
      </c>
      <c r="F295" t="s">
        <v>635</v>
      </c>
      <c r="G295" t="s">
        <v>716</v>
      </c>
      <c r="H295" t="s">
        <v>623</v>
      </c>
      <c r="I295" t="s">
        <v>638</v>
      </c>
      <c r="J295" t="s">
        <v>632</v>
      </c>
      <c r="K295" s="2" t="s">
        <v>620</v>
      </c>
      <c r="L295" s="2" t="s">
        <v>620</v>
      </c>
      <c r="M295" s="2" t="s">
        <v>620</v>
      </c>
      <c r="N295" s="2" t="s">
        <v>620</v>
      </c>
      <c r="O295" t="s">
        <v>639</v>
      </c>
      <c r="P295" t="s">
        <v>639</v>
      </c>
      <c r="Q295" t="s">
        <v>639</v>
      </c>
      <c r="R295" t="s">
        <v>639</v>
      </c>
      <c r="S295" t="s">
        <v>639</v>
      </c>
      <c r="T295" t="s">
        <v>620</v>
      </c>
      <c r="U295" t="s">
        <v>620</v>
      </c>
      <c r="V295" s="3" t="str">
        <f>IF(AND(data[[#This Row],[status]]="OK",data[[#This Row],[approach]]="evoavalla"),data[[#This Row],[asm_path]],"")</f>
        <v/>
      </c>
      <c r="W295" s="3" t="str">
        <f>IF(AND(data[[#This Row],[status]]="OK",data[[#This Row],[approach]]="atgt"),data[[#This Row],[asm_path]],"")</f>
        <v/>
      </c>
      <c r="X295" s="3" t="b">
        <f>COUNTIF(W:W,data[[#This Row],[path_ok_status_evoavalla]]) = 1</f>
        <v>0</v>
      </c>
    </row>
    <row r="296" spans="1:24" x14ac:dyDescent="0.25">
      <c r="A296" t="s">
        <v>1539</v>
      </c>
      <c r="B296" t="s">
        <v>1540</v>
      </c>
      <c r="C296" t="s">
        <v>636</v>
      </c>
      <c r="D296" t="s">
        <v>621</v>
      </c>
      <c r="E296" t="s">
        <v>620</v>
      </c>
      <c r="F296" t="s">
        <v>683</v>
      </c>
      <c r="G296" t="s">
        <v>642</v>
      </c>
      <c r="H296" t="s">
        <v>623</v>
      </c>
      <c r="I296" t="s">
        <v>638</v>
      </c>
      <c r="J296" t="s">
        <v>632</v>
      </c>
      <c r="K296" s="2" t="s">
        <v>620</v>
      </c>
      <c r="L296" s="2" t="s">
        <v>620</v>
      </c>
      <c r="M296" s="2" t="s">
        <v>620</v>
      </c>
      <c r="N296" s="2" t="s">
        <v>620</v>
      </c>
      <c r="O296" t="s">
        <v>639</v>
      </c>
      <c r="P296" t="s">
        <v>639</v>
      </c>
      <c r="Q296" t="s">
        <v>639</v>
      </c>
      <c r="R296" t="s">
        <v>639</v>
      </c>
      <c r="S296" t="s">
        <v>639</v>
      </c>
      <c r="T296" t="s">
        <v>620</v>
      </c>
      <c r="U296" t="s">
        <v>620</v>
      </c>
      <c r="V296" s="3" t="str">
        <f>IF(AND(data[[#This Row],[status]]="OK",data[[#This Row],[approach]]="evoavalla"),data[[#This Row],[asm_path]],"")</f>
        <v/>
      </c>
      <c r="W296" s="3" t="str">
        <f>IF(AND(data[[#This Row],[status]]="OK",data[[#This Row],[approach]]="atgt"),data[[#This Row],[asm_path]],"")</f>
        <v/>
      </c>
      <c r="X296" s="3" t="b">
        <f>COUNTIF(W:W,data[[#This Row],[path_ok_status_evoavalla]]) = 1</f>
        <v>0</v>
      </c>
    </row>
    <row r="297" spans="1:24" x14ac:dyDescent="0.25">
      <c r="A297" t="s">
        <v>1541</v>
      </c>
      <c r="B297" t="s">
        <v>1542</v>
      </c>
      <c r="C297" t="s">
        <v>683</v>
      </c>
      <c r="D297" t="s">
        <v>716</v>
      </c>
      <c r="E297" t="s">
        <v>636</v>
      </c>
      <c r="F297" t="s">
        <v>683</v>
      </c>
      <c r="G297" t="s">
        <v>675</v>
      </c>
      <c r="H297" t="s">
        <v>623</v>
      </c>
      <c r="I297" t="s">
        <v>638</v>
      </c>
      <c r="J297" t="s">
        <v>632</v>
      </c>
      <c r="K297" s="2" t="s">
        <v>620</v>
      </c>
      <c r="L297" s="2" t="s">
        <v>620</v>
      </c>
      <c r="M297" s="2" t="s">
        <v>620</v>
      </c>
      <c r="N297" s="2" t="s">
        <v>620</v>
      </c>
      <c r="O297" t="s">
        <v>639</v>
      </c>
      <c r="P297" t="s">
        <v>639</v>
      </c>
      <c r="Q297" t="s">
        <v>639</v>
      </c>
      <c r="R297" t="s">
        <v>639</v>
      </c>
      <c r="S297" t="s">
        <v>639</v>
      </c>
      <c r="T297" t="s">
        <v>620</v>
      </c>
      <c r="U297" t="s">
        <v>620</v>
      </c>
      <c r="V297" s="3" t="str">
        <f>IF(AND(data[[#This Row],[status]]="OK",data[[#This Row],[approach]]="evoavalla"),data[[#This Row],[asm_path]],"")</f>
        <v/>
      </c>
      <c r="W297" s="3" t="str">
        <f>IF(AND(data[[#This Row],[status]]="OK",data[[#This Row],[approach]]="atgt"),data[[#This Row],[asm_path]],"")</f>
        <v/>
      </c>
      <c r="X297" s="3" t="b">
        <f>COUNTIF(W:W,data[[#This Row],[path_ok_status_evoavalla]]) = 1</f>
        <v>0</v>
      </c>
    </row>
    <row r="298" spans="1:24" x14ac:dyDescent="0.25">
      <c r="A298" t="s">
        <v>1543</v>
      </c>
      <c r="B298" t="s">
        <v>1544</v>
      </c>
      <c r="C298" t="s">
        <v>637</v>
      </c>
      <c r="D298" t="s">
        <v>826</v>
      </c>
      <c r="E298" t="s">
        <v>636</v>
      </c>
      <c r="F298" t="s">
        <v>717</v>
      </c>
      <c r="G298" t="s">
        <v>668</v>
      </c>
      <c r="H298" t="s">
        <v>623</v>
      </c>
      <c r="I298" t="s">
        <v>638</v>
      </c>
      <c r="J298" t="s">
        <v>632</v>
      </c>
      <c r="K298" s="2" t="s">
        <v>620</v>
      </c>
      <c r="L298" s="2" t="s">
        <v>620</v>
      </c>
      <c r="M298" s="2" t="s">
        <v>620</v>
      </c>
      <c r="N298" s="2" t="s">
        <v>620</v>
      </c>
      <c r="O298" t="s">
        <v>639</v>
      </c>
      <c r="P298" t="s">
        <v>639</v>
      </c>
      <c r="Q298" t="s">
        <v>639</v>
      </c>
      <c r="R298" t="s">
        <v>639</v>
      </c>
      <c r="S298" t="s">
        <v>639</v>
      </c>
      <c r="T298" t="s">
        <v>620</v>
      </c>
      <c r="U298" t="s">
        <v>620</v>
      </c>
      <c r="V298" s="3" t="str">
        <f>IF(AND(data[[#This Row],[status]]="OK",data[[#This Row],[approach]]="evoavalla"),data[[#This Row],[asm_path]],"")</f>
        <v/>
      </c>
      <c r="W298" s="3" t="str">
        <f>IF(AND(data[[#This Row],[status]]="OK",data[[#This Row],[approach]]="atgt"),data[[#This Row],[asm_path]],"")</f>
        <v/>
      </c>
      <c r="X298" s="3" t="b">
        <f>COUNTIF(W:W,data[[#This Row],[path_ok_status_evoavalla]]) = 1</f>
        <v>0</v>
      </c>
    </row>
    <row r="299" spans="1:24" x14ac:dyDescent="0.25">
      <c r="A299" t="s">
        <v>616</v>
      </c>
      <c r="B299" t="s">
        <v>617</v>
      </c>
      <c r="C299" t="s">
        <v>618</v>
      </c>
      <c r="D299" t="s">
        <v>619</v>
      </c>
      <c r="E299" t="s">
        <v>620</v>
      </c>
      <c r="F299" t="s">
        <v>621</v>
      </c>
      <c r="G299" t="s">
        <v>622</v>
      </c>
      <c r="H299" t="s">
        <v>1545</v>
      </c>
      <c r="I299" t="s">
        <v>624</v>
      </c>
      <c r="J299" t="s">
        <v>1546</v>
      </c>
      <c r="K299" s="2" t="s">
        <v>628</v>
      </c>
      <c r="L299" s="2" t="s">
        <v>752</v>
      </c>
      <c r="M299" s="2" t="s">
        <v>941</v>
      </c>
      <c r="N299" s="2" t="s">
        <v>809</v>
      </c>
      <c r="O299" t="s">
        <v>630</v>
      </c>
      <c r="P299" t="s">
        <v>1547</v>
      </c>
      <c r="Q299" t="s">
        <v>632</v>
      </c>
      <c r="R299" t="s">
        <v>1548</v>
      </c>
      <c r="S299" t="s">
        <v>1549</v>
      </c>
      <c r="T299" t="s">
        <v>620</v>
      </c>
      <c r="U299" t="s">
        <v>620</v>
      </c>
      <c r="V299" s="3" t="str">
        <f>IF(AND(data[[#This Row],[status]]="OK",data[[#This Row],[approach]]="evoavalla"),data[[#This Row],[asm_path]],"")</f>
        <v/>
      </c>
      <c r="W299" s="3" t="str">
        <f>IF(AND(data[[#This Row],[status]]="OK",data[[#This Row],[approach]]="atgt"),data[[#This Row],[asm_path]],"")</f>
        <v>../../../asm_examples/stereoacuity/certifierRaff2.asm</v>
      </c>
      <c r="X299" s="3" t="b">
        <f>COUNTIF(W:W,data[[#This Row],[path_ok_status_evoavalla]]) = 1</f>
        <v>0</v>
      </c>
    </row>
    <row r="300" spans="1:24" x14ac:dyDescent="0.25">
      <c r="A300" t="s">
        <v>633</v>
      </c>
      <c r="B300" t="s">
        <v>634</v>
      </c>
      <c r="C300" t="s">
        <v>635</v>
      </c>
      <c r="D300" t="s">
        <v>635</v>
      </c>
      <c r="E300" t="s">
        <v>636</v>
      </c>
      <c r="F300" t="s">
        <v>626</v>
      </c>
      <c r="G300" t="s">
        <v>637</v>
      </c>
      <c r="H300" t="s">
        <v>1545</v>
      </c>
      <c r="I300" t="s">
        <v>638</v>
      </c>
      <c r="J300" t="s">
        <v>632</v>
      </c>
      <c r="K300" s="2" t="s">
        <v>620</v>
      </c>
      <c r="L300" s="2" t="s">
        <v>620</v>
      </c>
      <c r="M300" s="2" t="s">
        <v>620</v>
      </c>
      <c r="N300" s="2" t="s">
        <v>620</v>
      </c>
      <c r="O300" t="s">
        <v>639</v>
      </c>
      <c r="P300" t="s">
        <v>639</v>
      </c>
      <c r="Q300" t="s">
        <v>639</v>
      </c>
      <c r="R300" t="s">
        <v>639</v>
      </c>
      <c r="S300" t="s">
        <v>639</v>
      </c>
      <c r="T300" t="s">
        <v>620</v>
      </c>
      <c r="U300" t="s">
        <v>620</v>
      </c>
      <c r="V300" s="3" t="str">
        <f>IF(AND(data[[#This Row],[status]]="OK",data[[#This Row],[approach]]="evoavalla"),data[[#This Row],[asm_path]],"")</f>
        <v/>
      </c>
      <c r="W300" s="3" t="str">
        <f>IF(AND(data[[#This Row],[status]]="OK",data[[#This Row],[approach]]="atgt"),data[[#This Row],[asm_path]],"")</f>
        <v/>
      </c>
      <c r="X300" s="3" t="b">
        <f>COUNTIF(W:W,data[[#This Row],[path_ok_status_evoavalla]]) = 1</f>
        <v>0</v>
      </c>
    </row>
    <row r="301" spans="1:24" x14ac:dyDescent="0.25">
      <c r="A301" t="s">
        <v>640</v>
      </c>
      <c r="B301" t="s">
        <v>641</v>
      </c>
      <c r="C301" t="s">
        <v>626</v>
      </c>
      <c r="D301" t="s">
        <v>642</v>
      </c>
      <c r="E301" t="s">
        <v>635</v>
      </c>
      <c r="F301" t="s">
        <v>643</v>
      </c>
      <c r="G301" t="s">
        <v>644</v>
      </c>
      <c r="H301" t="s">
        <v>1545</v>
      </c>
      <c r="I301" t="s">
        <v>638</v>
      </c>
      <c r="J301" t="s">
        <v>632</v>
      </c>
      <c r="K301" s="2" t="s">
        <v>620</v>
      </c>
      <c r="L301" s="2" t="s">
        <v>620</v>
      </c>
      <c r="M301" s="2" t="s">
        <v>620</v>
      </c>
      <c r="N301" s="2" t="s">
        <v>620</v>
      </c>
      <c r="O301" t="s">
        <v>639</v>
      </c>
      <c r="P301" t="s">
        <v>639</v>
      </c>
      <c r="Q301" t="s">
        <v>639</v>
      </c>
      <c r="R301" t="s">
        <v>639</v>
      </c>
      <c r="S301" t="s">
        <v>639</v>
      </c>
      <c r="T301" t="s">
        <v>620</v>
      </c>
      <c r="U301" t="s">
        <v>620</v>
      </c>
      <c r="V301" s="3" t="str">
        <f>IF(AND(data[[#This Row],[status]]="OK",data[[#This Row],[approach]]="evoavalla"),data[[#This Row],[asm_path]],"")</f>
        <v/>
      </c>
      <c r="W301" s="3" t="str">
        <f>IF(AND(data[[#This Row],[status]]="OK",data[[#This Row],[approach]]="atgt"),data[[#This Row],[asm_path]],"")</f>
        <v/>
      </c>
      <c r="X301" s="3" t="b">
        <f>COUNTIF(W:W,data[[#This Row],[path_ok_status_evoavalla]]) = 1</f>
        <v>0</v>
      </c>
    </row>
    <row r="302" spans="1:24" x14ac:dyDescent="0.25">
      <c r="A302" t="s">
        <v>645</v>
      </c>
      <c r="B302" t="s">
        <v>646</v>
      </c>
      <c r="C302" t="s">
        <v>647</v>
      </c>
      <c r="D302" t="s">
        <v>648</v>
      </c>
      <c r="E302" t="s">
        <v>620</v>
      </c>
      <c r="F302" t="s">
        <v>649</v>
      </c>
      <c r="G302" t="s">
        <v>650</v>
      </c>
      <c r="H302" t="s">
        <v>1545</v>
      </c>
      <c r="I302" t="s">
        <v>638</v>
      </c>
      <c r="J302" t="s">
        <v>632</v>
      </c>
      <c r="K302" s="2" t="s">
        <v>620</v>
      </c>
      <c r="L302" s="2" t="s">
        <v>620</v>
      </c>
      <c r="M302" s="2" t="s">
        <v>620</v>
      </c>
      <c r="N302" s="2" t="s">
        <v>620</v>
      </c>
      <c r="O302" t="s">
        <v>639</v>
      </c>
      <c r="P302" t="s">
        <v>639</v>
      </c>
      <c r="Q302" t="s">
        <v>639</v>
      </c>
      <c r="R302" t="s">
        <v>639</v>
      </c>
      <c r="S302" t="s">
        <v>639</v>
      </c>
      <c r="T302" t="s">
        <v>620</v>
      </c>
      <c r="U302" t="s">
        <v>620</v>
      </c>
      <c r="V302" s="3" t="str">
        <f>IF(AND(data[[#This Row],[status]]="OK",data[[#This Row],[approach]]="evoavalla"),data[[#This Row],[asm_path]],"")</f>
        <v/>
      </c>
      <c r="W302" s="3" t="str">
        <f>IF(AND(data[[#This Row],[status]]="OK",data[[#This Row],[approach]]="atgt"),data[[#This Row],[asm_path]],"")</f>
        <v/>
      </c>
      <c r="X302" s="3" t="b">
        <f>COUNTIF(W:W,data[[#This Row],[path_ok_status_evoavalla]]) = 1</f>
        <v>0</v>
      </c>
    </row>
    <row r="303" spans="1:24" x14ac:dyDescent="0.25">
      <c r="A303" t="s">
        <v>657</v>
      </c>
      <c r="B303" t="s">
        <v>658</v>
      </c>
      <c r="C303" t="s">
        <v>635</v>
      </c>
      <c r="D303" t="s">
        <v>635</v>
      </c>
      <c r="E303" t="s">
        <v>620</v>
      </c>
      <c r="F303" t="s">
        <v>636</v>
      </c>
      <c r="G303" t="s">
        <v>628</v>
      </c>
      <c r="H303" t="s">
        <v>1545</v>
      </c>
      <c r="I303" t="s">
        <v>638</v>
      </c>
      <c r="J303" t="s">
        <v>632</v>
      </c>
      <c r="K303" s="2" t="s">
        <v>620</v>
      </c>
      <c r="L303" s="2" t="s">
        <v>620</v>
      </c>
      <c r="M303" s="2" t="s">
        <v>620</v>
      </c>
      <c r="N303" s="2" t="s">
        <v>620</v>
      </c>
      <c r="O303" t="s">
        <v>639</v>
      </c>
      <c r="P303" t="s">
        <v>639</v>
      </c>
      <c r="Q303" t="s">
        <v>639</v>
      </c>
      <c r="R303" t="s">
        <v>639</v>
      </c>
      <c r="S303" t="s">
        <v>639</v>
      </c>
      <c r="T303" t="s">
        <v>620</v>
      </c>
      <c r="U303" t="s">
        <v>620</v>
      </c>
      <c r="V303" s="3" t="str">
        <f>IF(AND(data[[#This Row],[status]]="OK",data[[#This Row],[approach]]="evoavalla"),data[[#This Row],[asm_path]],"")</f>
        <v/>
      </c>
      <c r="W303" s="3" t="str">
        <f>IF(AND(data[[#This Row],[status]]="OK",data[[#This Row],[approach]]="atgt"),data[[#This Row],[asm_path]],"")</f>
        <v/>
      </c>
      <c r="X303" s="3" t="b">
        <f>COUNTIF(W:W,data[[#This Row],[path_ok_status_evoavalla]]) = 1</f>
        <v>0</v>
      </c>
    </row>
    <row r="304" spans="1:24" x14ac:dyDescent="0.25">
      <c r="A304" t="s">
        <v>660</v>
      </c>
      <c r="B304" t="s">
        <v>661</v>
      </c>
      <c r="C304" t="s">
        <v>635</v>
      </c>
      <c r="D304" t="s">
        <v>635</v>
      </c>
      <c r="E304" t="s">
        <v>636</v>
      </c>
      <c r="F304" t="s">
        <v>626</v>
      </c>
      <c r="G304" t="s">
        <v>621</v>
      </c>
      <c r="H304" t="s">
        <v>1545</v>
      </c>
      <c r="I304" t="s">
        <v>638</v>
      </c>
      <c r="J304" t="s">
        <v>632</v>
      </c>
      <c r="K304" s="2" t="s">
        <v>620</v>
      </c>
      <c r="L304" s="2" t="s">
        <v>620</v>
      </c>
      <c r="M304" s="2" t="s">
        <v>620</v>
      </c>
      <c r="N304" s="2" t="s">
        <v>620</v>
      </c>
      <c r="O304" t="s">
        <v>639</v>
      </c>
      <c r="P304" t="s">
        <v>639</v>
      </c>
      <c r="Q304" t="s">
        <v>639</v>
      </c>
      <c r="R304" t="s">
        <v>639</v>
      </c>
      <c r="S304" t="s">
        <v>639</v>
      </c>
      <c r="T304" t="s">
        <v>620</v>
      </c>
      <c r="U304" t="s">
        <v>620</v>
      </c>
      <c r="V304" s="3" t="str">
        <f>IF(AND(data[[#This Row],[status]]="OK",data[[#This Row],[approach]]="evoavalla"),data[[#This Row],[asm_path]],"")</f>
        <v/>
      </c>
      <c r="W304" s="3" t="str">
        <f>IF(AND(data[[#This Row],[status]]="OK",data[[#This Row],[approach]]="atgt"),data[[#This Row],[asm_path]],"")</f>
        <v/>
      </c>
      <c r="X304" s="3" t="b">
        <f>COUNTIF(W:W,data[[#This Row],[path_ok_status_evoavalla]]) = 1</f>
        <v>0</v>
      </c>
    </row>
    <row r="305" spans="1:24" x14ac:dyDescent="0.25">
      <c r="A305" t="s">
        <v>662</v>
      </c>
      <c r="B305" t="s">
        <v>663</v>
      </c>
      <c r="C305" t="s">
        <v>636</v>
      </c>
      <c r="D305" t="s">
        <v>664</v>
      </c>
      <c r="E305" t="s">
        <v>620</v>
      </c>
      <c r="F305" t="s">
        <v>664</v>
      </c>
      <c r="G305" t="s">
        <v>621</v>
      </c>
      <c r="H305" t="s">
        <v>1545</v>
      </c>
      <c r="I305" t="s">
        <v>638</v>
      </c>
      <c r="J305" t="s">
        <v>632</v>
      </c>
      <c r="K305" s="2" t="s">
        <v>620</v>
      </c>
      <c r="L305" s="2" t="s">
        <v>620</v>
      </c>
      <c r="M305" s="2" t="s">
        <v>620</v>
      </c>
      <c r="N305" s="2" t="s">
        <v>620</v>
      </c>
      <c r="O305" t="s">
        <v>639</v>
      </c>
      <c r="P305" t="s">
        <v>639</v>
      </c>
      <c r="Q305" t="s">
        <v>639</v>
      </c>
      <c r="R305" t="s">
        <v>639</v>
      </c>
      <c r="S305" t="s">
        <v>639</v>
      </c>
      <c r="T305" t="s">
        <v>620</v>
      </c>
      <c r="U305" t="s">
        <v>620</v>
      </c>
      <c r="V305" s="3" t="str">
        <f>IF(AND(data[[#This Row],[status]]="OK",data[[#This Row],[approach]]="evoavalla"),data[[#This Row],[asm_path]],"")</f>
        <v/>
      </c>
      <c r="W305" s="3" t="str">
        <f>IF(AND(data[[#This Row],[status]]="OK",data[[#This Row],[approach]]="atgt"),data[[#This Row],[asm_path]],"")</f>
        <v/>
      </c>
      <c r="X305" s="3" t="b">
        <f>COUNTIF(W:W,data[[#This Row],[path_ok_status_evoavalla]]) = 1</f>
        <v>0</v>
      </c>
    </row>
    <row r="306" spans="1:24" x14ac:dyDescent="0.25">
      <c r="A306" t="s">
        <v>665</v>
      </c>
      <c r="B306" t="s">
        <v>666</v>
      </c>
      <c r="C306" t="s">
        <v>667</v>
      </c>
      <c r="D306" t="s">
        <v>668</v>
      </c>
      <c r="E306" t="s">
        <v>669</v>
      </c>
      <c r="F306" t="s">
        <v>668</v>
      </c>
      <c r="G306" t="s">
        <v>670</v>
      </c>
      <c r="H306" t="s">
        <v>1545</v>
      </c>
      <c r="I306" t="s">
        <v>638</v>
      </c>
      <c r="J306" t="s">
        <v>632</v>
      </c>
      <c r="K306" s="2" t="s">
        <v>620</v>
      </c>
      <c r="L306" s="2" t="s">
        <v>620</v>
      </c>
      <c r="M306" s="2" t="s">
        <v>620</v>
      </c>
      <c r="N306" s="2" t="s">
        <v>620</v>
      </c>
      <c r="O306" t="s">
        <v>639</v>
      </c>
      <c r="P306" t="s">
        <v>639</v>
      </c>
      <c r="Q306" t="s">
        <v>639</v>
      </c>
      <c r="R306" t="s">
        <v>639</v>
      </c>
      <c r="S306" t="s">
        <v>639</v>
      </c>
      <c r="T306" t="s">
        <v>620</v>
      </c>
      <c r="U306" t="s">
        <v>620</v>
      </c>
      <c r="V306" s="3" t="str">
        <f>IF(AND(data[[#This Row],[status]]="OK",data[[#This Row],[approach]]="evoavalla"),data[[#This Row],[asm_path]],"")</f>
        <v/>
      </c>
      <c r="W306" s="3" t="str">
        <f>IF(AND(data[[#This Row],[status]]="OK",data[[#This Row],[approach]]="atgt"),data[[#This Row],[asm_path]],"")</f>
        <v/>
      </c>
      <c r="X306" s="3" t="b">
        <f>COUNTIF(W:W,data[[#This Row],[path_ok_status_evoavalla]]) = 1</f>
        <v>0</v>
      </c>
    </row>
    <row r="307" spans="1:24" x14ac:dyDescent="0.25">
      <c r="A307" t="s">
        <v>671</v>
      </c>
      <c r="B307" t="s">
        <v>672</v>
      </c>
      <c r="C307" t="s">
        <v>626</v>
      </c>
      <c r="D307" t="s">
        <v>664</v>
      </c>
      <c r="E307" t="s">
        <v>636</v>
      </c>
      <c r="F307" t="s">
        <v>626</v>
      </c>
      <c r="G307" t="s">
        <v>618</v>
      </c>
      <c r="H307" t="s">
        <v>1545</v>
      </c>
      <c r="I307" t="s">
        <v>638</v>
      </c>
      <c r="J307" t="s">
        <v>632</v>
      </c>
      <c r="K307" s="2" t="s">
        <v>620</v>
      </c>
      <c r="L307" s="2" t="s">
        <v>620</v>
      </c>
      <c r="M307" s="2" t="s">
        <v>620</v>
      </c>
      <c r="N307" s="2" t="s">
        <v>620</v>
      </c>
      <c r="O307" t="s">
        <v>639</v>
      </c>
      <c r="P307" t="s">
        <v>639</v>
      </c>
      <c r="Q307" t="s">
        <v>639</v>
      </c>
      <c r="R307" t="s">
        <v>639</v>
      </c>
      <c r="S307" t="s">
        <v>639</v>
      </c>
      <c r="T307" t="s">
        <v>620</v>
      </c>
      <c r="U307" t="s">
        <v>620</v>
      </c>
      <c r="V307" s="3" t="str">
        <f>IF(AND(data[[#This Row],[status]]="OK",data[[#This Row],[approach]]="evoavalla"),data[[#This Row],[asm_path]],"")</f>
        <v/>
      </c>
      <c r="W307" s="3" t="str">
        <f>IF(AND(data[[#This Row],[status]]="OK",data[[#This Row],[approach]]="atgt"),data[[#This Row],[asm_path]],"")</f>
        <v/>
      </c>
      <c r="X307" s="3" t="b">
        <f>COUNTIF(W:W,data[[#This Row],[path_ok_status_evoavalla]]) = 1</f>
        <v>0</v>
      </c>
    </row>
    <row r="308" spans="1:24" x14ac:dyDescent="0.25">
      <c r="A308" t="s">
        <v>673</v>
      </c>
      <c r="B308" t="s">
        <v>674</v>
      </c>
      <c r="C308" t="s">
        <v>675</v>
      </c>
      <c r="D308" t="s">
        <v>676</v>
      </c>
      <c r="E308" t="s">
        <v>677</v>
      </c>
      <c r="F308" t="s">
        <v>678</v>
      </c>
      <c r="G308" t="s">
        <v>679</v>
      </c>
      <c r="H308" t="s">
        <v>1545</v>
      </c>
      <c r="I308" t="s">
        <v>638</v>
      </c>
      <c r="J308" t="s">
        <v>632</v>
      </c>
      <c r="K308" s="2" t="s">
        <v>620</v>
      </c>
      <c r="L308" s="2" t="s">
        <v>620</v>
      </c>
      <c r="M308" s="2" t="s">
        <v>620</v>
      </c>
      <c r="N308" s="2" t="s">
        <v>620</v>
      </c>
      <c r="O308" t="s">
        <v>639</v>
      </c>
      <c r="P308" t="s">
        <v>639</v>
      </c>
      <c r="Q308" t="s">
        <v>639</v>
      </c>
      <c r="R308" t="s">
        <v>639</v>
      </c>
      <c r="S308" t="s">
        <v>639</v>
      </c>
      <c r="T308" t="s">
        <v>620</v>
      </c>
      <c r="U308" t="s">
        <v>620</v>
      </c>
      <c r="V308" s="3" t="str">
        <f>IF(AND(data[[#This Row],[status]]="OK",data[[#This Row],[approach]]="evoavalla"),data[[#This Row],[asm_path]],"")</f>
        <v/>
      </c>
      <c r="W308" s="3" t="str">
        <f>IF(AND(data[[#This Row],[status]]="OK",data[[#This Row],[approach]]="atgt"),data[[#This Row],[asm_path]],"")</f>
        <v/>
      </c>
      <c r="X308" s="3" t="b">
        <f>COUNTIF(W:W,data[[#This Row],[path_ok_status_evoavalla]]) = 1</f>
        <v>0</v>
      </c>
    </row>
    <row r="309" spans="1:24" x14ac:dyDescent="0.25">
      <c r="A309" t="s">
        <v>680</v>
      </c>
      <c r="B309" t="s">
        <v>681</v>
      </c>
      <c r="C309" t="s">
        <v>635</v>
      </c>
      <c r="D309" t="s">
        <v>682</v>
      </c>
      <c r="E309" t="s">
        <v>620</v>
      </c>
      <c r="F309" t="s">
        <v>682</v>
      </c>
      <c r="G309" t="s">
        <v>683</v>
      </c>
      <c r="H309" t="s">
        <v>1545</v>
      </c>
      <c r="I309" t="s">
        <v>638</v>
      </c>
      <c r="J309" t="s">
        <v>632</v>
      </c>
      <c r="K309" s="2" t="s">
        <v>620</v>
      </c>
      <c r="L309" s="2" t="s">
        <v>620</v>
      </c>
      <c r="M309" s="2" t="s">
        <v>620</v>
      </c>
      <c r="N309" s="2" t="s">
        <v>620</v>
      </c>
      <c r="O309" t="s">
        <v>639</v>
      </c>
      <c r="P309" t="s">
        <v>639</v>
      </c>
      <c r="Q309" t="s">
        <v>639</v>
      </c>
      <c r="R309" t="s">
        <v>639</v>
      </c>
      <c r="S309" t="s">
        <v>639</v>
      </c>
      <c r="T309" t="s">
        <v>620</v>
      </c>
      <c r="U309" t="s">
        <v>620</v>
      </c>
      <c r="V309" s="3" t="str">
        <f>IF(AND(data[[#This Row],[status]]="OK",data[[#This Row],[approach]]="evoavalla"),data[[#This Row],[asm_path]],"")</f>
        <v/>
      </c>
      <c r="W309" s="3" t="str">
        <f>IF(AND(data[[#This Row],[status]]="OK",data[[#This Row],[approach]]="atgt"),data[[#This Row],[asm_path]],"")</f>
        <v/>
      </c>
      <c r="X309" s="3" t="b">
        <f>COUNTIF(W:W,data[[#This Row],[path_ok_status_evoavalla]]) = 1</f>
        <v>0</v>
      </c>
    </row>
    <row r="310" spans="1:24" x14ac:dyDescent="0.25">
      <c r="A310" t="s">
        <v>684</v>
      </c>
      <c r="B310" t="s">
        <v>685</v>
      </c>
      <c r="C310" t="s">
        <v>682</v>
      </c>
      <c r="D310" t="s">
        <v>664</v>
      </c>
      <c r="E310" t="s">
        <v>620</v>
      </c>
      <c r="F310" t="s">
        <v>664</v>
      </c>
      <c r="G310" t="s">
        <v>643</v>
      </c>
      <c r="H310" t="s">
        <v>1545</v>
      </c>
      <c r="I310" t="s">
        <v>638</v>
      </c>
      <c r="J310" t="s">
        <v>632</v>
      </c>
      <c r="K310" s="2" t="s">
        <v>620</v>
      </c>
      <c r="L310" s="2" t="s">
        <v>620</v>
      </c>
      <c r="M310" s="2" t="s">
        <v>620</v>
      </c>
      <c r="N310" s="2" t="s">
        <v>620</v>
      </c>
      <c r="O310" t="s">
        <v>639</v>
      </c>
      <c r="P310" t="s">
        <v>639</v>
      </c>
      <c r="Q310" t="s">
        <v>639</v>
      </c>
      <c r="R310" t="s">
        <v>639</v>
      </c>
      <c r="S310" t="s">
        <v>639</v>
      </c>
      <c r="T310" t="s">
        <v>620</v>
      </c>
      <c r="U310" t="s">
        <v>620</v>
      </c>
      <c r="V310" s="3" t="str">
        <f>IF(AND(data[[#This Row],[status]]="OK",data[[#This Row],[approach]]="evoavalla"),data[[#This Row],[asm_path]],"")</f>
        <v/>
      </c>
      <c r="W310" s="3" t="str">
        <f>IF(AND(data[[#This Row],[status]]="OK",data[[#This Row],[approach]]="atgt"),data[[#This Row],[asm_path]],"")</f>
        <v/>
      </c>
      <c r="X310" s="3" t="b">
        <f>COUNTIF(W:W,data[[#This Row],[path_ok_status_evoavalla]]) = 1</f>
        <v>0</v>
      </c>
    </row>
    <row r="311" spans="1:24" x14ac:dyDescent="0.25">
      <c r="A311" t="s">
        <v>686</v>
      </c>
      <c r="B311" t="s">
        <v>687</v>
      </c>
      <c r="C311" t="s">
        <v>682</v>
      </c>
      <c r="D311" t="s">
        <v>635</v>
      </c>
      <c r="E311" t="s">
        <v>636</v>
      </c>
      <c r="F311" t="s">
        <v>635</v>
      </c>
      <c r="G311" t="s">
        <v>683</v>
      </c>
      <c r="H311" t="s">
        <v>1545</v>
      </c>
      <c r="I311" t="s">
        <v>638</v>
      </c>
      <c r="J311" t="s">
        <v>632</v>
      </c>
      <c r="K311" s="2" t="s">
        <v>620</v>
      </c>
      <c r="L311" s="2" t="s">
        <v>620</v>
      </c>
      <c r="M311" s="2" t="s">
        <v>620</v>
      </c>
      <c r="N311" s="2" t="s">
        <v>620</v>
      </c>
      <c r="O311" t="s">
        <v>639</v>
      </c>
      <c r="P311" t="s">
        <v>639</v>
      </c>
      <c r="Q311" t="s">
        <v>639</v>
      </c>
      <c r="R311" t="s">
        <v>639</v>
      </c>
      <c r="S311" t="s">
        <v>639</v>
      </c>
      <c r="T311" t="s">
        <v>620</v>
      </c>
      <c r="U311" t="s">
        <v>620</v>
      </c>
      <c r="V311" s="3" t="str">
        <f>IF(AND(data[[#This Row],[status]]="OK",data[[#This Row],[approach]]="evoavalla"),data[[#This Row],[asm_path]],"")</f>
        <v/>
      </c>
      <c r="W311" s="3" t="str">
        <f>IF(AND(data[[#This Row],[status]]="OK",data[[#This Row],[approach]]="atgt"),data[[#This Row],[asm_path]],"")</f>
        <v/>
      </c>
      <c r="X311" s="3" t="b">
        <f>COUNTIF(W:W,data[[#This Row],[path_ok_status_evoavalla]]) = 1</f>
        <v>0</v>
      </c>
    </row>
    <row r="312" spans="1:24" x14ac:dyDescent="0.25">
      <c r="A312" t="s">
        <v>688</v>
      </c>
      <c r="B312" t="s">
        <v>689</v>
      </c>
      <c r="C312" t="s">
        <v>626</v>
      </c>
      <c r="D312" t="s">
        <v>690</v>
      </c>
      <c r="E312" t="s">
        <v>635</v>
      </c>
      <c r="F312" t="s">
        <v>643</v>
      </c>
      <c r="G312" t="s">
        <v>691</v>
      </c>
      <c r="H312" t="s">
        <v>1545</v>
      </c>
      <c r="I312" t="s">
        <v>638</v>
      </c>
      <c r="J312" t="s">
        <v>632</v>
      </c>
      <c r="K312" s="2" t="s">
        <v>620</v>
      </c>
      <c r="L312" s="2" t="s">
        <v>620</v>
      </c>
      <c r="M312" s="2" t="s">
        <v>620</v>
      </c>
      <c r="N312" s="2" t="s">
        <v>620</v>
      </c>
      <c r="O312" t="s">
        <v>639</v>
      </c>
      <c r="P312" t="s">
        <v>639</v>
      </c>
      <c r="Q312" t="s">
        <v>639</v>
      </c>
      <c r="R312" t="s">
        <v>639</v>
      </c>
      <c r="S312" t="s">
        <v>639</v>
      </c>
      <c r="T312" t="s">
        <v>620</v>
      </c>
      <c r="U312" t="s">
        <v>620</v>
      </c>
      <c r="V312" s="3" t="str">
        <f>IF(AND(data[[#This Row],[status]]="OK",data[[#This Row],[approach]]="evoavalla"),data[[#This Row],[asm_path]],"")</f>
        <v/>
      </c>
      <c r="W312" s="3" t="str">
        <f>IF(AND(data[[#This Row],[status]]="OK",data[[#This Row],[approach]]="atgt"),data[[#This Row],[asm_path]],"")</f>
        <v/>
      </c>
      <c r="X312" s="3" t="b">
        <f>COUNTIF(W:W,data[[#This Row],[path_ok_status_evoavalla]]) = 1</f>
        <v>0</v>
      </c>
    </row>
    <row r="313" spans="1:24" x14ac:dyDescent="0.25">
      <c r="A313" t="s">
        <v>692</v>
      </c>
      <c r="B313" t="s">
        <v>693</v>
      </c>
      <c r="C313" t="s">
        <v>635</v>
      </c>
      <c r="D313" t="s">
        <v>636</v>
      </c>
      <c r="E313" t="s">
        <v>636</v>
      </c>
      <c r="F313" t="s">
        <v>635</v>
      </c>
      <c r="G313" t="s">
        <v>664</v>
      </c>
      <c r="H313" t="s">
        <v>1545</v>
      </c>
      <c r="I313" t="s">
        <v>638</v>
      </c>
      <c r="J313" t="s">
        <v>632</v>
      </c>
      <c r="K313" s="2" t="s">
        <v>620</v>
      </c>
      <c r="L313" s="2" t="s">
        <v>620</v>
      </c>
      <c r="M313" s="2" t="s">
        <v>620</v>
      </c>
      <c r="N313" s="2" t="s">
        <v>620</v>
      </c>
      <c r="O313" t="s">
        <v>639</v>
      </c>
      <c r="P313" t="s">
        <v>639</v>
      </c>
      <c r="Q313" t="s">
        <v>639</v>
      </c>
      <c r="R313" t="s">
        <v>639</v>
      </c>
      <c r="S313" t="s">
        <v>639</v>
      </c>
      <c r="T313" t="s">
        <v>620</v>
      </c>
      <c r="U313" t="s">
        <v>620</v>
      </c>
      <c r="V313" s="3" t="str">
        <f>IF(AND(data[[#This Row],[status]]="OK",data[[#This Row],[approach]]="evoavalla"),data[[#This Row],[asm_path]],"")</f>
        <v/>
      </c>
      <c r="W313" s="3" t="str">
        <f>IF(AND(data[[#This Row],[status]]="OK",data[[#This Row],[approach]]="atgt"),data[[#This Row],[asm_path]],"")</f>
        <v/>
      </c>
      <c r="X313" s="3" t="b">
        <f>COUNTIF(W:W,data[[#This Row],[path_ok_status_evoavalla]]) = 1</f>
        <v>0</v>
      </c>
    </row>
    <row r="314" spans="1:24" x14ac:dyDescent="0.25">
      <c r="A314" t="s">
        <v>694</v>
      </c>
      <c r="B314" t="s">
        <v>695</v>
      </c>
      <c r="C314" t="s">
        <v>696</v>
      </c>
      <c r="D314" t="s">
        <v>697</v>
      </c>
      <c r="E314" t="s">
        <v>636</v>
      </c>
      <c r="F314" t="s">
        <v>698</v>
      </c>
      <c r="G314" t="s">
        <v>699</v>
      </c>
      <c r="H314" t="s">
        <v>1545</v>
      </c>
      <c r="I314" t="s">
        <v>638</v>
      </c>
      <c r="J314" t="s">
        <v>632</v>
      </c>
      <c r="K314" s="2" t="s">
        <v>620</v>
      </c>
      <c r="L314" s="2" t="s">
        <v>620</v>
      </c>
      <c r="M314" s="2" t="s">
        <v>620</v>
      </c>
      <c r="N314" s="2" t="s">
        <v>620</v>
      </c>
      <c r="O314" t="s">
        <v>639</v>
      </c>
      <c r="P314" t="s">
        <v>639</v>
      </c>
      <c r="Q314" t="s">
        <v>639</v>
      </c>
      <c r="R314" t="s">
        <v>639</v>
      </c>
      <c r="S314" t="s">
        <v>639</v>
      </c>
      <c r="T314" t="s">
        <v>620</v>
      </c>
      <c r="U314" t="s">
        <v>620</v>
      </c>
      <c r="V314" s="3" t="str">
        <f>IF(AND(data[[#This Row],[status]]="OK",data[[#This Row],[approach]]="evoavalla"),data[[#This Row],[asm_path]],"")</f>
        <v/>
      </c>
      <c r="W314" s="3" t="str">
        <f>IF(AND(data[[#This Row],[status]]="OK",data[[#This Row],[approach]]="atgt"),data[[#This Row],[asm_path]],"")</f>
        <v/>
      </c>
      <c r="X314" s="3" t="b">
        <f>COUNTIF(W:W,data[[#This Row],[path_ok_status_evoavalla]]) = 1</f>
        <v>0</v>
      </c>
    </row>
    <row r="315" spans="1:24" x14ac:dyDescent="0.25">
      <c r="A315" t="s">
        <v>701</v>
      </c>
      <c r="B315" t="s">
        <v>702</v>
      </c>
      <c r="C315" t="s">
        <v>703</v>
      </c>
      <c r="D315" t="s">
        <v>704</v>
      </c>
      <c r="E315" t="s">
        <v>636</v>
      </c>
      <c r="F315" t="s">
        <v>705</v>
      </c>
      <c r="G315" t="s">
        <v>706</v>
      </c>
      <c r="H315" t="s">
        <v>1545</v>
      </c>
      <c r="I315" t="s">
        <v>638</v>
      </c>
      <c r="J315" t="s">
        <v>632</v>
      </c>
      <c r="K315" s="2" t="s">
        <v>620</v>
      </c>
      <c r="L315" s="2" t="s">
        <v>620</v>
      </c>
      <c r="M315" s="2" t="s">
        <v>620</v>
      </c>
      <c r="N315" s="2" t="s">
        <v>620</v>
      </c>
      <c r="O315" t="s">
        <v>639</v>
      </c>
      <c r="P315" t="s">
        <v>639</v>
      </c>
      <c r="Q315" t="s">
        <v>639</v>
      </c>
      <c r="R315" t="s">
        <v>639</v>
      </c>
      <c r="S315" t="s">
        <v>639</v>
      </c>
      <c r="T315" t="s">
        <v>620</v>
      </c>
      <c r="U315" t="s">
        <v>620</v>
      </c>
      <c r="V315" s="3" t="str">
        <f>IF(AND(data[[#This Row],[status]]="OK",data[[#This Row],[approach]]="evoavalla"),data[[#This Row],[asm_path]],"")</f>
        <v/>
      </c>
      <c r="W315" s="3" t="str">
        <f>IF(AND(data[[#This Row],[status]]="OK",data[[#This Row],[approach]]="atgt"),data[[#This Row],[asm_path]],"")</f>
        <v/>
      </c>
      <c r="X315" s="3" t="b">
        <f>COUNTIF(W:W,data[[#This Row],[path_ok_status_evoavalla]]) = 1</f>
        <v>0</v>
      </c>
    </row>
    <row r="316" spans="1:24" x14ac:dyDescent="0.25">
      <c r="A316" t="s">
        <v>708</v>
      </c>
      <c r="B316" t="s">
        <v>709</v>
      </c>
      <c r="C316" t="s">
        <v>682</v>
      </c>
      <c r="D316" t="s">
        <v>664</v>
      </c>
      <c r="E316" t="s">
        <v>620</v>
      </c>
      <c r="F316" t="s">
        <v>628</v>
      </c>
      <c r="G316" t="s">
        <v>710</v>
      </c>
      <c r="H316" t="s">
        <v>1545</v>
      </c>
      <c r="I316" t="s">
        <v>638</v>
      </c>
      <c r="J316" t="s">
        <v>632</v>
      </c>
      <c r="K316" s="2" t="s">
        <v>620</v>
      </c>
      <c r="L316" s="2" t="s">
        <v>620</v>
      </c>
      <c r="M316" s="2" t="s">
        <v>620</v>
      </c>
      <c r="N316" s="2" t="s">
        <v>620</v>
      </c>
      <c r="O316" t="s">
        <v>639</v>
      </c>
      <c r="P316" t="s">
        <v>639</v>
      </c>
      <c r="Q316" t="s">
        <v>639</v>
      </c>
      <c r="R316" t="s">
        <v>639</v>
      </c>
      <c r="S316" t="s">
        <v>639</v>
      </c>
      <c r="T316" t="s">
        <v>620</v>
      </c>
      <c r="U316" t="s">
        <v>620</v>
      </c>
      <c r="V316" s="3" t="str">
        <f>IF(AND(data[[#This Row],[status]]="OK",data[[#This Row],[approach]]="evoavalla"),data[[#This Row],[asm_path]],"")</f>
        <v/>
      </c>
      <c r="W316" s="3" t="str">
        <f>IF(AND(data[[#This Row],[status]]="OK",data[[#This Row],[approach]]="atgt"),data[[#This Row],[asm_path]],"")</f>
        <v/>
      </c>
      <c r="X316" s="3" t="b">
        <f>COUNTIF(W:W,data[[#This Row],[path_ok_status_evoavalla]]) = 1</f>
        <v>0</v>
      </c>
    </row>
    <row r="317" spans="1:24" x14ac:dyDescent="0.25">
      <c r="A317" t="s">
        <v>712</v>
      </c>
      <c r="B317" t="s">
        <v>713</v>
      </c>
      <c r="C317" t="s">
        <v>682</v>
      </c>
      <c r="D317" t="s">
        <v>635</v>
      </c>
      <c r="E317" t="s">
        <v>620</v>
      </c>
      <c r="F317" t="s">
        <v>636</v>
      </c>
      <c r="G317" t="s">
        <v>683</v>
      </c>
      <c r="H317" t="s">
        <v>1545</v>
      </c>
      <c r="I317" t="s">
        <v>638</v>
      </c>
      <c r="J317" t="s">
        <v>632</v>
      </c>
      <c r="K317" s="2" t="s">
        <v>620</v>
      </c>
      <c r="L317" s="2" t="s">
        <v>620</v>
      </c>
      <c r="M317" s="2" t="s">
        <v>620</v>
      </c>
      <c r="N317" s="2" t="s">
        <v>620</v>
      </c>
      <c r="O317" t="s">
        <v>639</v>
      </c>
      <c r="P317" t="s">
        <v>639</v>
      </c>
      <c r="Q317" t="s">
        <v>639</v>
      </c>
      <c r="R317" t="s">
        <v>639</v>
      </c>
      <c r="S317" t="s">
        <v>639</v>
      </c>
      <c r="T317" t="s">
        <v>620</v>
      </c>
      <c r="U317" t="s">
        <v>620</v>
      </c>
      <c r="V317" s="3" t="str">
        <f>IF(AND(data[[#This Row],[status]]="OK",data[[#This Row],[approach]]="evoavalla"),data[[#This Row],[asm_path]],"")</f>
        <v/>
      </c>
      <c r="W317" s="3" t="str">
        <f>IF(AND(data[[#This Row],[status]]="OK",data[[#This Row],[approach]]="atgt"),data[[#This Row],[asm_path]],"")</f>
        <v/>
      </c>
      <c r="X317" s="3" t="b">
        <f>COUNTIF(W:W,data[[#This Row],[path_ok_status_evoavalla]]) = 1</f>
        <v>0</v>
      </c>
    </row>
    <row r="318" spans="1:24" x14ac:dyDescent="0.25">
      <c r="A318" t="s">
        <v>714</v>
      </c>
      <c r="B318" t="s">
        <v>715</v>
      </c>
      <c r="C318" t="s">
        <v>664</v>
      </c>
      <c r="D318" t="s">
        <v>637</v>
      </c>
      <c r="E318" t="s">
        <v>620</v>
      </c>
      <c r="F318" t="s">
        <v>716</v>
      </c>
      <c r="G318" t="s">
        <v>717</v>
      </c>
      <c r="H318" t="s">
        <v>1545</v>
      </c>
      <c r="I318" t="s">
        <v>638</v>
      </c>
      <c r="J318" t="s">
        <v>632</v>
      </c>
      <c r="K318" s="2" t="s">
        <v>620</v>
      </c>
      <c r="L318" s="2" t="s">
        <v>620</v>
      </c>
      <c r="M318" s="2" t="s">
        <v>620</v>
      </c>
      <c r="N318" s="2" t="s">
        <v>620</v>
      </c>
      <c r="O318" t="s">
        <v>639</v>
      </c>
      <c r="P318" t="s">
        <v>639</v>
      </c>
      <c r="Q318" t="s">
        <v>639</v>
      </c>
      <c r="R318" t="s">
        <v>639</v>
      </c>
      <c r="S318" t="s">
        <v>639</v>
      </c>
      <c r="T318" t="s">
        <v>620</v>
      </c>
      <c r="U318" t="s">
        <v>620</v>
      </c>
      <c r="V318" s="3" t="str">
        <f>IF(AND(data[[#This Row],[status]]="OK",data[[#This Row],[approach]]="evoavalla"),data[[#This Row],[asm_path]],"")</f>
        <v/>
      </c>
      <c r="W318" s="3" t="str">
        <f>IF(AND(data[[#This Row],[status]]="OK",data[[#This Row],[approach]]="atgt"),data[[#This Row],[asm_path]],"")</f>
        <v/>
      </c>
      <c r="X318" s="3" t="b">
        <f>COUNTIF(W:W,data[[#This Row],[path_ok_status_evoavalla]]) = 1</f>
        <v>0</v>
      </c>
    </row>
    <row r="319" spans="1:24" x14ac:dyDescent="0.25">
      <c r="A319" t="s">
        <v>718</v>
      </c>
      <c r="B319" t="s">
        <v>719</v>
      </c>
      <c r="C319" t="s">
        <v>636</v>
      </c>
      <c r="D319" t="s">
        <v>620</v>
      </c>
      <c r="E319" t="s">
        <v>620</v>
      </c>
      <c r="F319" t="s">
        <v>620</v>
      </c>
      <c r="G319" t="s">
        <v>635</v>
      </c>
      <c r="H319" t="s">
        <v>1545</v>
      </c>
      <c r="I319" t="s">
        <v>638</v>
      </c>
      <c r="J319" t="s">
        <v>632</v>
      </c>
      <c r="K319" s="2" t="s">
        <v>620</v>
      </c>
      <c r="L319" s="2" t="s">
        <v>620</v>
      </c>
      <c r="M319" s="2" t="s">
        <v>620</v>
      </c>
      <c r="N319" s="2" t="s">
        <v>620</v>
      </c>
      <c r="O319" t="s">
        <v>639</v>
      </c>
      <c r="P319" t="s">
        <v>639</v>
      </c>
      <c r="Q319" t="s">
        <v>639</v>
      </c>
      <c r="R319" t="s">
        <v>639</v>
      </c>
      <c r="S319" t="s">
        <v>639</v>
      </c>
      <c r="T319" t="s">
        <v>620</v>
      </c>
      <c r="U319" t="s">
        <v>620</v>
      </c>
      <c r="V319" s="3" t="str">
        <f>IF(AND(data[[#This Row],[status]]="OK",data[[#This Row],[approach]]="evoavalla"),data[[#This Row],[asm_path]],"")</f>
        <v/>
      </c>
      <c r="W319" s="3" t="str">
        <f>IF(AND(data[[#This Row],[status]]="OK",data[[#This Row],[approach]]="atgt"),data[[#This Row],[asm_path]],"")</f>
        <v/>
      </c>
      <c r="X319" s="3" t="b">
        <f>COUNTIF(W:W,data[[#This Row],[path_ok_status_evoavalla]]) = 1</f>
        <v>0</v>
      </c>
    </row>
    <row r="320" spans="1:24" x14ac:dyDescent="0.25">
      <c r="A320" t="s">
        <v>720</v>
      </c>
      <c r="B320" t="s">
        <v>721</v>
      </c>
      <c r="C320" t="s">
        <v>635</v>
      </c>
      <c r="D320" t="s">
        <v>664</v>
      </c>
      <c r="E320" t="s">
        <v>620</v>
      </c>
      <c r="F320" t="s">
        <v>682</v>
      </c>
      <c r="G320" t="s">
        <v>621</v>
      </c>
      <c r="H320" t="s">
        <v>1545</v>
      </c>
      <c r="I320" t="s">
        <v>638</v>
      </c>
      <c r="J320" t="s">
        <v>632</v>
      </c>
      <c r="K320" s="2" t="s">
        <v>620</v>
      </c>
      <c r="L320" s="2" t="s">
        <v>620</v>
      </c>
      <c r="M320" s="2" t="s">
        <v>620</v>
      </c>
      <c r="N320" s="2" t="s">
        <v>620</v>
      </c>
      <c r="O320" t="s">
        <v>639</v>
      </c>
      <c r="P320" t="s">
        <v>639</v>
      </c>
      <c r="Q320" t="s">
        <v>639</v>
      </c>
      <c r="R320" t="s">
        <v>639</v>
      </c>
      <c r="S320" t="s">
        <v>639</v>
      </c>
      <c r="T320" t="s">
        <v>620</v>
      </c>
      <c r="U320" t="s">
        <v>620</v>
      </c>
      <c r="V320" s="3" t="str">
        <f>IF(AND(data[[#This Row],[status]]="OK",data[[#This Row],[approach]]="evoavalla"),data[[#This Row],[asm_path]],"")</f>
        <v/>
      </c>
      <c r="W320" s="3" t="str">
        <f>IF(AND(data[[#This Row],[status]]="OK",data[[#This Row],[approach]]="atgt"),data[[#This Row],[asm_path]],"")</f>
        <v/>
      </c>
      <c r="X320" s="3" t="b">
        <f>COUNTIF(W:W,data[[#This Row],[path_ok_status_evoavalla]]) = 1</f>
        <v>0</v>
      </c>
    </row>
    <row r="321" spans="1:24" x14ac:dyDescent="0.25">
      <c r="A321" t="s">
        <v>722</v>
      </c>
      <c r="B321" t="s">
        <v>723</v>
      </c>
      <c r="C321" t="s">
        <v>664</v>
      </c>
      <c r="D321" t="s">
        <v>637</v>
      </c>
      <c r="E321" t="s">
        <v>620</v>
      </c>
      <c r="F321" t="s">
        <v>716</v>
      </c>
      <c r="G321" t="s">
        <v>717</v>
      </c>
      <c r="H321" t="s">
        <v>1545</v>
      </c>
      <c r="I321" t="s">
        <v>638</v>
      </c>
      <c r="J321" t="s">
        <v>632</v>
      </c>
      <c r="K321" s="2" t="s">
        <v>620</v>
      </c>
      <c r="L321" s="2" t="s">
        <v>620</v>
      </c>
      <c r="M321" s="2" t="s">
        <v>620</v>
      </c>
      <c r="N321" s="2" t="s">
        <v>620</v>
      </c>
      <c r="O321" t="s">
        <v>639</v>
      </c>
      <c r="P321" t="s">
        <v>639</v>
      </c>
      <c r="Q321" t="s">
        <v>639</v>
      </c>
      <c r="R321" t="s">
        <v>639</v>
      </c>
      <c r="S321" t="s">
        <v>639</v>
      </c>
      <c r="T321" t="s">
        <v>620</v>
      </c>
      <c r="U321" t="s">
        <v>620</v>
      </c>
      <c r="V321" s="3" t="str">
        <f>IF(AND(data[[#This Row],[status]]="OK",data[[#This Row],[approach]]="evoavalla"),data[[#This Row],[asm_path]],"")</f>
        <v/>
      </c>
      <c r="W321" s="3" t="str">
        <f>IF(AND(data[[#This Row],[status]]="OK",data[[#This Row],[approach]]="atgt"),data[[#This Row],[asm_path]],"")</f>
        <v/>
      </c>
      <c r="X321" s="3" t="b">
        <f>COUNTIF(W:W,data[[#This Row],[path_ok_status_evoavalla]]) = 1</f>
        <v>0</v>
      </c>
    </row>
    <row r="322" spans="1:24" x14ac:dyDescent="0.25">
      <c r="A322" t="s">
        <v>724</v>
      </c>
      <c r="B322" t="s">
        <v>725</v>
      </c>
      <c r="C322" t="s">
        <v>635</v>
      </c>
      <c r="D322" t="s">
        <v>635</v>
      </c>
      <c r="E322" t="s">
        <v>636</v>
      </c>
      <c r="F322" t="s">
        <v>664</v>
      </c>
      <c r="G322" t="s">
        <v>628</v>
      </c>
      <c r="H322" t="s">
        <v>1545</v>
      </c>
      <c r="I322" t="s">
        <v>638</v>
      </c>
      <c r="J322" t="s">
        <v>632</v>
      </c>
      <c r="K322" s="2" t="s">
        <v>620</v>
      </c>
      <c r="L322" s="2" t="s">
        <v>620</v>
      </c>
      <c r="M322" s="2" t="s">
        <v>620</v>
      </c>
      <c r="N322" s="2" t="s">
        <v>620</v>
      </c>
      <c r="O322" t="s">
        <v>639</v>
      </c>
      <c r="P322" t="s">
        <v>639</v>
      </c>
      <c r="Q322" t="s">
        <v>639</v>
      </c>
      <c r="R322" t="s">
        <v>639</v>
      </c>
      <c r="S322" t="s">
        <v>639</v>
      </c>
      <c r="T322" t="s">
        <v>620</v>
      </c>
      <c r="U322" t="s">
        <v>620</v>
      </c>
      <c r="V322" s="3" t="str">
        <f>IF(AND(data[[#This Row],[status]]="OK",data[[#This Row],[approach]]="evoavalla"),data[[#This Row],[asm_path]],"")</f>
        <v/>
      </c>
      <c r="W322" s="3" t="str">
        <f>IF(AND(data[[#This Row],[status]]="OK",data[[#This Row],[approach]]="atgt"),data[[#This Row],[asm_path]],"")</f>
        <v/>
      </c>
      <c r="X322" s="3" t="b">
        <f>COUNTIF(W:W,data[[#This Row],[path_ok_status_evoavalla]]) = 1</f>
        <v>0</v>
      </c>
    </row>
    <row r="323" spans="1:24" x14ac:dyDescent="0.25">
      <c r="A323" t="s">
        <v>726</v>
      </c>
      <c r="B323" t="s">
        <v>727</v>
      </c>
      <c r="C323" t="s">
        <v>635</v>
      </c>
      <c r="D323" t="s">
        <v>682</v>
      </c>
      <c r="E323" t="s">
        <v>620</v>
      </c>
      <c r="F323" t="s">
        <v>682</v>
      </c>
      <c r="G323" t="s">
        <v>683</v>
      </c>
      <c r="H323" t="s">
        <v>1545</v>
      </c>
      <c r="I323" t="s">
        <v>638</v>
      </c>
      <c r="J323" t="s">
        <v>632</v>
      </c>
      <c r="K323" s="2" t="s">
        <v>620</v>
      </c>
      <c r="L323" s="2" t="s">
        <v>620</v>
      </c>
      <c r="M323" s="2" t="s">
        <v>620</v>
      </c>
      <c r="N323" s="2" t="s">
        <v>620</v>
      </c>
      <c r="O323" t="s">
        <v>639</v>
      </c>
      <c r="P323" t="s">
        <v>639</v>
      </c>
      <c r="Q323" t="s">
        <v>639</v>
      </c>
      <c r="R323" t="s">
        <v>639</v>
      </c>
      <c r="S323" t="s">
        <v>639</v>
      </c>
      <c r="T323" t="s">
        <v>620</v>
      </c>
      <c r="U323" t="s">
        <v>620</v>
      </c>
      <c r="V323" s="3" t="str">
        <f>IF(AND(data[[#This Row],[status]]="OK",data[[#This Row],[approach]]="evoavalla"),data[[#This Row],[asm_path]],"")</f>
        <v/>
      </c>
      <c r="W323" s="3" t="str">
        <f>IF(AND(data[[#This Row],[status]]="OK",data[[#This Row],[approach]]="atgt"),data[[#This Row],[asm_path]],"")</f>
        <v/>
      </c>
      <c r="X323" s="3" t="b">
        <f>COUNTIF(W:W,data[[#This Row],[path_ok_status_evoavalla]]) = 1</f>
        <v>0</v>
      </c>
    </row>
    <row r="324" spans="1:24" x14ac:dyDescent="0.25">
      <c r="A324" t="s">
        <v>728</v>
      </c>
      <c r="B324" t="s">
        <v>729</v>
      </c>
      <c r="C324" t="s">
        <v>626</v>
      </c>
      <c r="D324" t="s">
        <v>628</v>
      </c>
      <c r="E324" t="s">
        <v>636</v>
      </c>
      <c r="F324" t="s">
        <v>626</v>
      </c>
      <c r="G324" t="s">
        <v>642</v>
      </c>
      <c r="H324" t="s">
        <v>1545</v>
      </c>
      <c r="I324" t="s">
        <v>638</v>
      </c>
      <c r="J324" t="s">
        <v>632</v>
      </c>
      <c r="K324" s="2" t="s">
        <v>620</v>
      </c>
      <c r="L324" s="2" t="s">
        <v>620</v>
      </c>
      <c r="M324" s="2" t="s">
        <v>620</v>
      </c>
      <c r="N324" s="2" t="s">
        <v>620</v>
      </c>
      <c r="O324" t="s">
        <v>639</v>
      </c>
      <c r="P324" t="s">
        <v>639</v>
      </c>
      <c r="Q324" t="s">
        <v>639</v>
      </c>
      <c r="R324" t="s">
        <v>639</v>
      </c>
      <c r="S324" t="s">
        <v>639</v>
      </c>
      <c r="T324" t="s">
        <v>620</v>
      </c>
      <c r="U324" t="s">
        <v>620</v>
      </c>
      <c r="V324" s="3" t="str">
        <f>IF(AND(data[[#This Row],[status]]="OK",data[[#This Row],[approach]]="evoavalla"),data[[#This Row],[asm_path]],"")</f>
        <v/>
      </c>
      <c r="W324" s="3" t="str">
        <f>IF(AND(data[[#This Row],[status]]="OK",data[[#This Row],[approach]]="atgt"),data[[#This Row],[asm_path]],"")</f>
        <v/>
      </c>
      <c r="X324" s="3" t="b">
        <f>COUNTIF(W:W,data[[#This Row],[path_ok_status_evoavalla]]) = 1</f>
        <v>0</v>
      </c>
    </row>
    <row r="325" spans="1:24" x14ac:dyDescent="0.25">
      <c r="A325" t="s">
        <v>730</v>
      </c>
      <c r="B325" t="s">
        <v>731</v>
      </c>
      <c r="C325" t="s">
        <v>683</v>
      </c>
      <c r="D325" t="s">
        <v>628</v>
      </c>
      <c r="E325" t="s">
        <v>626</v>
      </c>
      <c r="F325" t="s">
        <v>710</v>
      </c>
      <c r="G325" t="s">
        <v>732</v>
      </c>
      <c r="H325" t="s">
        <v>1545</v>
      </c>
      <c r="I325" t="s">
        <v>638</v>
      </c>
      <c r="J325" t="s">
        <v>632</v>
      </c>
      <c r="K325" s="2" t="s">
        <v>620</v>
      </c>
      <c r="L325" s="2" t="s">
        <v>620</v>
      </c>
      <c r="M325" s="2" t="s">
        <v>620</v>
      </c>
      <c r="N325" s="2" t="s">
        <v>620</v>
      </c>
      <c r="O325" t="s">
        <v>639</v>
      </c>
      <c r="P325" t="s">
        <v>639</v>
      </c>
      <c r="Q325" t="s">
        <v>639</v>
      </c>
      <c r="R325" t="s">
        <v>639</v>
      </c>
      <c r="S325" t="s">
        <v>639</v>
      </c>
      <c r="T325" t="s">
        <v>620</v>
      </c>
      <c r="U325" t="s">
        <v>620</v>
      </c>
      <c r="V325" s="3" t="str">
        <f>IF(AND(data[[#This Row],[status]]="OK",data[[#This Row],[approach]]="evoavalla"),data[[#This Row],[asm_path]],"")</f>
        <v/>
      </c>
      <c r="W325" s="3" t="str">
        <f>IF(AND(data[[#This Row],[status]]="OK",data[[#This Row],[approach]]="atgt"),data[[#This Row],[asm_path]],"")</f>
        <v/>
      </c>
      <c r="X325" s="3" t="b">
        <f>COUNTIF(W:W,data[[#This Row],[path_ok_status_evoavalla]]) = 1</f>
        <v>0</v>
      </c>
    </row>
    <row r="326" spans="1:24" x14ac:dyDescent="0.25">
      <c r="A326" t="s">
        <v>733</v>
      </c>
      <c r="B326" t="s">
        <v>734</v>
      </c>
      <c r="C326" t="s">
        <v>677</v>
      </c>
      <c r="D326" t="s">
        <v>735</v>
      </c>
      <c r="E326" t="s">
        <v>621</v>
      </c>
      <c r="F326" t="s">
        <v>736</v>
      </c>
      <c r="G326" t="s">
        <v>737</v>
      </c>
      <c r="H326" t="s">
        <v>1545</v>
      </c>
      <c r="I326" t="s">
        <v>638</v>
      </c>
      <c r="J326" t="s">
        <v>632</v>
      </c>
      <c r="K326" s="2" t="s">
        <v>620</v>
      </c>
      <c r="L326" s="2" t="s">
        <v>620</v>
      </c>
      <c r="M326" s="2" t="s">
        <v>620</v>
      </c>
      <c r="N326" s="2" t="s">
        <v>620</v>
      </c>
      <c r="O326" t="s">
        <v>639</v>
      </c>
      <c r="P326" t="s">
        <v>639</v>
      </c>
      <c r="Q326" t="s">
        <v>639</v>
      </c>
      <c r="R326" t="s">
        <v>639</v>
      </c>
      <c r="S326" t="s">
        <v>639</v>
      </c>
      <c r="T326" t="s">
        <v>620</v>
      </c>
      <c r="U326" t="s">
        <v>620</v>
      </c>
      <c r="V326" s="3" t="str">
        <f>IF(AND(data[[#This Row],[status]]="OK",data[[#This Row],[approach]]="evoavalla"),data[[#This Row],[asm_path]],"")</f>
        <v/>
      </c>
      <c r="W326" s="3" t="str">
        <f>IF(AND(data[[#This Row],[status]]="OK",data[[#This Row],[approach]]="atgt"),data[[#This Row],[asm_path]],"")</f>
        <v/>
      </c>
      <c r="X326" s="3" t="b">
        <f>COUNTIF(W:W,data[[#This Row],[path_ok_status_evoavalla]]) = 1</f>
        <v>0</v>
      </c>
    </row>
    <row r="327" spans="1:24" x14ac:dyDescent="0.25">
      <c r="A327" t="s">
        <v>738</v>
      </c>
      <c r="B327" t="s">
        <v>739</v>
      </c>
      <c r="C327" t="s">
        <v>690</v>
      </c>
      <c r="D327" t="s">
        <v>740</v>
      </c>
      <c r="E327" t="s">
        <v>620</v>
      </c>
      <c r="F327" t="s">
        <v>618</v>
      </c>
      <c r="G327" t="s">
        <v>741</v>
      </c>
      <c r="H327" t="s">
        <v>1545</v>
      </c>
      <c r="I327" t="s">
        <v>638</v>
      </c>
      <c r="J327" t="s">
        <v>632</v>
      </c>
      <c r="K327" s="2" t="s">
        <v>620</v>
      </c>
      <c r="L327" s="2" t="s">
        <v>620</v>
      </c>
      <c r="M327" s="2" t="s">
        <v>620</v>
      </c>
      <c r="N327" s="2" t="s">
        <v>620</v>
      </c>
      <c r="O327" t="s">
        <v>639</v>
      </c>
      <c r="P327" t="s">
        <v>639</v>
      </c>
      <c r="Q327" t="s">
        <v>639</v>
      </c>
      <c r="R327" t="s">
        <v>639</v>
      </c>
      <c r="S327" t="s">
        <v>639</v>
      </c>
      <c r="T327" t="s">
        <v>620</v>
      </c>
      <c r="U327" t="s">
        <v>620</v>
      </c>
      <c r="V327" s="3" t="str">
        <f>IF(AND(data[[#This Row],[status]]="OK",data[[#This Row],[approach]]="evoavalla"),data[[#This Row],[asm_path]],"")</f>
        <v/>
      </c>
      <c r="W327" s="3" t="str">
        <f>IF(AND(data[[#This Row],[status]]="OK",data[[#This Row],[approach]]="atgt"),data[[#This Row],[asm_path]],"")</f>
        <v/>
      </c>
      <c r="X327" s="3" t="b">
        <f>COUNTIF(W:W,data[[#This Row],[path_ok_status_evoavalla]]) = 1</f>
        <v>0</v>
      </c>
    </row>
    <row r="328" spans="1:24" x14ac:dyDescent="0.25">
      <c r="A328" t="s">
        <v>742</v>
      </c>
      <c r="B328" t="s">
        <v>743</v>
      </c>
      <c r="C328" t="s">
        <v>740</v>
      </c>
      <c r="D328" t="s">
        <v>744</v>
      </c>
      <c r="E328" t="s">
        <v>745</v>
      </c>
      <c r="F328" t="s">
        <v>746</v>
      </c>
      <c r="G328" t="s">
        <v>747</v>
      </c>
      <c r="H328" t="s">
        <v>1545</v>
      </c>
      <c r="I328" t="s">
        <v>638</v>
      </c>
      <c r="J328" t="s">
        <v>632</v>
      </c>
      <c r="K328" s="2" t="s">
        <v>620</v>
      </c>
      <c r="L328" s="2" t="s">
        <v>620</v>
      </c>
      <c r="M328" s="2" t="s">
        <v>620</v>
      </c>
      <c r="N328" s="2" t="s">
        <v>620</v>
      </c>
      <c r="O328" t="s">
        <v>639</v>
      </c>
      <c r="P328" t="s">
        <v>639</v>
      </c>
      <c r="Q328" t="s">
        <v>639</v>
      </c>
      <c r="R328" t="s">
        <v>639</v>
      </c>
      <c r="S328" t="s">
        <v>639</v>
      </c>
      <c r="T328" t="s">
        <v>620</v>
      </c>
      <c r="U328" t="s">
        <v>620</v>
      </c>
      <c r="V328" s="3" t="str">
        <f>IF(AND(data[[#This Row],[status]]="OK",data[[#This Row],[approach]]="evoavalla"),data[[#This Row],[asm_path]],"")</f>
        <v/>
      </c>
      <c r="W328" s="3" t="str">
        <f>IF(AND(data[[#This Row],[status]]="OK",data[[#This Row],[approach]]="atgt"),data[[#This Row],[asm_path]],"")</f>
        <v/>
      </c>
      <c r="X328" s="3" t="b">
        <f>COUNTIF(W:W,data[[#This Row],[path_ok_status_evoavalla]]) = 1</f>
        <v>0</v>
      </c>
    </row>
    <row r="329" spans="1:24" x14ac:dyDescent="0.25">
      <c r="A329" t="s">
        <v>748</v>
      </c>
      <c r="B329" t="s">
        <v>749</v>
      </c>
      <c r="C329" t="s">
        <v>750</v>
      </c>
      <c r="D329" t="s">
        <v>751</v>
      </c>
      <c r="E329" t="s">
        <v>752</v>
      </c>
      <c r="F329" t="s">
        <v>753</v>
      </c>
      <c r="G329" t="s">
        <v>754</v>
      </c>
      <c r="H329" t="s">
        <v>1545</v>
      </c>
      <c r="I329" t="s">
        <v>638</v>
      </c>
      <c r="J329" t="s">
        <v>632</v>
      </c>
      <c r="K329" s="2" t="s">
        <v>620</v>
      </c>
      <c r="L329" s="2" t="s">
        <v>620</v>
      </c>
      <c r="M329" s="2" t="s">
        <v>620</v>
      </c>
      <c r="N329" s="2" t="s">
        <v>620</v>
      </c>
      <c r="O329" t="s">
        <v>639</v>
      </c>
      <c r="P329" t="s">
        <v>639</v>
      </c>
      <c r="Q329" t="s">
        <v>639</v>
      </c>
      <c r="R329" t="s">
        <v>639</v>
      </c>
      <c r="S329" t="s">
        <v>639</v>
      </c>
      <c r="T329" t="s">
        <v>620</v>
      </c>
      <c r="U329" t="s">
        <v>620</v>
      </c>
      <c r="V329" s="3" t="str">
        <f>IF(AND(data[[#This Row],[status]]="OK",data[[#This Row],[approach]]="evoavalla"),data[[#This Row],[asm_path]],"")</f>
        <v/>
      </c>
      <c r="W329" s="3" t="str">
        <f>IF(AND(data[[#This Row],[status]]="OK",data[[#This Row],[approach]]="atgt"),data[[#This Row],[asm_path]],"")</f>
        <v/>
      </c>
      <c r="X329" s="3" t="b">
        <f>COUNTIF(W:W,data[[#This Row],[path_ok_status_evoavalla]]) = 1</f>
        <v>0</v>
      </c>
    </row>
    <row r="330" spans="1:24" x14ac:dyDescent="0.25">
      <c r="A330" t="s">
        <v>755</v>
      </c>
      <c r="B330" t="s">
        <v>756</v>
      </c>
      <c r="C330" t="s">
        <v>636</v>
      </c>
      <c r="D330" t="s">
        <v>637</v>
      </c>
      <c r="E330" t="s">
        <v>620</v>
      </c>
      <c r="F330" t="s">
        <v>682</v>
      </c>
      <c r="G330" t="s">
        <v>627</v>
      </c>
      <c r="H330" t="s">
        <v>1545</v>
      </c>
      <c r="I330" t="s">
        <v>638</v>
      </c>
      <c r="J330" t="s">
        <v>632</v>
      </c>
      <c r="K330" s="2" t="s">
        <v>620</v>
      </c>
      <c r="L330" s="2" t="s">
        <v>620</v>
      </c>
      <c r="M330" s="2" t="s">
        <v>620</v>
      </c>
      <c r="N330" s="2" t="s">
        <v>620</v>
      </c>
      <c r="O330" t="s">
        <v>639</v>
      </c>
      <c r="P330" t="s">
        <v>639</v>
      </c>
      <c r="Q330" t="s">
        <v>639</v>
      </c>
      <c r="R330" t="s">
        <v>639</v>
      </c>
      <c r="S330" t="s">
        <v>639</v>
      </c>
      <c r="T330" t="s">
        <v>620</v>
      </c>
      <c r="U330" t="s">
        <v>620</v>
      </c>
      <c r="V330" s="3" t="str">
        <f>IF(AND(data[[#This Row],[status]]="OK",data[[#This Row],[approach]]="evoavalla"),data[[#This Row],[asm_path]],"")</f>
        <v/>
      </c>
      <c r="W330" s="3" t="str">
        <f>IF(AND(data[[#This Row],[status]]="OK",data[[#This Row],[approach]]="atgt"),data[[#This Row],[asm_path]],"")</f>
        <v/>
      </c>
      <c r="X330" s="3" t="b">
        <f>COUNTIF(W:W,data[[#This Row],[path_ok_status_evoavalla]]) = 1</f>
        <v>0</v>
      </c>
    </row>
    <row r="331" spans="1:24" x14ac:dyDescent="0.25">
      <c r="A331" t="s">
        <v>757</v>
      </c>
      <c r="B331" t="s">
        <v>758</v>
      </c>
      <c r="C331" t="s">
        <v>690</v>
      </c>
      <c r="D331" t="s">
        <v>740</v>
      </c>
      <c r="E331" t="s">
        <v>620</v>
      </c>
      <c r="F331" t="s">
        <v>618</v>
      </c>
      <c r="G331" t="s">
        <v>741</v>
      </c>
      <c r="H331" t="s">
        <v>1545</v>
      </c>
      <c r="I331" t="s">
        <v>638</v>
      </c>
      <c r="J331" t="s">
        <v>632</v>
      </c>
      <c r="K331" s="2" t="s">
        <v>620</v>
      </c>
      <c r="L331" s="2" t="s">
        <v>620</v>
      </c>
      <c r="M331" s="2" t="s">
        <v>620</v>
      </c>
      <c r="N331" s="2" t="s">
        <v>620</v>
      </c>
      <c r="O331" t="s">
        <v>639</v>
      </c>
      <c r="P331" t="s">
        <v>639</v>
      </c>
      <c r="Q331" t="s">
        <v>639</v>
      </c>
      <c r="R331" t="s">
        <v>639</v>
      </c>
      <c r="S331" t="s">
        <v>639</v>
      </c>
      <c r="T331" t="s">
        <v>620</v>
      </c>
      <c r="U331" t="s">
        <v>620</v>
      </c>
      <c r="V331" s="3" t="str">
        <f>IF(AND(data[[#This Row],[status]]="OK",data[[#This Row],[approach]]="evoavalla"),data[[#This Row],[asm_path]],"")</f>
        <v/>
      </c>
      <c r="W331" s="3" t="str">
        <f>IF(AND(data[[#This Row],[status]]="OK",data[[#This Row],[approach]]="atgt"),data[[#This Row],[asm_path]],"")</f>
        <v/>
      </c>
      <c r="X331" s="3" t="b">
        <f>COUNTIF(W:W,data[[#This Row],[path_ok_status_evoavalla]]) = 1</f>
        <v>0</v>
      </c>
    </row>
    <row r="332" spans="1:24" x14ac:dyDescent="0.25">
      <c r="A332" t="s">
        <v>759</v>
      </c>
      <c r="B332" t="s">
        <v>760</v>
      </c>
      <c r="C332" t="s">
        <v>635</v>
      </c>
      <c r="D332" t="s">
        <v>626</v>
      </c>
      <c r="E332" t="s">
        <v>620</v>
      </c>
      <c r="F332" t="s">
        <v>664</v>
      </c>
      <c r="G332" t="s">
        <v>761</v>
      </c>
      <c r="H332" t="s">
        <v>1545</v>
      </c>
      <c r="I332" t="s">
        <v>638</v>
      </c>
      <c r="J332" t="s">
        <v>632</v>
      </c>
      <c r="K332" s="2" t="s">
        <v>620</v>
      </c>
      <c r="L332" s="2" t="s">
        <v>620</v>
      </c>
      <c r="M332" s="2" t="s">
        <v>620</v>
      </c>
      <c r="N332" s="2" t="s">
        <v>620</v>
      </c>
      <c r="O332" t="s">
        <v>639</v>
      </c>
      <c r="P332" t="s">
        <v>639</v>
      </c>
      <c r="Q332" t="s">
        <v>639</v>
      </c>
      <c r="R332" t="s">
        <v>639</v>
      </c>
      <c r="S332" t="s">
        <v>639</v>
      </c>
      <c r="T332" t="s">
        <v>620</v>
      </c>
      <c r="U332" t="s">
        <v>620</v>
      </c>
      <c r="V332" s="3" t="str">
        <f>IF(AND(data[[#This Row],[status]]="OK",data[[#This Row],[approach]]="evoavalla"),data[[#This Row],[asm_path]],"")</f>
        <v/>
      </c>
      <c r="W332" s="3" t="str">
        <f>IF(AND(data[[#This Row],[status]]="OK",data[[#This Row],[approach]]="atgt"),data[[#This Row],[asm_path]],"")</f>
        <v/>
      </c>
      <c r="X332" s="3" t="b">
        <f>COUNTIF(W:W,data[[#This Row],[path_ok_status_evoavalla]]) = 1</f>
        <v>0</v>
      </c>
    </row>
    <row r="333" spans="1:24" x14ac:dyDescent="0.25">
      <c r="A333" t="s">
        <v>762</v>
      </c>
      <c r="B333" t="s">
        <v>763</v>
      </c>
      <c r="C333" t="s">
        <v>716</v>
      </c>
      <c r="D333" t="s">
        <v>637</v>
      </c>
      <c r="E333" t="s">
        <v>636</v>
      </c>
      <c r="F333" t="s">
        <v>761</v>
      </c>
      <c r="G333" t="s">
        <v>735</v>
      </c>
      <c r="H333" t="s">
        <v>1545</v>
      </c>
      <c r="I333" t="s">
        <v>638</v>
      </c>
      <c r="J333" t="s">
        <v>632</v>
      </c>
      <c r="K333" s="2" t="s">
        <v>620</v>
      </c>
      <c r="L333" s="2" t="s">
        <v>620</v>
      </c>
      <c r="M333" s="2" t="s">
        <v>620</v>
      </c>
      <c r="N333" s="2" t="s">
        <v>620</v>
      </c>
      <c r="O333" t="s">
        <v>639</v>
      </c>
      <c r="P333" t="s">
        <v>639</v>
      </c>
      <c r="Q333" t="s">
        <v>639</v>
      </c>
      <c r="R333" t="s">
        <v>639</v>
      </c>
      <c r="S333" t="s">
        <v>639</v>
      </c>
      <c r="T333" t="s">
        <v>620</v>
      </c>
      <c r="U333" t="s">
        <v>620</v>
      </c>
      <c r="V333" s="3" t="str">
        <f>IF(AND(data[[#This Row],[status]]="OK",data[[#This Row],[approach]]="evoavalla"),data[[#This Row],[asm_path]],"")</f>
        <v/>
      </c>
      <c r="W333" s="3" t="str">
        <f>IF(AND(data[[#This Row],[status]]="OK",data[[#This Row],[approach]]="atgt"),data[[#This Row],[asm_path]],"")</f>
        <v/>
      </c>
      <c r="X333" s="3" t="b">
        <f>COUNTIF(W:W,data[[#This Row],[path_ok_status_evoavalla]]) = 1</f>
        <v>0</v>
      </c>
    </row>
    <row r="334" spans="1:24" x14ac:dyDescent="0.25">
      <c r="A334" t="s">
        <v>764</v>
      </c>
      <c r="B334" t="s">
        <v>765</v>
      </c>
      <c r="C334" t="s">
        <v>716</v>
      </c>
      <c r="D334" t="s">
        <v>664</v>
      </c>
      <c r="E334" t="s">
        <v>636</v>
      </c>
      <c r="F334" t="s">
        <v>664</v>
      </c>
      <c r="G334" t="s">
        <v>669</v>
      </c>
      <c r="H334" t="s">
        <v>1545</v>
      </c>
      <c r="I334" t="s">
        <v>638</v>
      </c>
      <c r="J334" t="s">
        <v>632</v>
      </c>
      <c r="K334" s="2" t="s">
        <v>620</v>
      </c>
      <c r="L334" s="2" t="s">
        <v>620</v>
      </c>
      <c r="M334" s="2" t="s">
        <v>620</v>
      </c>
      <c r="N334" s="2" t="s">
        <v>620</v>
      </c>
      <c r="O334" t="s">
        <v>639</v>
      </c>
      <c r="P334" t="s">
        <v>639</v>
      </c>
      <c r="Q334" t="s">
        <v>639</v>
      </c>
      <c r="R334" t="s">
        <v>639</v>
      </c>
      <c r="S334" t="s">
        <v>639</v>
      </c>
      <c r="T334" t="s">
        <v>620</v>
      </c>
      <c r="U334" t="s">
        <v>620</v>
      </c>
      <c r="V334" s="3" t="str">
        <f>IF(AND(data[[#This Row],[status]]="OK",data[[#This Row],[approach]]="evoavalla"),data[[#This Row],[asm_path]],"")</f>
        <v/>
      </c>
      <c r="W334" s="3" t="str">
        <f>IF(AND(data[[#This Row],[status]]="OK",data[[#This Row],[approach]]="atgt"),data[[#This Row],[asm_path]],"")</f>
        <v/>
      </c>
      <c r="X334" s="3" t="b">
        <f>COUNTIF(W:W,data[[#This Row],[path_ok_status_evoavalla]]) = 1</f>
        <v>0</v>
      </c>
    </row>
    <row r="335" spans="1:24" x14ac:dyDescent="0.25">
      <c r="A335" t="s">
        <v>766</v>
      </c>
      <c r="B335" t="s">
        <v>767</v>
      </c>
      <c r="C335" t="s">
        <v>716</v>
      </c>
      <c r="D335" t="s">
        <v>627</v>
      </c>
      <c r="E335" t="s">
        <v>636</v>
      </c>
      <c r="F335" t="s">
        <v>716</v>
      </c>
      <c r="G335" t="s">
        <v>768</v>
      </c>
      <c r="H335" t="s">
        <v>1545</v>
      </c>
      <c r="I335" t="s">
        <v>638</v>
      </c>
      <c r="J335" t="s">
        <v>632</v>
      </c>
      <c r="K335" s="2" t="s">
        <v>620</v>
      </c>
      <c r="L335" s="2" t="s">
        <v>620</v>
      </c>
      <c r="M335" s="2" t="s">
        <v>620</v>
      </c>
      <c r="N335" s="2" t="s">
        <v>620</v>
      </c>
      <c r="O335" t="s">
        <v>639</v>
      </c>
      <c r="P335" t="s">
        <v>639</v>
      </c>
      <c r="Q335" t="s">
        <v>639</v>
      </c>
      <c r="R335" t="s">
        <v>639</v>
      </c>
      <c r="S335" t="s">
        <v>639</v>
      </c>
      <c r="T335" t="s">
        <v>620</v>
      </c>
      <c r="U335" t="s">
        <v>620</v>
      </c>
      <c r="V335" s="3" t="str">
        <f>IF(AND(data[[#This Row],[status]]="OK",data[[#This Row],[approach]]="evoavalla"),data[[#This Row],[asm_path]],"")</f>
        <v/>
      </c>
      <c r="W335" s="3" t="str">
        <f>IF(AND(data[[#This Row],[status]]="OK",data[[#This Row],[approach]]="atgt"),data[[#This Row],[asm_path]],"")</f>
        <v/>
      </c>
      <c r="X335" s="3" t="b">
        <f>COUNTIF(W:W,data[[#This Row],[path_ok_status_evoavalla]]) = 1</f>
        <v>0</v>
      </c>
    </row>
    <row r="336" spans="1:24" x14ac:dyDescent="0.25">
      <c r="A336" t="s">
        <v>769</v>
      </c>
      <c r="B336" t="s">
        <v>770</v>
      </c>
      <c r="C336" t="s">
        <v>736</v>
      </c>
      <c r="D336" t="s">
        <v>622</v>
      </c>
      <c r="E336" t="s">
        <v>620</v>
      </c>
      <c r="F336" t="s">
        <v>771</v>
      </c>
      <c r="G336" t="s">
        <v>772</v>
      </c>
      <c r="H336" t="s">
        <v>1545</v>
      </c>
      <c r="I336" t="s">
        <v>638</v>
      </c>
      <c r="J336" t="s">
        <v>632</v>
      </c>
      <c r="K336" s="2" t="s">
        <v>620</v>
      </c>
      <c r="L336" s="2" t="s">
        <v>620</v>
      </c>
      <c r="M336" s="2" t="s">
        <v>620</v>
      </c>
      <c r="N336" s="2" t="s">
        <v>620</v>
      </c>
      <c r="O336" t="s">
        <v>639</v>
      </c>
      <c r="P336" t="s">
        <v>639</v>
      </c>
      <c r="Q336" t="s">
        <v>639</v>
      </c>
      <c r="R336" t="s">
        <v>639</v>
      </c>
      <c r="S336" t="s">
        <v>639</v>
      </c>
      <c r="T336" t="s">
        <v>620</v>
      </c>
      <c r="U336" t="s">
        <v>620</v>
      </c>
      <c r="V336" s="3" t="str">
        <f>IF(AND(data[[#This Row],[status]]="OK",data[[#This Row],[approach]]="evoavalla"),data[[#This Row],[asm_path]],"")</f>
        <v/>
      </c>
      <c r="W336" s="3" t="str">
        <f>IF(AND(data[[#This Row],[status]]="OK",data[[#This Row],[approach]]="atgt"),data[[#This Row],[asm_path]],"")</f>
        <v/>
      </c>
      <c r="X336" s="3" t="b">
        <f>COUNTIF(W:W,data[[#This Row],[path_ok_status_evoavalla]]) = 1</f>
        <v>0</v>
      </c>
    </row>
    <row r="337" spans="1:24" x14ac:dyDescent="0.25">
      <c r="A337" t="s">
        <v>779</v>
      </c>
      <c r="B337" t="s">
        <v>780</v>
      </c>
      <c r="C337" t="s">
        <v>683</v>
      </c>
      <c r="D337" t="s">
        <v>628</v>
      </c>
      <c r="E337" t="s">
        <v>626</v>
      </c>
      <c r="F337" t="s">
        <v>618</v>
      </c>
      <c r="G337" t="s">
        <v>781</v>
      </c>
      <c r="H337" t="s">
        <v>1545</v>
      </c>
      <c r="I337" t="s">
        <v>638</v>
      </c>
      <c r="J337" t="s">
        <v>632</v>
      </c>
      <c r="K337" s="2" t="s">
        <v>620</v>
      </c>
      <c r="L337" s="2" t="s">
        <v>620</v>
      </c>
      <c r="M337" s="2" t="s">
        <v>620</v>
      </c>
      <c r="N337" s="2" t="s">
        <v>620</v>
      </c>
      <c r="O337" t="s">
        <v>639</v>
      </c>
      <c r="P337" t="s">
        <v>639</v>
      </c>
      <c r="Q337" t="s">
        <v>639</v>
      </c>
      <c r="R337" t="s">
        <v>639</v>
      </c>
      <c r="S337" t="s">
        <v>639</v>
      </c>
      <c r="T337" t="s">
        <v>620</v>
      </c>
      <c r="U337" t="s">
        <v>620</v>
      </c>
      <c r="V337" s="3" t="str">
        <f>IF(AND(data[[#This Row],[status]]="OK",data[[#This Row],[approach]]="evoavalla"),data[[#This Row],[asm_path]],"")</f>
        <v/>
      </c>
      <c r="W337" s="3" t="str">
        <f>IF(AND(data[[#This Row],[status]]="OK",data[[#This Row],[approach]]="atgt"),data[[#This Row],[asm_path]],"")</f>
        <v/>
      </c>
      <c r="X337" s="3" t="b">
        <f>COUNTIF(W:W,data[[#This Row],[path_ok_status_evoavalla]]) = 1</f>
        <v>0</v>
      </c>
    </row>
    <row r="338" spans="1:24" x14ac:dyDescent="0.25">
      <c r="A338" t="s">
        <v>782</v>
      </c>
      <c r="B338" t="s">
        <v>783</v>
      </c>
      <c r="C338" t="s">
        <v>636</v>
      </c>
      <c r="D338" t="s">
        <v>682</v>
      </c>
      <c r="E338" t="s">
        <v>620</v>
      </c>
      <c r="F338" t="s">
        <v>664</v>
      </c>
      <c r="G338" t="s">
        <v>716</v>
      </c>
      <c r="H338" t="s">
        <v>1545</v>
      </c>
      <c r="I338" t="s">
        <v>638</v>
      </c>
      <c r="J338" t="s">
        <v>632</v>
      </c>
      <c r="K338" s="2" t="s">
        <v>620</v>
      </c>
      <c r="L338" s="2" t="s">
        <v>620</v>
      </c>
      <c r="M338" s="2" t="s">
        <v>620</v>
      </c>
      <c r="N338" s="2" t="s">
        <v>620</v>
      </c>
      <c r="O338" t="s">
        <v>639</v>
      </c>
      <c r="P338" t="s">
        <v>639</v>
      </c>
      <c r="Q338" t="s">
        <v>639</v>
      </c>
      <c r="R338" t="s">
        <v>639</v>
      </c>
      <c r="S338" t="s">
        <v>639</v>
      </c>
      <c r="T338" t="s">
        <v>620</v>
      </c>
      <c r="U338" t="s">
        <v>620</v>
      </c>
      <c r="V338" s="3" t="str">
        <f>IF(AND(data[[#This Row],[status]]="OK",data[[#This Row],[approach]]="evoavalla"),data[[#This Row],[asm_path]],"")</f>
        <v/>
      </c>
      <c r="W338" s="3" t="str">
        <f>IF(AND(data[[#This Row],[status]]="OK",data[[#This Row],[approach]]="atgt"),data[[#This Row],[asm_path]],"")</f>
        <v/>
      </c>
      <c r="X338" s="3" t="b">
        <f>COUNTIF(W:W,data[[#This Row],[path_ok_status_evoavalla]]) = 1</f>
        <v>0</v>
      </c>
    </row>
    <row r="339" spans="1:24" x14ac:dyDescent="0.25">
      <c r="A339" t="s">
        <v>785</v>
      </c>
      <c r="B339" t="s">
        <v>786</v>
      </c>
      <c r="C339" t="s">
        <v>637</v>
      </c>
      <c r="D339" t="s">
        <v>710</v>
      </c>
      <c r="E339" t="s">
        <v>636</v>
      </c>
      <c r="F339" t="s">
        <v>690</v>
      </c>
      <c r="G339" t="s">
        <v>622</v>
      </c>
      <c r="H339" t="s">
        <v>1545</v>
      </c>
      <c r="I339" t="s">
        <v>638</v>
      </c>
      <c r="J339" t="s">
        <v>632</v>
      </c>
      <c r="K339" s="2" t="s">
        <v>620</v>
      </c>
      <c r="L339" s="2" t="s">
        <v>620</v>
      </c>
      <c r="M339" s="2" t="s">
        <v>620</v>
      </c>
      <c r="N339" s="2" t="s">
        <v>620</v>
      </c>
      <c r="O339" t="s">
        <v>639</v>
      </c>
      <c r="P339" t="s">
        <v>639</v>
      </c>
      <c r="Q339" t="s">
        <v>639</v>
      </c>
      <c r="R339" t="s">
        <v>639</v>
      </c>
      <c r="S339" t="s">
        <v>639</v>
      </c>
      <c r="T339" t="s">
        <v>620</v>
      </c>
      <c r="U339" t="s">
        <v>620</v>
      </c>
      <c r="V339" s="3" t="str">
        <f>IF(AND(data[[#This Row],[status]]="OK",data[[#This Row],[approach]]="evoavalla"),data[[#This Row],[asm_path]],"")</f>
        <v/>
      </c>
      <c r="W339" s="3" t="str">
        <f>IF(AND(data[[#This Row],[status]]="OK",data[[#This Row],[approach]]="atgt"),data[[#This Row],[asm_path]],"")</f>
        <v/>
      </c>
      <c r="X339" s="3" t="b">
        <f>COUNTIF(W:W,data[[#This Row],[path_ok_status_evoavalla]]) = 1</f>
        <v>0</v>
      </c>
    </row>
    <row r="340" spans="1:24" x14ac:dyDescent="0.25">
      <c r="A340" t="s">
        <v>787</v>
      </c>
      <c r="B340" t="s">
        <v>788</v>
      </c>
      <c r="C340" t="s">
        <v>636</v>
      </c>
      <c r="D340" t="s">
        <v>636</v>
      </c>
      <c r="E340" t="s">
        <v>620</v>
      </c>
      <c r="F340" t="s">
        <v>620</v>
      </c>
      <c r="G340" t="s">
        <v>636</v>
      </c>
      <c r="H340" t="s">
        <v>1545</v>
      </c>
      <c r="I340" t="s">
        <v>624</v>
      </c>
      <c r="J340" t="s">
        <v>1550</v>
      </c>
      <c r="K340" s="2" t="s">
        <v>636</v>
      </c>
      <c r="L340" s="2" t="s">
        <v>635</v>
      </c>
      <c r="M340" s="2" t="s">
        <v>620</v>
      </c>
      <c r="N340" s="2" t="s">
        <v>635</v>
      </c>
      <c r="O340" t="s">
        <v>630</v>
      </c>
      <c r="P340" t="s">
        <v>630</v>
      </c>
      <c r="Q340" t="s">
        <v>632</v>
      </c>
      <c r="R340" t="s">
        <v>632</v>
      </c>
      <c r="S340" t="s">
        <v>630</v>
      </c>
      <c r="T340" t="s">
        <v>620</v>
      </c>
      <c r="U340" t="s">
        <v>620</v>
      </c>
      <c r="V340" s="3" t="str">
        <f>IF(AND(data[[#This Row],[status]]="OK",data[[#This Row],[approach]]="evoavalla"),data[[#This Row],[asm_path]],"")</f>
        <v/>
      </c>
      <c r="W340" s="3" t="str">
        <f>IF(AND(data[[#This Row],[status]]="OK",data[[#This Row],[approach]]="atgt"),data[[#This Row],[asm_path]],"")</f>
        <v>../../../asm_examples/examples_for_nuXmv/provaint.asm</v>
      </c>
      <c r="X340" s="3" t="b">
        <f>COUNTIF(W:W,data[[#This Row],[path_ok_status_evoavalla]]) = 1</f>
        <v>0</v>
      </c>
    </row>
    <row r="341" spans="1:24" x14ac:dyDescent="0.25">
      <c r="A341" t="s">
        <v>790</v>
      </c>
      <c r="B341" t="s">
        <v>791</v>
      </c>
      <c r="C341" t="s">
        <v>626</v>
      </c>
      <c r="D341" t="s">
        <v>643</v>
      </c>
      <c r="E341" t="s">
        <v>620</v>
      </c>
      <c r="F341" t="s">
        <v>716</v>
      </c>
      <c r="G341" t="s">
        <v>750</v>
      </c>
      <c r="H341" t="s">
        <v>1545</v>
      </c>
      <c r="I341" t="s">
        <v>624</v>
      </c>
      <c r="J341" t="s">
        <v>1551</v>
      </c>
      <c r="K341" s="2" t="s">
        <v>621</v>
      </c>
      <c r="L341" s="2" t="s">
        <v>980</v>
      </c>
      <c r="M341" s="2" t="s">
        <v>980</v>
      </c>
      <c r="N341" s="2" t="s">
        <v>629</v>
      </c>
      <c r="O341" t="s">
        <v>630</v>
      </c>
      <c r="P341" t="s">
        <v>630</v>
      </c>
      <c r="Q341" t="s">
        <v>632</v>
      </c>
      <c r="R341" t="s">
        <v>630</v>
      </c>
      <c r="S341" t="s">
        <v>630</v>
      </c>
      <c r="T341" t="s">
        <v>620</v>
      </c>
      <c r="U341" t="s">
        <v>620</v>
      </c>
      <c r="V341" s="3" t="str">
        <f>IF(AND(data[[#This Row],[status]]="OK",data[[#This Row],[approach]]="evoavalla"),data[[#This Row],[asm_path]],"")</f>
        <v/>
      </c>
      <c r="W341" s="3" t="str">
        <f>IF(AND(data[[#This Row],[status]]="OK",data[[#This Row],[approach]]="atgt"),data[[#This Row],[asm_path]],"")</f>
        <v>../../../asm_examples/examples/traffic_light/oneWayTrafficLightUsingEnum.asm</v>
      </c>
      <c r="X341" s="3" t="b">
        <f>COUNTIF(W:W,data[[#This Row],[path_ok_status_evoavalla]]) = 1</f>
        <v>0</v>
      </c>
    </row>
    <row r="342" spans="1:24" x14ac:dyDescent="0.25">
      <c r="A342" t="s">
        <v>794</v>
      </c>
      <c r="B342" t="s">
        <v>795</v>
      </c>
      <c r="C342" t="s">
        <v>626</v>
      </c>
      <c r="D342" t="s">
        <v>644</v>
      </c>
      <c r="E342" t="s">
        <v>620</v>
      </c>
      <c r="F342" t="s">
        <v>664</v>
      </c>
      <c r="G342" t="s">
        <v>746</v>
      </c>
      <c r="H342" t="s">
        <v>1545</v>
      </c>
      <c r="I342" t="s">
        <v>638</v>
      </c>
      <c r="J342" t="s">
        <v>632</v>
      </c>
      <c r="K342" s="2" t="s">
        <v>620</v>
      </c>
      <c r="L342" s="2" t="s">
        <v>620</v>
      </c>
      <c r="M342" s="2" t="s">
        <v>620</v>
      </c>
      <c r="N342" s="2" t="s">
        <v>620</v>
      </c>
      <c r="O342" t="s">
        <v>639</v>
      </c>
      <c r="P342" t="s">
        <v>639</v>
      </c>
      <c r="Q342" t="s">
        <v>639</v>
      </c>
      <c r="R342" t="s">
        <v>639</v>
      </c>
      <c r="S342" t="s">
        <v>639</v>
      </c>
      <c r="T342" t="s">
        <v>620</v>
      </c>
      <c r="U342" t="s">
        <v>620</v>
      </c>
      <c r="V342" s="3" t="str">
        <f>IF(AND(data[[#This Row],[status]]="OK",data[[#This Row],[approach]]="evoavalla"),data[[#This Row],[asm_path]],"")</f>
        <v/>
      </c>
      <c r="W342" s="3" t="str">
        <f>IF(AND(data[[#This Row],[status]]="OK",data[[#This Row],[approach]]="atgt"),data[[#This Row],[asm_path]],"")</f>
        <v/>
      </c>
      <c r="X342" s="3" t="b">
        <f>COUNTIF(W:W,data[[#This Row],[path_ok_status_evoavalla]]) = 1</f>
        <v>0</v>
      </c>
    </row>
    <row r="343" spans="1:24" x14ac:dyDescent="0.25">
      <c r="A343" t="s">
        <v>796</v>
      </c>
      <c r="B343" t="s">
        <v>797</v>
      </c>
      <c r="C343" t="s">
        <v>637</v>
      </c>
      <c r="D343" t="s">
        <v>717</v>
      </c>
      <c r="E343" t="s">
        <v>620</v>
      </c>
      <c r="F343" t="s">
        <v>798</v>
      </c>
      <c r="G343" t="s">
        <v>799</v>
      </c>
      <c r="H343" t="s">
        <v>1545</v>
      </c>
      <c r="I343" t="s">
        <v>624</v>
      </c>
      <c r="J343" t="s">
        <v>1552</v>
      </c>
      <c r="K343" s="2" t="s">
        <v>619</v>
      </c>
      <c r="L343" s="2" t="s">
        <v>717</v>
      </c>
      <c r="M343" s="2" t="s">
        <v>752</v>
      </c>
      <c r="N343" s="2" t="s">
        <v>1077</v>
      </c>
      <c r="O343" t="s">
        <v>1081</v>
      </c>
      <c r="P343" t="s">
        <v>1093</v>
      </c>
      <c r="Q343" t="s">
        <v>632</v>
      </c>
      <c r="R343" t="s">
        <v>1553</v>
      </c>
      <c r="S343" t="s">
        <v>1554</v>
      </c>
      <c r="T343" t="s">
        <v>620</v>
      </c>
      <c r="U343" t="s">
        <v>620</v>
      </c>
      <c r="V343" s="3" t="str">
        <f>IF(AND(data[[#This Row],[status]]="OK",data[[#This Row],[approach]]="evoavalla"),data[[#This Row],[asm_path]],"")</f>
        <v/>
      </c>
      <c r="W343" s="3" t="str">
        <f>IF(AND(data[[#This Row],[status]]="OK",data[[#This Row],[approach]]="atgt"),data[[#This Row],[asm_path]],"")</f>
        <v>../../../asm_examples/PillBox/Level1/pillbox_1.asm</v>
      </c>
      <c r="X343" s="3" t="b">
        <f>COUNTIF(W:W,data[[#This Row],[path_ok_status_evoavalla]]) = 1</f>
        <v>0</v>
      </c>
    </row>
    <row r="344" spans="1:24" x14ac:dyDescent="0.25">
      <c r="A344" t="s">
        <v>800</v>
      </c>
      <c r="B344" t="s">
        <v>801</v>
      </c>
      <c r="C344" t="s">
        <v>635</v>
      </c>
      <c r="D344" t="s">
        <v>635</v>
      </c>
      <c r="E344" t="s">
        <v>636</v>
      </c>
      <c r="F344" t="s">
        <v>628</v>
      </c>
      <c r="G344" t="s">
        <v>627</v>
      </c>
      <c r="H344" t="s">
        <v>1545</v>
      </c>
      <c r="I344" t="s">
        <v>638</v>
      </c>
      <c r="J344" t="s">
        <v>632</v>
      </c>
      <c r="K344" s="2" t="s">
        <v>620</v>
      </c>
      <c r="L344" s="2" t="s">
        <v>620</v>
      </c>
      <c r="M344" s="2" t="s">
        <v>620</v>
      </c>
      <c r="N344" s="2" t="s">
        <v>620</v>
      </c>
      <c r="O344" t="s">
        <v>639</v>
      </c>
      <c r="P344" t="s">
        <v>639</v>
      </c>
      <c r="Q344" t="s">
        <v>639</v>
      </c>
      <c r="R344" t="s">
        <v>639</v>
      </c>
      <c r="S344" t="s">
        <v>639</v>
      </c>
      <c r="T344" t="s">
        <v>620</v>
      </c>
      <c r="U344" t="s">
        <v>620</v>
      </c>
      <c r="V344" s="3" t="str">
        <f>IF(AND(data[[#This Row],[status]]="OK",data[[#This Row],[approach]]="evoavalla"),data[[#This Row],[asm_path]],"")</f>
        <v/>
      </c>
      <c r="W344" s="3" t="str">
        <f>IF(AND(data[[#This Row],[status]]="OK",data[[#This Row],[approach]]="atgt"),data[[#This Row],[asm_path]],"")</f>
        <v/>
      </c>
      <c r="X344" s="3" t="b">
        <f>COUNTIF(W:W,data[[#This Row],[path_ok_status_evoavalla]]) = 1</f>
        <v>0</v>
      </c>
    </row>
    <row r="345" spans="1:24" x14ac:dyDescent="0.25">
      <c r="A345" t="s">
        <v>802</v>
      </c>
      <c r="B345" t="s">
        <v>803</v>
      </c>
      <c r="C345" t="s">
        <v>761</v>
      </c>
      <c r="D345" t="s">
        <v>716</v>
      </c>
      <c r="E345" t="s">
        <v>636</v>
      </c>
      <c r="F345" t="s">
        <v>761</v>
      </c>
      <c r="G345" t="s">
        <v>697</v>
      </c>
      <c r="H345" t="s">
        <v>1545</v>
      </c>
      <c r="I345" t="s">
        <v>638</v>
      </c>
      <c r="J345" t="s">
        <v>632</v>
      </c>
      <c r="K345" s="2" t="s">
        <v>620</v>
      </c>
      <c r="L345" s="2" t="s">
        <v>620</v>
      </c>
      <c r="M345" s="2" t="s">
        <v>620</v>
      </c>
      <c r="N345" s="2" t="s">
        <v>620</v>
      </c>
      <c r="O345" t="s">
        <v>639</v>
      </c>
      <c r="P345" t="s">
        <v>639</v>
      </c>
      <c r="Q345" t="s">
        <v>639</v>
      </c>
      <c r="R345" t="s">
        <v>639</v>
      </c>
      <c r="S345" t="s">
        <v>639</v>
      </c>
      <c r="T345" t="s">
        <v>620</v>
      </c>
      <c r="U345" t="s">
        <v>620</v>
      </c>
      <c r="V345" s="3" t="str">
        <f>IF(AND(data[[#This Row],[status]]="OK",data[[#This Row],[approach]]="evoavalla"),data[[#This Row],[asm_path]],"")</f>
        <v/>
      </c>
      <c r="W345" s="3" t="str">
        <f>IF(AND(data[[#This Row],[status]]="OK",data[[#This Row],[approach]]="atgt"),data[[#This Row],[asm_path]],"")</f>
        <v/>
      </c>
      <c r="X345" s="3" t="b">
        <f>COUNTIF(W:W,data[[#This Row],[path_ok_status_evoavalla]]) = 1</f>
        <v>0</v>
      </c>
    </row>
    <row r="346" spans="1:24" x14ac:dyDescent="0.25">
      <c r="A346" t="s">
        <v>804</v>
      </c>
      <c r="B346" t="s">
        <v>805</v>
      </c>
      <c r="C346" t="s">
        <v>635</v>
      </c>
      <c r="D346" t="s">
        <v>636</v>
      </c>
      <c r="E346" t="s">
        <v>636</v>
      </c>
      <c r="F346" t="s">
        <v>635</v>
      </c>
      <c r="G346" t="s">
        <v>664</v>
      </c>
      <c r="H346" t="s">
        <v>1545</v>
      </c>
      <c r="I346" t="s">
        <v>638</v>
      </c>
      <c r="J346" t="s">
        <v>632</v>
      </c>
      <c r="K346" s="2" t="s">
        <v>620</v>
      </c>
      <c r="L346" s="2" t="s">
        <v>620</v>
      </c>
      <c r="M346" s="2" t="s">
        <v>620</v>
      </c>
      <c r="N346" s="2" t="s">
        <v>620</v>
      </c>
      <c r="O346" t="s">
        <v>639</v>
      </c>
      <c r="P346" t="s">
        <v>639</v>
      </c>
      <c r="Q346" t="s">
        <v>639</v>
      </c>
      <c r="R346" t="s">
        <v>639</v>
      </c>
      <c r="S346" t="s">
        <v>639</v>
      </c>
      <c r="T346" t="s">
        <v>620</v>
      </c>
      <c r="U346" t="s">
        <v>620</v>
      </c>
      <c r="V346" s="3" t="str">
        <f>IF(AND(data[[#This Row],[status]]="OK",data[[#This Row],[approach]]="evoavalla"),data[[#This Row],[asm_path]],"")</f>
        <v/>
      </c>
      <c r="W346" s="3" t="str">
        <f>IF(AND(data[[#This Row],[status]]="OK",data[[#This Row],[approach]]="atgt"),data[[#This Row],[asm_path]],"")</f>
        <v/>
      </c>
      <c r="X346" s="3" t="b">
        <f>COUNTIF(W:W,data[[#This Row],[path_ok_status_evoavalla]]) = 1</f>
        <v>0</v>
      </c>
    </row>
    <row r="347" spans="1:24" x14ac:dyDescent="0.25">
      <c r="A347" t="s">
        <v>806</v>
      </c>
      <c r="B347" t="s">
        <v>807</v>
      </c>
      <c r="C347" t="s">
        <v>808</v>
      </c>
      <c r="D347" t="s">
        <v>676</v>
      </c>
      <c r="E347" t="s">
        <v>752</v>
      </c>
      <c r="F347" t="s">
        <v>809</v>
      </c>
      <c r="G347" t="s">
        <v>810</v>
      </c>
      <c r="H347" t="s">
        <v>1545</v>
      </c>
      <c r="I347" t="s">
        <v>638</v>
      </c>
      <c r="J347" t="s">
        <v>632</v>
      </c>
      <c r="K347" s="2" t="s">
        <v>620</v>
      </c>
      <c r="L347" s="2" t="s">
        <v>620</v>
      </c>
      <c r="M347" s="2" t="s">
        <v>620</v>
      </c>
      <c r="N347" s="2" t="s">
        <v>620</v>
      </c>
      <c r="O347" t="s">
        <v>639</v>
      </c>
      <c r="P347" t="s">
        <v>639</v>
      </c>
      <c r="Q347" t="s">
        <v>639</v>
      </c>
      <c r="R347" t="s">
        <v>639</v>
      </c>
      <c r="S347" t="s">
        <v>639</v>
      </c>
      <c r="T347" t="s">
        <v>620</v>
      </c>
      <c r="U347" t="s">
        <v>620</v>
      </c>
      <c r="V347" s="3" t="str">
        <f>IF(AND(data[[#This Row],[status]]="OK",data[[#This Row],[approach]]="evoavalla"),data[[#This Row],[asm_path]],"")</f>
        <v/>
      </c>
      <c r="W347" s="3" t="str">
        <f>IF(AND(data[[#This Row],[status]]="OK",data[[#This Row],[approach]]="atgt"),data[[#This Row],[asm_path]],"")</f>
        <v/>
      </c>
      <c r="X347" s="3" t="b">
        <f>COUNTIF(W:W,data[[#This Row],[path_ok_status_evoavalla]]) = 1</f>
        <v>0</v>
      </c>
    </row>
    <row r="348" spans="1:24" x14ac:dyDescent="0.25">
      <c r="A348" t="s">
        <v>811</v>
      </c>
      <c r="B348" t="s">
        <v>812</v>
      </c>
      <c r="C348" t="s">
        <v>635</v>
      </c>
      <c r="D348" t="s">
        <v>664</v>
      </c>
      <c r="E348" t="s">
        <v>620</v>
      </c>
      <c r="F348" t="s">
        <v>682</v>
      </c>
      <c r="G348" t="s">
        <v>621</v>
      </c>
      <c r="H348" t="s">
        <v>1545</v>
      </c>
      <c r="I348" t="s">
        <v>638</v>
      </c>
      <c r="J348" t="s">
        <v>632</v>
      </c>
      <c r="K348" s="2" t="s">
        <v>620</v>
      </c>
      <c r="L348" s="2" t="s">
        <v>620</v>
      </c>
      <c r="M348" s="2" t="s">
        <v>620</v>
      </c>
      <c r="N348" s="2" t="s">
        <v>620</v>
      </c>
      <c r="O348" t="s">
        <v>639</v>
      </c>
      <c r="P348" t="s">
        <v>639</v>
      </c>
      <c r="Q348" t="s">
        <v>639</v>
      </c>
      <c r="R348" t="s">
        <v>639</v>
      </c>
      <c r="S348" t="s">
        <v>639</v>
      </c>
      <c r="T348" t="s">
        <v>620</v>
      </c>
      <c r="U348" t="s">
        <v>620</v>
      </c>
      <c r="V348" s="3" t="str">
        <f>IF(AND(data[[#This Row],[status]]="OK",data[[#This Row],[approach]]="evoavalla"),data[[#This Row],[asm_path]],"")</f>
        <v/>
      </c>
      <c r="W348" s="3" t="str">
        <f>IF(AND(data[[#This Row],[status]]="OK",data[[#This Row],[approach]]="atgt"),data[[#This Row],[asm_path]],"")</f>
        <v/>
      </c>
      <c r="X348" s="3" t="b">
        <f>COUNTIF(W:W,data[[#This Row],[path_ok_status_evoavalla]]) = 1</f>
        <v>0</v>
      </c>
    </row>
    <row r="349" spans="1:24" x14ac:dyDescent="0.25">
      <c r="A349" t="s">
        <v>813</v>
      </c>
      <c r="B349" t="s">
        <v>814</v>
      </c>
      <c r="C349" t="s">
        <v>717</v>
      </c>
      <c r="D349" t="s">
        <v>815</v>
      </c>
      <c r="E349" t="s">
        <v>816</v>
      </c>
      <c r="F349" t="s">
        <v>817</v>
      </c>
      <c r="G349" t="s">
        <v>818</v>
      </c>
      <c r="H349" t="s">
        <v>1545</v>
      </c>
      <c r="I349" t="s">
        <v>638</v>
      </c>
      <c r="J349" t="s">
        <v>632</v>
      </c>
      <c r="K349" s="2" t="s">
        <v>620</v>
      </c>
      <c r="L349" s="2" t="s">
        <v>620</v>
      </c>
      <c r="M349" s="2" t="s">
        <v>620</v>
      </c>
      <c r="N349" s="2" t="s">
        <v>620</v>
      </c>
      <c r="O349" t="s">
        <v>639</v>
      </c>
      <c r="P349" t="s">
        <v>639</v>
      </c>
      <c r="Q349" t="s">
        <v>639</v>
      </c>
      <c r="R349" t="s">
        <v>639</v>
      </c>
      <c r="S349" t="s">
        <v>639</v>
      </c>
      <c r="T349" t="s">
        <v>620</v>
      </c>
      <c r="U349" t="s">
        <v>620</v>
      </c>
      <c r="V349" s="3" t="str">
        <f>IF(AND(data[[#This Row],[status]]="OK",data[[#This Row],[approach]]="evoavalla"),data[[#This Row],[asm_path]],"")</f>
        <v/>
      </c>
      <c r="W349" s="3" t="str">
        <f>IF(AND(data[[#This Row],[status]]="OK",data[[#This Row],[approach]]="atgt"),data[[#This Row],[asm_path]],"")</f>
        <v/>
      </c>
      <c r="X349" s="3" t="b">
        <f>COUNTIF(W:W,data[[#This Row],[path_ok_status_evoavalla]]) = 1</f>
        <v>0</v>
      </c>
    </row>
    <row r="350" spans="1:24" x14ac:dyDescent="0.25">
      <c r="A350" t="s">
        <v>819</v>
      </c>
      <c r="B350" t="s">
        <v>820</v>
      </c>
      <c r="C350" t="s">
        <v>618</v>
      </c>
      <c r="D350" t="s">
        <v>643</v>
      </c>
      <c r="E350" t="s">
        <v>636</v>
      </c>
      <c r="F350" t="s">
        <v>690</v>
      </c>
      <c r="G350" t="s">
        <v>821</v>
      </c>
      <c r="H350" t="s">
        <v>1545</v>
      </c>
      <c r="I350" t="s">
        <v>638</v>
      </c>
      <c r="J350" t="s">
        <v>632</v>
      </c>
      <c r="K350" s="2" t="s">
        <v>620</v>
      </c>
      <c r="L350" s="2" t="s">
        <v>620</v>
      </c>
      <c r="M350" s="2" t="s">
        <v>620</v>
      </c>
      <c r="N350" s="2" t="s">
        <v>620</v>
      </c>
      <c r="O350" t="s">
        <v>639</v>
      </c>
      <c r="P350" t="s">
        <v>639</v>
      </c>
      <c r="Q350" t="s">
        <v>639</v>
      </c>
      <c r="R350" t="s">
        <v>639</v>
      </c>
      <c r="S350" t="s">
        <v>639</v>
      </c>
      <c r="T350" t="s">
        <v>620</v>
      </c>
      <c r="U350" t="s">
        <v>620</v>
      </c>
      <c r="V350" s="3" t="str">
        <f>IF(AND(data[[#This Row],[status]]="OK",data[[#This Row],[approach]]="evoavalla"),data[[#This Row],[asm_path]],"")</f>
        <v/>
      </c>
      <c r="W350" s="3" t="str">
        <f>IF(AND(data[[#This Row],[status]]="OK",data[[#This Row],[approach]]="atgt"),data[[#This Row],[asm_path]],"")</f>
        <v/>
      </c>
      <c r="X350" s="3" t="b">
        <f>COUNTIF(W:W,data[[#This Row],[path_ok_status_evoavalla]]) = 1</f>
        <v>0</v>
      </c>
    </row>
    <row r="351" spans="1:24" x14ac:dyDescent="0.25">
      <c r="A351" t="s">
        <v>822</v>
      </c>
      <c r="B351" t="s">
        <v>823</v>
      </c>
      <c r="C351" t="s">
        <v>682</v>
      </c>
      <c r="D351" t="s">
        <v>635</v>
      </c>
      <c r="E351" t="s">
        <v>620</v>
      </c>
      <c r="F351" t="s">
        <v>636</v>
      </c>
      <c r="G351" t="s">
        <v>683</v>
      </c>
      <c r="H351" t="s">
        <v>1545</v>
      </c>
      <c r="I351" t="s">
        <v>638</v>
      </c>
      <c r="J351" t="s">
        <v>632</v>
      </c>
      <c r="K351" s="2" t="s">
        <v>620</v>
      </c>
      <c r="L351" s="2" t="s">
        <v>620</v>
      </c>
      <c r="M351" s="2" t="s">
        <v>620</v>
      </c>
      <c r="N351" s="2" t="s">
        <v>620</v>
      </c>
      <c r="O351" t="s">
        <v>639</v>
      </c>
      <c r="P351" t="s">
        <v>639</v>
      </c>
      <c r="Q351" t="s">
        <v>639</v>
      </c>
      <c r="R351" t="s">
        <v>639</v>
      </c>
      <c r="S351" t="s">
        <v>639</v>
      </c>
      <c r="T351" t="s">
        <v>620</v>
      </c>
      <c r="U351" t="s">
        <v>620</v>
      </c>
      <c r="V351" s="3" t="str">
        <f>IF(AND(data[[#This Row],[status]]="OK",data[[#This Row],[approach]]="evoavalla"),data[[#This Row],[asm_path]],"")</f>
        <v/>
      </c>
      <c r="W351" s="3" t="str">
        <f>IF(AND(data[[#This Row],[status]]="OK",data[[#This Row],[approach]]="atgt"),data[[#This Row],[asm_path]],"")</f>
        <v/>
      </c>
      <c r="X351" s="3" t="b">
        <f>COUNTIF(W:W,data[[#This Row],[path_ok_status_evoavalla]]) = 1</f>
        <v>0</v>
      </c>
    </row>
    <row r="352" spans="1:24" x14ac:dyDescent="0.25">
      <c r="A352" t="s">
        <v>824</v>
      </c>
      <c r="B352" t="s">
        <v>825</v>
      </c>
      <c r="C352" t="s">
        <v>637</v>
      </c>
      <c r="D352" t="s">
        <v>826</v>
      </c>
      <c r="E352" t="s">
        <v>636</v>
      </c>
      <c r="F352" t="s">
        <v>717</v>
      </c>
      <c r="G352" t="s">
        <v>668</v>
      </c>
      <c r="H352" t="s">
        <v>1545</v>
      </c>
      <c r="I352" t="s">
        <v>638</v>
      </c>
      <c r="J352" t="s">
        <v>632</v>
      </c>
      <c r="K352" s="2" t="s">
        <v>620</v>
      </c>
      <c r="L352" s="2" t="s">
        <v>620</v>
      </c>
      <c r="M352" s="2" t="s">
        <v>620</v>
      </c>
      <c r="N352" s="2" t="s">
        <v>620</v>
      </c>
      <c r="O352" t="s">
        <v>639</v>
      </c>
      <c r="P352" t="s">
        <v>639</v>
      </c>
      <c r="Q352" t="s">
        <v>639</v>
      </c>
      <c r="R352" t="s">
        <v>639</v>
      </c>
      <c r="S352" t="s">
        <v>639</v>
      </c>
      <c r="T352" t="s">
        <v>620</v>
      </c>
      <c r="U352" t="s">
        <v>620</v>
      </c>
      <c r="V352" s="3" t="str">
        <f>IF(AND(data[[#This Row],[status]]="OK",data[[#This Row],[approach]]="evoavalla"),data[[#This Row],[asm_path]],"")</f>
        <v/>
      </c>
      <c r="W352" s="3" t="str">
        <f>IF(AND(data[[#This Row],[status]]="OK",data[[#This Row],[approach]]="atgt"),data[[#This Row],[asm_path]],"")</f>
        <v/>
      </c>
      <c r="X352" s="3" t="b">
        <f>COUNTIF(W:W,data[[#This Row],[path_ok_status_evoavalla]]) = 1</f>
        <v>0</v>
      </c>
    </row>
    <row r="353" spans="1:24" x14ac:dyDescent="0.25">
      <c r="A353" t="s">
        <v>827</v>
      </c>
      <c r="B353" t="s">
        <v>828</v>
      </c>
      <c r="C353" t="s">
        <v>636</v>
      </c>
      <c r="D353" t="s">
        <v>636</v>
      </c>
      <c r="E353" t="s">
        <v>620</v>
      </c>
      <c r="F353" t="s">
        <v>620</v>
      </c>
      <c r="G353" t="s">
        <v>636</v>
      </c>
      <c r="H353" t="s">
        <v>1545</v>
      </c>
      <c r="I353" t="s">
        <v>638</v>
      </c>
      <c r="J353" t="s">
        <v>632</v>
      </c>
      <c r="K353" s="2" t="s">
        <v>620</v>
      </c>
      <c r="L353" s="2" t="s">
        <v>620</v>
      </c>
      <c r="M353" s="2" t="s">
        <v>620</v>
      </c>
      <c r="N353" s="2" t="s">
        <v>620</v>
      </c>
      <c r="O353" t="s">
        <v>639</v>
      </c>
      <c r="P353" t="s">
        <v>639</v>
      </c>
      <c r="Q353" t="s">
        <v>639</v>
      </c>
      <c r="R353" t="s">
        <v>639</v>
      </c>
      <c r="S353" t="s">
        <v>639</v>
      </c>
      <c r="T353" t="s">
        <v>620</v>
      </c>
      <c r="U353" t="s">
        <v>620</v>
      </c>
      <c r="V353" s="3" t="str">
        <f>IF(AND(data[[#This Row],[status]]="OK",data[[#This Row],[approach]]="evoavalla"),data[[#This Row],[asm_path]],"")</f>
        <v/>
      </c>
      <c r="W353" s="3" t="str">
        <f>IF(AND(data[[#This Row],[status]]="OK",data[[#This Row],[approach]]="atgt"),data[[#This Row],[asm_path]],"")</f>
        <v/>
      </c>
      <c r="X353" s="3" t="b">
        <f>COUNTIF(W:W,data[[#This Row],[path_ok_status_evoavalla]]) = 1</f>
        <v>0</v>
      </c>
    </row>
    <row r="354" spans="1:24" x14ac:dyDescent="0.25">
      <c r="A354" t="s">
        <v>829</v>
      </c>
      <c r="B354" t="s">
        <v>830</v>
      </c>
      <c r="C354" t="s">
        <v>618</v>
      </c>
      <c r="D354" t="s">
        <v>745</v>
      </c>
      <c r="E354" t="s">
        <v>620</v>
      </c>
      <c r="F354" t="s">
        <v>761</v>
      </c>
      <c r="G354" t="s">
        <v>831</v>
      </c>
      <c r="H354" t="s">
        <v>1545</v>
      </c>
      <c r="I354" t="s">
        <v>624</v>
      </c>
      <c r="J354" t="s">
        <v>1555</v>
      </c>
      <c r="K354" s="2" t="s">
        <v>683</v>
      </c>
      <c r="L354" s="2" t="s">
        <v>1291</v>
      </c>
      <c r="M354" s="2" t="s">
        <v>816</v>
      </c>
      <c r="N354" s="2" t="s">
        <v>751</v>
      </c>
      <c r="O354" t="s">
        <v>630</v>
      </c>
      <c r="P354" t="s">
        <v>1548</v>
      </c>
      <c r="Q354" t="s">
        <v>632</v>
      </c>
      <c r="R354" t="s">
        <v>1556</v>
      </c>
      <c r="S354" t="s">
        <v>1557</v>
      </c>
      <c r="T354" t="s">
        <v>620</v>
      </c>
      <c r="U354" t="s">
        <v>620</v>
      </c>
      <c r="V354" s="3" t="str">
        <f>IF(AND(data[[#This Row],[status]]="OK",data[[#This Row],[approach]]="evoavalla"),data[[#This Row],[asm_path]],"")</f>
        <v/>
      </c>
      <c r="W354" s="3" t="str">
        <f>IF(AND(data[[#This Row],[status]]="OK",data[[#This Row],[approach]]="atgt"),data[[#This Row],[asm_path]],"")</f>
        <v>../../../asm_examples/stereoacuity/certifierRaff3.asm</v>
      </c>
      <c r="X354" s="3" t="b">
        <f>COUNTIF(W:W,data[[#This Row],[path_ok_status_evoavalla]]) = 1</f>
        <v>0</v>
      </c>
    </row>
    <row r="355" spans="1:24" x14ac:dyDescent="0.25">
      <c r="A355" t="s">
        <v>835</v>
      </c>
      <c r="B355" t="s">
        <v>836</v>
      </c>
      <c r="C355" t="s">
        <v>837</v>
      </c>
      <c r="D355" t="s">
        <v>838</v>
      </c>
      <c r="E355" t="s">
        <v>620</v>
      </c>
      <c r="F355" t="s">
        <v>799</v>
      </c>
      <c r="G355" t="s">
        <v>839</v>
      </c>
      <c r="H355" t="s">
        <v>1545</v>
      </c>
      <c r="I355" t="s">
        <v>624</v>
      </c>
      <c r="J355" t="s">
        <v>1558</v>
      </c>
      <c r="K355" s="2" t="s">
        <v>753</v>
      </c>
      <c r="L355" s="2" t="s">
        <v>1559</v>
      </c>
      <c r="M355" s="2" t="s">
        <v>1559</v>
      </c>
      <c r="N355" s="2" t="s">
        <v>1560</v>
      </c>
      <c r="O355" t="s">
        <v>630</v>
      </c>
      <c r="P355" t="s">
        <v>1561</v>
      </c>
      <c r="Q355" t="s">
        <v>632</v>
      </c>
      <c r="R355" t="s">
        <v>1562</v>
      </c>
      <c r="S355" t="s">
        <v>630</v>
      </c>
      <c r="T355" t="s">
        <v>620</v>
      </c>
      <c r="U355" t="s">
        <v>620</v>
      </c>
      <c r="V355" s="3" t="str">
        <f>IF(AND(data[[#This Row],[status]]="OK",data[[#This Row],[approach]]="evoavalla"),data[[#This Row],[asm_path]],"")</f>
        <v/>
      </c>
      <c r="W355" s="3" t="str">
        <f>IF(AND(data[[#This Row],[status]]="OK",data[[#This Row],[approach]]="atgt"),data[[#This Row],[asm_path]],"")</f>
        <v>../../../asm_examples/PHD/phd_master_flat2_v3.asm</v>
      </c>
      <c r="X355" s="3" t="b">
        <f>COUNTIF(W:W,data[[#This Row],[path_ok_status_evoavalla]]) = 1</f>
        <v>0</v>
      </c>
    </row>
    <row r="356" spans="1:24" x14ac:dyDescent="0.25">
      <c r="A356" t="s">
        <v>847</v>
      </c>
      <c r="B356" t="s">
        <v>848</v>
      </c>
      <c r="C356" t="s">
        <v>677</v>
      </c>
      <c r="D356" t="s">
        <v>697</v>
      </c>
      <c r="E356" t="s">
        <v>637</v>
      </c>
      <c r="F356" t="s">
        <v>741</v>
      </c>
      <c r="G356" t="s">
        <v>849</v>
      </c>
      <c r="H356" t="s">
        <v>1545</v>
      </c>
      <c r="I356" t="s">
        <v>638</v>
      </c>
      <c r="J356" t="s">
        <v>632</v>
      </c>
      <c r="K356" s="2" t="s">
        <v>620</v>
      </c>
      <c r="L356" s="2" t="s">
        <v>620</v>
      </c>
      <c r="M356" s="2" t="s">
        <v>620</v>
      </c>
      <c r="N356" s="2" t="s">
        <v>620</v>
      </c>
      <c r="O356" t="s">
        <v>639</v>
      </c>
      <c r="P356" t="s">
        <v>639</v>
      </c>
      <c r="Q356" t="s">
        <v>639</v>
      </c>
      <c r="R356" t="s">
        <v>639</v>
      </c>
      <c r="S356" t="s">
        <v>639</v>
      </c>
      <c r="T356" t="s">
        <v>620</v>
      </c>
      <c r="U356" t="s">
        <v>620</v>
      </c>
      <c r="V356" s="3" t="str">
        <f>IF(AND(data[[#This Row],[status]]="OK",data[[#This Row],[approach]]="evoavalla"),data[[#This Row],[asm_path]],"")</f>
        <v/>
      </c>
      <c r="W356" s="3" t="str">
        <f>IF(AND(data[[#This Row],[status]]="OK",data[[#This Row],[approach]]="atgt"),data[[#This Row],[asm_path]],"")</f>
        <v/>
      </c>
      <c r="X356" s="3" t="b">
        <f>COUNTIF(W:W,data[[#This Row],[path_ok_status_evoavalla]]) = 1</f>
        <v>0</v>
      </c>
    </row>
    <row r="357" spans="1:24" x14ac:dyDescent="0.25">
      <c r="A357" t="s">
        <v>850</v>
      </c>
      <c r="B357" t="s">
        <v>661</v>
      </c>
      <c r="C357" t="s">
        <v>635</v>
      </c>
      <c r="D357" t="s">
        <v>635</v>
      </c>
      <c r="E357" t="s">
        <v>636</v>
      </c>
      <c r="F357" t="s">
        <v>626</v>
      </c>
      <c r="G357" t="s">
        <v>643</v>
      </c>
      <c r="H357" t="s">
        <v>1545</v>
      </c>
      <c r="I357" t="s">
        <v>638</v>
      </c>
      <c r="J357" t="s">
        <v>632</v>
      </c>
      <c r="K357" s="2" t="s">
        <v>620</v>
      </c>
      <c r="L357" s="2" t="s">
        <v>620</v>
      </c>
      <c r="M357" s="2" t="s">
        <v>620</v>
      </c>
      <c r="N357" s="2" t="s">
        <v>620</v>
      </c>
      <c r="O357" t="s">
        <v>639</v>
      </c>
      <c r="P357" t="s">
        <v>639</v>
      </c>
      <c r="Q357" t="s">
        <v>639</v>
      </c>
      <c r="R357" t="s">
        <v>639</v>
      </c>
      <c r="S357" t="s">
        <v>639</v>
      </c>
      <c r="T357" t="s">
        <v>620</v>
      </c>
      <c r="U357" t="s">
        <v>620</v>
      </c>
      <c r="V357" s="3" t="str">
        <f>IF(AND(data[[#This Row],[status]]="OK",data[[#This Row],[approach]]="evoavalla"),data[[#This Row],[asm_path]],"")</f>
        <v/>
      </c>
      <c r="W357" s="3" t="str">
        <f>IF(AND(data[[#This Row],[status]]="OK",data[[#This Row],[approach]]="atgt"),data[[#This Row],[asm_path]],"")</f>
        <v/>
      </c>
      <c r="X357" s="3" t="b">
        <f>COUNTIF(W:W,data[[#This Row],[path_ok_status_evoavalla]]) = 1</f>
        <v>0</v>
      </c>
    </row>
    <row r="358" spans="1:24" x14ac:dyDescent="0.25">
      <c r="A358" t="s">
        <v>851</v>
      </c>
      <c r="B358" t="s">
        <v>852</v>
      </c>
      <c r="C358" t="s">
        <v>637</v>
      </c>
      <c r="D358" t="s">
        <v>619</v>
      </c>
      <c r="E358" t="s">
        <v>620</v>
      </c>
      <c r="F358" t="s">
        <v>690</v>
      </c>
      <c r="G358" t="s">
        <v>831</v>
      </c>
      <c r="H358" t="s">
        <v>1545</v>
      </c>
      <c r="I358" t="s">
        <v>624</v>
      </c>
      <c r="J358" t="s">
        <v>1563</v>
      </c>
      <c r="K358" s="2" t="s">
        <v>637</v>
      </c>
      <c r="L358" s="2" t="s">
        <v>732</v>
      </c>
      <c r="M358" s="2" t="s">
        <v>1376</v>
      </c>
      <c r="N358" s="2" t="s">
        <v>875</v>
      </c>
      <c r="O358" t="s">
        <v>630</v>
      </c>
      <c r="P358" t="s">
        <v>630</v>
      </c>
      <c r="Q358" t="s">
        <v>632</v>
      </c>
      <c r="R358" t="s">
        <v>630</v>
      </c>
      <c r="S358" t="s">
        <v>630</v>
      </c>
      <c r="T358" t="s">
        <v>620</v>
      </c>
      <c r="U358" t="s">
        <v>620</v>
      </c>
      <c r="V358" s="3" t="str">
        <f>IF(AND(data[[#This Row],[status]]="OK",data[[#This Row],[approach]]="evoavalla"),data[[#This Row],[asm_path]],"")</f>
        <v/>
      </c>
      <c r="W358" s="3" t="str">
        <f>IF(AND(data[[#This Row],[status]]="OK",data[[#This Row],[approach]]="atgt"),data[[#This Row],[asm_path]],"")</f>
        <v>../../../asm_examples/PillBox/Level0/pillbox_0.asm</v>
      </c>
      <c r="X358" s="3" t="b">
        <f>COUNTIF(W:W,data[[#This Row],[path_ok_status_evoavalla]]) = 1</f>
        <v>0</v>
      </c>
    </row>
    <row r="359" spans="1:24" x14ac:dyDescent="0.25">
      <c r="A359" t="s">
        <v>855</v>
      </c>
      <c r="B359" t="s">
        <v>856</v>
      </c>
      <c r="C359" t="s">
        <v>683</v>
      </c>
      <c r="D359" t="s">
        <v>857</v>
      </c>
      <c r="E359" t="s">
        <v>620</v>
      </c>
      <c r="F359" t="s">
        <v>619</v>
      </c>
      <c r="G359" t="s">
        <v>858</v>
      </c>
      <c r="H359" t="s">
        <v>1545</v>
      </c>
      <c r="I359" t="s">
        <v>624</v>
      </c>
      <c r="J359" t="s">
        <v>1564</v>
      </c>
      <c r="K359" s="2" t="s">
        <v>1565</v>
      </c>
      <c r="L359" s="2" t="s">
        <v>1566</v>
      </c>
      <c r="M359" s="2" t="s">
        <v>1567</v>
      </c>
      <c r="N359" s="2" t="s">
        <v>1568</v>
      </c>
      <c r="O359" t="s">
        <v>630</v>
      </c>
      <c r="P359" t="s">
        <v>1569</v>
      </c>
      <c r="Q359" t="s">
        <v>632</v>
      </c>
      <c r="R359" t="s">
        <v>630</v>
      </c>
      <c r="S359" t="s">
        <v>1570</v>
      </c>
      <c r="T359" t="s">
        <v>620</v>
      </c>
      <c r="U359" t="s">
        <v>620</v>
      </c>
      <c r="V359" s="3" t="str">
        <f>IF(AND(data[[#This Row],[status]]="OK",data[[#This Row],[approach]]="evoavalla"),data[[#This Row],[asm_path]],"")</f>
        <v/>
      </c>
      <c r="W359" s="3" t="str">
        <f>IF(AND(data[[#This Row],[status]]="OK",data[[#This Row],[approach]]="atgt"),data[[#This Row],[asm_path]],"")</f>
        <v>../../../asm_examples/PHD/phd_master_flat2_v7.asm</v>
      </c>
      <c r="X359" s="3" t="b">
        <f>COUNTIF(W:W,data[[#This Row],[path_ok_status_evoavalla]]) = 1</f>
        <v>0</v>
      </c>
    </row>
    <row r="360" spans="1:24" x14ac:dyDescent="0.25">
      <c r="A360" t="s">
        <v>865</v>
      </c>
      <c r="B360" t="s">
        <v>866</v>
      </c>
      <c r="C360" t="s">
        <v>621</v>
      </c>
      <c r="D360" t="s">
        <v>618</v>
      </c>
      <c r="E360" t="s">
        <v>620</v>
      </c>
      <c r="F360" t="s">
        <v>761</v>
      </c>
      <c r="G360" t="s">
        <v>781</v>
      </c>
      <c r="H360" t="s">
        <v>1545</v>
      </c>
      <c r="I360" t="s">
        <v>624</v>
      </c>
      <c r="J360" t="s">
        <v>1571</v>
      </c>
      <c r="K360" s="2" t="s">
        <v>683</v>
      </c>
      <c r="L360" s="2" t="s">
        <v>667</v>
      </c>
      <c r="M360" s="2" t="s">
        <v>1185</v>
      </c>
      <c r="N360" s="2" t="s">
        <v>1414</v>
      </c>
      <c r="O360" t="s">
        <v>1190</v>
      </c>
      <c r="P360" t="s">
        <v>1572</v>
      </c>
      <c r="Q360" t="s">
        <v>632</v>
      </c>
      <c r="R360" t="s">
        <v>1224</v>
      </c>
      <c r="S360" t="s">
        <v>1547</v>
      </c>
      <c r="T360" t="s">
        <v>620</v>
      </c>
      <c r="U360" t="s">
        <v>620</v>
      </c>
      <c r="V360" s="3" t="str">
        <f>IF(AND(data[[#This Row],[status]]="OK",data[[#This Row],[approach]]="evoavalla"),data[[#This Row],[asm_path]],"")</f>
        <v/>
      </c>
      <c r="W360" s="3" t="str">
        <f>IF(AND(data[[#This Row],[status]]="OK",data[[#This Row],[approach]]="atgt"),data[[#This Row],[asm_path]],"")</f>
        <v>../../../asm_examples/examples/models/SIS.asm</v>
      </c>
      <c r="X360" s="3" t="b">
        <f>COUNTIF(W:W,data[[#This Row],[path_ok_status_evoavalla]]) = 1</f>
        <v>0</v>
      </c>
    </row>
    <row r="361" spans="1:24" x14ac:dyDescent="0.25">
      <c r="A361" t="s">
        <v>867</v>
      </c>
      <c r="B361" t="s">
        <v>868</v>
      </c>
      <c r="C361" t="s">
        <v>635</v>
      </c>
      <c r="D361" t="s">
        <v>635</v>
      </c>
      <c r="E361" t="s">
        <v>636</v>
      </c>
      <c r="F361" t="s">
        <v>626</v>
      </c>
      <c r="G361" t="s">
        <v>637</v>
      </c>
      <c r="H361" t="s">
        <v>1545</v>
      </c>
      <c r="I361" t="s">
        <v>638</v>
      </c>
      <c r="J361" t="s">
        <v>632</v>
      </c>
      <c r="K361" s="2" t="s">
        <v>620</v>
      </c>
      <c r="L361" s="2" t="s">
        <v>620</v>
      </c>
      <c r="M361" s="2" t="s">
        <v>620</v>
      </c>
      <c r="N361" s="2" t="s">
        <v>620</v>
      </c>
      <c r="O361" t="s">
        <v>639</v>
      </c>
      <c r="P361" t="s">
        <v>639</v>
      </c>
      <c r="Q361" t="s">
        <v>639</v>
      </c>
      <c r="R361" t="s">
        <v>639</v>
      </c>
      <c r="S361" t="s">
        <v>639</v>
      </c>
      <c r="T361" t="s">
        <v>620</v>
      </c>
      <c r="U361" t="s">
        <v>620</v>
      </c>
      <c r="V361" s="3" t="str">
        <f>IF(AND(data[[#This Row],[status]]="OK",data[[#This Row],[approach]]="evoavalla"),data[[#This Row],[asm_path]],"")</f>
        <v/>
      </c>
      <c r="W361" s="3" t="str">
        <f>IF(AND(data[[#This Row],[status]]="OK",data[[#This Row],[approach]]="atgt"),data[[#This Row],[asm_path]],"")</f>
        <v/>
      </c>
      <c r="X361" s="3" t="b">
        <f>COUNTIF(W:W,data[[#This Row],[path_ok_status_evoavalla]]) = 1</f>
        <v>0</v>
      </c>
    </row>
    <row r="362" spans="1:24" x14ac:dyDescent="0.25">
      <c r="A362" t="s">
        <v>869</v>
      </c>
      <c r="B362" t="s">
        <v>870</v>
      </c>
      <c r="C362" t="s">
        <v>677</v>
      </c>
      <c r="D362" t="s">
        <v>735</v>
      </c>
      <c r="E362" t="s">
        <v>621</v>
      </c>
      <c r="F362" t="s">
        <v>871</v>
      </c>
      <c r="G362" t="s">
        <v>872</v>
      </c>
      <c r="H362" t="s">
        <v>1545</v>
      </c>
      <c r="I362" t="s">
        <v>638</v>
      </c>
      <c r="J362" t="s">
        <v>632</v>
      </c>
      <c r="K362" s="2" t="s">
        <v>620</v>
      </c>
      <c r="L362" s="2" t="s">
        <v>620</v>
      </c>
      <c r="M362" s="2" t="s">
        <v>620</v>
      </c>
      <c r="N362" s="2" t="s">
        <v>620</v>
      </c>
      <c r="O362" t="s">
        <v>639</v>
      </c>
      <c r="P362" t="s">
        <v>639</v>
      </c>
      <c r="Q362" t="s">
        <v>639</v>
      </c>
      <c r="R362" t="s">
        <v>639</v>
      </c>
      <c r="S362" t="s">
        <v>639</v>
      </c>
      <c r="T362" t="s">
        <v>620</v>
      </c>
      <c r="U362" t="s">
        <v>620</v>
      </c>
      <c r="V362" s="3" t="str">
        <f>IF(AND(data[[#This Row],[status]]="OK",data[[#This Row],[approach]]="evoavalla"),data[[#This Row],[asm_path]],"")</f>
        <v/>
      </c>
      <c r="W362" s="3" t="str">
        <f>IF(AND(data[[#This Row],[status]]="OK",data[[#This Row],[approach]]="atgt"),data[[#This Row],[asm_path]],"")</f>
        <v/>
      </c>
      <c r="X362" s="3" t="b">
        <f>COUNTIF(W:W,data[[#This Row],[path_ok_status_evoavalla]]) = 1</f>
        <v>0</v>
      </c>
    </row>
    <row r="363" spans="1:24" x14ac:dyDescent="0.25">
      <c r="A363" t="s">
        <v>873</v>
      </c>
      <c r="B363" t="s">
        <v>874</v>
      </c>
      <c r="C363" t="s">
        <v>669</v>
      </c>
      <c r="D363" t="s">
        <v>875</v>
      </c>
      <c r="E363" t="s">
        <v>745</v>
      </c>
      <c r="F363" t="s">
        <v>871</v>
      </c>
      <c r="G363" t="s">
        <v>876</v>
      </c>
      <c r="H363" t="s">
        <v>1545</v>
      </c>
      <c r="I363" t="s">
        <v>638</v>
      </c>
      <c r="J363" t="s">
        <v>632</v>
      </c>
      <c r="K363" s="2" t="s">
        <v>620</v>
      </c>
      <c r="L363" s="2" t="s">
        <v>620</v>
      </c>
      <c r="M363" s="2" t="s">
        <v>620</v>
      </c>
      <c r="N363" s="2" t="s">
        <v>620</v>
      </c>
      <c r="O363" t="s">
        <v>639</v>
      </c>
      <c r="P363" t="s">
        <v>639</v>
      </c>
      <c r="Q363" t="s">
        <v>639</v>
      </c>
      <c r="R363" t="s">
        <v>639</v>
      </c>
      <c r="S363" t="s">
        <v>639</v>
      </c>
      <c r="T363" t="s">
        <v>620</v>
      </c>
      <c r="U363" t="s">
        <v>620</v>
      </c>
      <c r="V363" s="3" t="str">
        <f>IF(AND(data[[#This Row],[status]]="OK",data[[#This Row],[approach]]="evoavalla"),data[[#This Row],[asm_path]],"")</f>
        <v/>
      </c>
      <c r="W363" s="3" t="str">
        <f>IF(AND(data[[#This Row],[status]]="OK",data[[#This Row],[approach]]="atgt"),data[[#This Row],[asm_path]],"")</f>
        <v/>
      </c>
      <c r="X363" s="3" t="b">
        <f>COUNTIF(W:W,data[[#This Row],[path_ok_status_evoavalla]]) = 1</f>
        <v>0</v>
      </c>
    </row>
    <row r="364" spans="1:24" x14ac:dyDescent="0.25">
      <c r="A364" t="s">
        <v>877</v>
      </c>
      <c r="B364" t="s">
        <v>878</v>
      </c>
      <c r="C364" t="s">
        <v>635</v>
      </c>
      <c r="D364" t="s">
        <v>664</v>
      </c>
      <c r="E364" t="s">
        <v>620</v>
      </c>
      <c r="F364" t="s">
        <v>682</v>
      </c>
      <c r="G364" t="s">
        <v>621</v>
      </c>
      <c r="H364" t="s">
        <v>1545</v>
      </c>
      <c r="I364" t="s">
        <v>638</v>
      </c>
      <c r="J364" t="s">
        <v>632</v>
      </c>
      <c r="K364" s="2" t="s">
        <v>620</v>
      </c>
      <c r="L364" s="2" t="s">
        <v>620</v>
      </c>
      <c r="M364" s="2" t="s">
        <v>620</v>
      </c>
      <c r="N364" s="2" t="s">
        <v>620</v>
      </c>
      <c r="O364" t="s">
        <v>639</v>
      </c>
      <c r="P364" t="s">
        <v>639</v>
      </c>
      <c r="Q364" t="s">
        <v>639</v>
      </c>
      <c r="R364" t="s">
        <v>639</v>
      </c>
      <c r="S364" t="s">
        <v>639</v>
      </c>
      <c r="T364" t="s">
        <v>620</v>
      </c>
      <c r="U364" t="s">
        <v>620</v>
      </c>
      <c r="V364" s="3" t="str">
        <f>IF(AND(data[[#This Row],[status]]="OK",data[[#This Row],[approach]]="evoavalla"),data[[#This Row],[asm_path]],"")</f>
        <v/>
      </c>
      <c r="W364" s="3" t="str">
        <f>IF(AND(data[[#This Row],[status]]="OK",data[[#This Row],[approach]]="atgt"),data[[#This Row],[asm_path]],"")</f>
        <v/>
      </c>
      <c r="X364" s="3" t="b">
        <f>COUNTIF(W:W,data[[#This Row],[path_ok_status_evoavalla]]) = 1</f>
        <v>0</v>
      </c>
    </row>
    <row r="365" spans="1:24" x14ac:dyDescent="0.25">
      <c r="A365" t="s">
        <v>879</v>
      </c>
      <c r="B365" t="s">
        <v>880</v>
      </c>
      <c r="C365" t="s">
        <v>635</v>
      </c>
      <c r="D365" t="s">
        <v>682</v>
      </c>
      <c r="E365" t="s">
        <v>636</v>
      </c>
      <c r="F365" t="s">
        <v>682</v>
      </c>
      <c r="G365" t="s">
        <v>637</v>
      </c>
      <c r="H365" t="s">
        <v>1545</v>
      </c>
      <c r="I365" t="s">
        <v>638</v>
      </c>
      <c r="J365" t="s">
        <v>632</v>
      </c>
      <c r="K365" s="2" t="s">
        <v>620</v>
      </c>
      <c r="L365" s="2" t="s">
        <v>620</v>
      </c>
      <c r="M365" s="2" t="s">
        <v>620</v>
      </c>
      <c r="N365" s="2" t="s">
        <v>620</v>
      </c>
      <c r="O365" t="s">
        <v>639</v>
      </c>
      <c r="P365" t="s">
        <v>639</v>
      </c>
      <c r="Q365" t="s">
        <v>639</v>
      </c>
      <c r="R365" t="s">
        <v>639</v>
      </c>
      <c r="S365" t="s">
        <v>639</v>
      </c>
      <c r="T365" t="s">
        <v>620</v>
      </c>
      <c r="U365" t="s">
        <v>620</v>
      </c>
      <c r="V365" s="3" t="str">
        <f>IF(AND(data[[#This Row],[status]]="OK",data[[#This Row],[approach]]="evoavalla"),data[[#This Row],[asm_path]],"")</f>
        <v/>
      </c>
      <c r="W365" s="3" t="str">
        <f>IF(AND(data[[#This Row],[status]]="OK",data[[#This Row],[approach]]="atgt"),data[[#This Row],[asm_path]],"")</f>
        <v/>
      </c>
      <c r="X365" s="3" t="b">
        <f>COUNTIF(W:W,data[[#This Row],[path_ok_status_evoavalla]]) = 1</f>
        <v>0</v>
      </c>
    </row>
    <row r="366" spans="1:24" x14ac:dyDescent="0.25">
      <c r="A366" t="s">
        <v>881</v>
      </c>
      <c r="B366" t="s">
        <v>882</v>
      </c>
      <c r="C366" t="s">
        <v>664</v>
      </c>
      <c r="D366" t="s">
        <v>628</v>
      </c>
      <c r="E366" t="s">
        <v>620</v>
      </c>
      <c r="F366" t="s">
        <v>626</v>
      </c>
      <c r="G366" t="s">
        <v>627</v>
      </c>
      <c r="H366" t="s">
        <v>1545</v>
      </c>
      <c r="I366" t="s">
        <v>638</v>
      </c>
      <c r="J366" t="s">
        <v>632</v>
      </c>
      <c r="K366" s="2" t="s">
        <v>620</v>
      </c>
      <c r="L366" s="2" t="s">
        <v>620</v>
      </c>
      <c r="M366" s="2" t="s">
        <v>620</v>
      </c>
      <c r="N366" s="2" t="s">
        <v>620</v>
      </c>
      <c r="O366" t="s">
        <v>639</v>
      </c>
      <c r="P366" t="s">
        <v>639</v>
      </c>
      <c r="Q366" t="s">
        <v>639</v>
      </c>
      <c r="R366" t="s">
        <v>639</v>
      </c>
      <c r="S366" t="s">
        <v>639</v>
      </c>
      <c r="T366" t="s">
        <v>620</v>
      </c>
      <c r="U366" t="s">
        <v>620</v>
      </c>
      <c r="V366" s="3" t="str">
        <f>IF(AND(data[[#This Row],[status]]="OK",data[[#This Row],[approach]]="evoavalla"),data[[#This Row],[asm_path]],"")</f>
        <v/>
      </c>
      <c r="W366" s="3" t="str">
        <f>IF(AND(data[[#This Row],[status]]="OK",data[[#This Row],[approach]]="atgt"),data[[#This Row],[asm_path]],"")</f>
        <v/>
      </c>
      <c r="X366" s="3" t="b">
        <f>COUNTIF(W:W,data[[#This Row],[path_ok_status_evoavalla]]) = 1</f>
        <v>0</v>
      </c>
    </row>
    <row r="367" spans="1:24" x14ac:dyDescent="0.25">
      <c r="A367" t="s">
        <v>883</v>
      </c>
      <c r="B367" t="s">
        <v>884</v>
      </c>
      <c r="C367" t="s">
        <v>627</v>
      </c>
      <c r="D367" t="s">
        <v>675</v>
      </c>
      <c r="E367" t="s">
        <v>620</v>
      </c>
      <c r="F367" t="s">
        <v>690</v>
      </c>
      <c r="G367" t="s">
        <v>837</v>
      </c>
      <c r="H367" t="s">
        <v>1545</v>
      </c>
      <c r="I367" t="s">
        <v>624</v>
      </c>
      <c r="J367" t="s">
        <v>1573</v>
      </c>
      <c r="K367" s="2" t="s">
        <v>626</v>
      </c>
      <c r="L367" s="2" t="s">
        <v>808</v>
      </c>
      <c r="M367" s="2" t="s">
        <v>735</v>
      </c>
      <c r="N367" s="2" t="s">
        <v>1084</v>
      </c>
      <c r="O367" t="s">
        <v>630</v>
      </c>
      <c r="P367" t="s">
        <v>888</v>
      </c>
      <c r="Q367" t="s">
        <v>632</v>
      </c>
      <c r="R367" t="s">
        <v>854</v>
      </c>
      <c r="S367" t="s">
        <v>1224</v>
      </c>
      <c r="T367" t="s">
        <v>619</v>
      </c>
      <c r="U367" t="s">
        <v>620</v>
      </c>
      <c r="V367" s="3" t="str">
        <f>IF(AND(data[[#This Row],[status]]="OK",data[[#This Row],[approach]]="evoavalla"),data[[#This Row],[asm_path]],"")</f>
        <v/>
      </c>
      <c r="W367" s="3" t="str">
        <f>IF(AND(data[[#This Row],[status]]="OK",data[[#This Row],[approach]]="atgt"),data[[#This Row],[asm_path]],"")</f>
        <v>../../../asm_examples/stereoacuity/certifier_nochoose.asm</v>
      </c>
      <c r="X367" s="3" t="b">
        <f>COUNTIF(W:W,data[[#This Row],[path_ok_status_evoavalla]]) = 1</f>
        <v>0</v>
      </c>
    </row>
    <row r="368" spans="1:24" x14ac:dyDescent="0.25">
      <c r="A368" t="s">
        <v>889</v>
      </c>
      <c r="B368" t="s">
        <v>890</v>
      </c>
      <c r="C368" t="s">
        <v>635</v>
      </c>
      <c r="D368" t="s">
        <v>635</v>
      </c>
      <c r="E368" t="s">
        <v>620</v>
      </c>
      <c r="F368" t="s">
        <v>620</v>
      </c>
      <c r="G368" t="s">
        <v>761</v>
      </c>
      <c r="H368" t="s">
        <v>1545</v>
      </c>
      <c r="I368" t="s">
        <v>638</v>
      </c>
      <c r="J368" t="s">
        <v>632</v>
      </c>
      <c r="K368" s="2" t="s">
        <v>620</v>
      </c>
      <c r="L368" s="2" t="s">
        <v>620</v>
      </c>
      <c r="M368" s="2" t="s">
        <v>620</v>
      </c>
      <c r="N368" s="2" t="s">
        <v>620</v>
      </c>
      <c r="O368" t="s">
        <v>639</v>
      </c>
      <c r="P368" t="s">
        <v>639</v>
      </c>
      <c r="Q368" t="s">
        <v>639</v>
      </c>
      <c r="R368" t="s">
        <v>639</v>
      </c>
      <c r="S368" t="s">
        <v>639</v>
      </c>
      <c r="T368" t="s">
        <v>620</v>
      </c>
      <c r="U368" t="s">
        <v>620</v>
      </c>
      <c r="V368" s="3" t="str">
        <f>IF(AND(data[[#This Row],[status]]="OK",data[[#This Row],[approach]]="evoavalla"),data[[#This Row],[asm_path]],"")</f>
        <v/>
      </c>
      <c r="W368" s="3" t="str">
        <f>IF(AND(data[[#This Row],[status]]="OK",data[[#This Row],[approach]]="atgt"),data[[#This Row],[asm_path]],"")</f>
        <v/>
      </c>
      <c r="X368" s="3" t="b">
        <f>COUNTIF(W:W,data[[#This Row],[path_ok_status_evoavalla]]) = 1</f>
        <v>0</v>
      </c>
    </row>
    <row r="369" spans="1:24" x14ac:dyDescent="0.25">
      <c r="A369" t="s">
        <v>891</v>
      </c>
      <c r="B369" t="s">
        <v>892</v>
      </c>
      <c r="C369" t="s">
        <v>635</v>
      </c>
      <c r="D369" t="s">
        <v>620</v>
      </c>
      <c r="E369" t="s">
        <v>636</v>
      </c>
      <c r="F369" t="s">
        <v>636</v>
      </c>
      <c r="G369" t="s">
        <v>635</v>
      </c>
      <c r="H369" t="s">
        <v>1545</v>
      </c>
      <c r="I369" t="s">
        <v>638</v>
      </c>
      <c r="J369" t="s">
        <v>632</v>
      </c>
      <c r="K369" s="2" t="s">
        <v>620</v>
      </c>
      <c r="L369" s="2" t="s">
        <v>620</v>
      </c>
      <c r="M369" s="2" t="s">
        <v>620</v>
      </c>
      <c r="N369" s="2" t="s">
        <v>620</v>
      </c>
      <c r="O369" t="s">
        <v>639</v>
      </c>
      <c r="P369" t="s">
        <v>639</v>
      </c>
      <c r="Q369" t="s">
        <v>639</v>
      </c>
      <c r="R369" t="s">
        <v>639</v>
      </c>
      <c r="S369" t="s">
        <v>639</v>
      </c>
      <c r="T369" t="s">
        <v>620</v>
      </c>
      <c r="U369" t="s">
        <v>620</v>
      </c>
      <c r="V369" s="3" t="str">
        <f>IF(AND(data[[#This Row],[status]]="OK",data[[#This Row],[approach]]="evoavalla"),data[[#This Row],[asm_path]],"")</f>
        <v/>
      </c>
      <c r="W369" s="3" t="str">
        <f>IF(AND(data[[#This Row],[status]]="OK",data[[#This Row],[approach]]="atgt"),data[[#This Row],[asm_path]],"")</f>
        <v/>
      </c>
      <c r="X369" s="3" t="b">
        <f>COUNTIF(W:W,data[[#This Row],[path_ok_status_evoavalla]]) = 1</f>
        <v>0</v>
      </c>
    </row>
    <row r="370" spans="1:24" x14ac:dyDescent="0.25">
      <c r="A370" t="s">
        <v>893</v>
      </c>
      <c r="B370" t="s">
        <v>894</v>
      </c>
      <c r="C370" t="s">
        <v>636</v>
      </c>
      <c r="D370" t="s">
        <v>626</v>
      </c>
      <c r="E370" t="s">
        <v>620</v>
      </c>
      <c r="F370" t="s">
        <v>635</v>
      </c>
      <c r="G370" t="s">
        <v>683</v>
      </c>
      <c r="H370" t="s">
        <v>1545</v>
      </c>
      <c r="I370" t="s">
        <v>624</v>
      </c>
      <c r="J370" t="s">
        <v>1574</v>
      </c>
      <c r="K370" s="2" t="s">
        <v>682</v>
      </c>
      <c r="L370" s="2" t="s">
        <v>643</v>
      </c>
      <c r="M370" s="2" t="s">
        <v>941</v>
      </c>
      <c r="N370" s="2" t="s">
        <v>637</v>
      </c>
      <c r="O370" t="s">
        <v>630</v>
      </c>
      <c r="P370" t="s">
        <v>630</v>
      </c>
      <c r="Q370" t="s">
        <v>632</v>
      </c>
      <c r="R370" t="s">
        <v>630</v>
      </c>
      <c r="S370" t="s">
        <v>630</v>
      </c>
      <c r="T370" t="s">
        <v>620</v>
      </c>
      <c r="U370" t="s">
        <v>620</v>
      </c>
      <c r="V370" s="3" t="str">
        <f>IF(AND(data[[#This Row],[status]]="OK",data[[#This Row],[approach]]="evoavalla"),data[[#This Row],[asm_path]],"")</f>
        <v/>
      </c>
      <c r="W370" s="3" t="str">
        <f>IF(AND(data[[#This Row],[status]]="OK",data[[#This Row],[approach]]="atgt"),data[[#This Row],[asm_path]],"")</f>
        <v>../../../asm_examples/examples/carController.asm</v>
      </c>
      <c r="X370" s="3" t="b">
        <f>COUNTIF(W:W,data[[#This Row],[path_ok_status_evoavalla]]) = 1</f>
        <v>0</v>
      </c>
    </row>
    <row r="371" spans="1:24" x14ac:dyDescent="0.25">
      <c r="A371" t="s">
        <v>899</v>
      </c>
      <c r="B371" t="s">
        <v>900</v>
      </c>
      <c r="C371" t="s">
        <v>636</v>
      </c>
      <c r="D371" t="s">
        <v>716</v>
      </c>
      <c r="E371" t="s">
        <v>620</v>
      </c>
      <c r="F371" t="s">
        <v>635</v>
      </c>
      <c r="G371" t="s">
        <v>618</v>
      </c>
      <c r="H371" t="s">
        <v>1545</v>
      </c>
      <c r="I371" t="s">
        <v>638</v>
      </c>
      <c r="J371" t="s">
        <v>632</v>
      </c>
      <c r="K371" s="2" t="s">
        <v>620</v>
      </c>
      <c r="L371" s="2" t="s">
        <v>620</v>
      </c>
      <c r="M371" s="2" t="s">
        <v>620</v>
      </c>
      <c r="N371" s="2" t="s">
        <v>620</v>
      </c>
      <c r="O371" t="s">
        <v>639</v>
      </c>
      <c r="P371" t="s">
        <v>639</v>
      </c>
      <c r="Q371" t="s">
        <v>639</v>
      </c>
      <c r="R371" t="s">
        <v>639</v>
      </c>
      <c r="S371" t="s">
        <v>639</v>
      </c>
      <c r="T371" t="s">
        <v>620</v>
      </c>
      <c r="U371" t="s">
        <v>620</v>
      </c>
      <c r="V371" s="3" t="str">
        <f>IF(AND(data[[#This Row],[status]]="OK",data[[#This Row],[approach]]="evoavalla"),data[[#This Row],[asm_path]],"")</f>
        <v/>
      </c>
      <c r="W371" s="3" t="str">
        <f>IF(AND(data[[#This Row],[status]]="OK",data[[#This Row],[approach]]="atgt"),data[[#This Row],[asm_path]],"")</f>
        <v/>
      </c>
      <c r="X371" s="3" t="b">
        <f>COUNTIF(W:W,data[[#This Row],[path_ok_status_evoavalla]]) = 1</f>
        <v>0</v>
      </c>
    </row>
    <row r="372" spans="1:24" x14ac:dyDescent="0.25">
      <c r="A372" t="s">
        <v>901</v>
      </c>
      <c r="B372" t="s">
        <v>902</v>
      </c>
      <c r="C372" t="s">
        <v>683</v>
      </c>
      <c r="D372" t="s">
        <v>621</v>
      </c>
      <c r="E372" t="s">
        <v>620</v>
      </c>
      <c r="F372" t="s">
        <v>683</v>
      </c>
      <c r="G372" t="s">
        <v>903</v>
      </c>
      <c r="H372" t="s">
        <v>1545</v>
      </c>
      <c r="I372" t="s">
        <v>624</v>
      </c>
      <c r="J372" t="s">
        <v>1575</v>
      </c>
      <c r="K372" s="2" t="s">
        <v>682</v>
      </c>
      <c r="L372" s="2" t="s">
        <v>710</v>
      </c>
      <c r="M372" s="2" t="s">
        <v>710</v>
      </c>
      <c r="N372" s="2" t="s">
        <v>717</v>
      </c>
      <c r="O372" t="s">
        <v>630</v>
      </c>
      <c r="P372" t="s">
        <v>630</v>
      </c>
      <c r="Q372" t="s">
        <v>632</v>
      </c>
      <c r="R372" t="s">
        <v>630</v>
      </c>
      <c r="S372" t="s">
        <v>630</v>
      </c>
      <c r="T372" t="s">
        <v>620</v>
      </c>
      <c r="U372" t="s">
        <v>620</v>
      </c>
      <c r="V372" s="3" t="str">
        <f>IF(AND(data[[#This Row],[status]]="OK",data[[#This Row],[approach]]="evoavalla"),data[[#This Row],[asm_path]],"")</f>
        <v/>
      </c>
      <c r="W372" s="3" t="str">
        <f>IF(AND(data[[#This Row],[status]]="OK",data[[#This Row],[approach]]="atgt"),data[[#This Row],[asm_path]],"")</f>
        <v>../../../asm_examples/examples/TrafficLightYakindu/TrafficLight0/TrafficLight_0.asm</v>
      </c>
      <c r="X372" s="3" t="b">
        <f>COUNTIF(W:W,data[[#This Row],[path_ok_status_evoavalla]]) = 1</f>
        <v>0</v>
      </c>
    </row>
    <row r="373" spans="1:24" x14ac:dyDescent="0.25">
      <c r="A373" t="s">
        <v>906</v>
      </c>
      <c r="B373" t="s">
        <v>907</v>
      </c>
      <c r="C373" t="s">
        <v>635</v>
      </c>
      <c r="D373" t="s">
        <v>626</v>
      </c>
      <c r="E373" t="s">
        <v>620</v>
      </c>
      <c r="F373" t="s">
        <v>628</v>
      </c>
      <c r="G373" t="s">
        <v>618</v>
      </c>
      <c r="H373" t="s">
        <v>1545</v>
      </c>
      <c r="I373" t="s">
        <v>624</v>
      </c>
      <c r="J373" t="s">
        <v>1576</v>
      </c>
      <c r="K373" s="2" t="s">
        <v>664</v>
      </c>
      <c r="L373" s="2" t="s">
        <v>710</v>
      </c>
      <c r="M373" s="2" t="s">
        <v>627</v>
      </c>
      <c r="N373" s="2" t="s">
        <v>620</v>
      </c>
      <c r="O373" t="s">
        <v>630</v>
      </c>
      <c r="P373" t="s">
        <v>630</v>
      </c>
      <c r="Q373" t="s">
        <v>632</v>
      </c>
      <c r="R373" t="s">
        <v>630</v>
      </c>
      <c r="S373" t="s">
        <v>630</v>
      </c>
      <c r="T373" t="s">
        <v>620</v>
      </c>
      <c r="U373" t="s">
        <v>620</v>
      </c>
      <c r="V373" s="3" t="str">
        <f>IF(AND(data[[#This Row],[status]]="OK",data[[#This Row],[approach]]="evoavalla"),data[[#This Row],[asm_path]],"")</f>
        <v/>
      </c>
      <c r="W373" s="3" t="str">
        <f>IF(AND(data[[#This Row],[status]]="OK",data[[#This Row],[approach]]="atgt"),data[[#This Row],[asm_path]],"")</f>
        <v>../../../asm_examples/examples/trafficLightCoSim/trafficlightB.asm</v>
      </c>
      <c r="X373" s="3" t="b">
        <f>COUNTIF(W:W,data[[#This Row],[path_ok_status_evoavalla]]) = 1</f>
        <v>0</v>
      </c>
    </row>
    <row r="374" spans="1:24" x14ac:dyDescent="0.25">
      <c r="A374" t="s">
        <v>908</v>
      </c>
      <c r="B374" t="s">
        <v>909</v>
      </c>
      <c r="C374" t="s">
        <v>716</v>
      </c>
      <c r="D374" t="s">
        <v>683</v>
      </c>
      <c r="E374" t="s">
        <v>620</v>
      </c>
      <c r="F374" t="s">
        <v>628</v>
      </c>
      <c r="G374" t="s">
        <v>717</v>
      </c>
      <c r="H374" t="s">
        <v>1545</v>
      </c>
      <c r="I374" t="s">
        <v>638</v>
      </c>
      <c r="J374" t="s">
        <v>632</v>
      </c>
      <c r="K374" s="2" t="s">
        <v>620</v>
      </c>
      <c r="L374" s="2" t="s">
        <v>620</v>
      </c>
      <c r="M374" s="2" t="s">
        <v>620</v>
      </c>
      <c r="N374" s="2" t="s">
        <v>620</v>
      </c>
      <c r="O374" t="s">
        <v>639</v>
      </c>
      <c r="P374" t="s">
        <v>639</v>
      </c>
      <c r="Q374" t="s">
        <v>639</v>
      </c>
      <c r="R374" t="s">
        <v>639</v>
      </c>
      <c r="S374" t="s">
        <v>639</v>
      </c>
      <c r="T374" t="s">
        <v>620</v>
      </c>
      <c r="U374" t="s">
        <v>620</v>
      </c>
      <c r="V374" s="3" t="str">
        <f>IF(AND(data[[#This Row],[status]]="OK",data[[#This Row],[approach]]="evoavalla"),data[[#This Row],[asm_path]],"")</f>
        <v/>
      </c>
      <c r="W374" s="3" t="str">
        <f>IF(AND(data[[#This Row],[status]]="OK",data[[#This Row],[approach]]="atgt"),data[[#This Row],[asm_path]],"")</f>
        <v/>
      </c>
      <c r="X374" s="3" t="b">
        <f>COUNTIF(W:W,data[[#This Row],[path_ok_status_evoavalla]]) = 1</f>
        <v>0</v>
      </c>
    </row>
    <row r="375" spans="1:24" x14ac:dyDescent="0.25">
      <c r="A375" t="s">
        <v>910</v>
      </c>
      <c r="B375" t="s">
        <v>911</v>
      </c>
      <c r="C375" t="s">
        <v>690</v>
      </c>
      <c r="D375" t="s">
        <v>740</v>
      </c>
      <c r="E375" t="s">
        <v>620</v>
      </c>
      <c r="F375" t="s">
        <v>710</v>
      </c>
      <c r="G375" t="s">
        <v>746</v>
      </c>
      <c r="H375" t="s">
        <v>1545</v>
      </c>
      <c r="I375" t="s">
        <v>638</v>
      </c>
      <c r="J375" t="s">
        <v>632</v>
      </c>
      <c r="K375" s="2" t="s">
        <v>620</v>
      </c>
      <c r="L375" s="2" t="s">
        <v>620</v>
      </c>
      <c r="M375" s="2" t="s">
        <v>620</v>
      </c>
      <c r="N375" s="2" t="s">
        <v>620</v>
      </c>
      <c r="O375" t="s">
        <v>639</v>
      </c>
      <c r="P375" t="s">
        <v>639</v>
      </c>
      <c r="Q375" t="s">
        <v>639</v>
      </c>
      <c r="R375" t="s">
        <v>639</v>
      </c>
      <c r="S375" t="s">
        <v>639</v>
      </c>
      <c r="T375" t="s">
        <v>620</v>
      </c>
      <c r="U375" t="s">
        <v>620</v>
      </c>
      <c r="V375" s="3" t="str">
        <f>IF(AND(data[[#This Row],[status]]="OK",data[[#This Row],[approach]]="evoavalla"),data[[#This Row],[asm_path]],"")</f>
        <v/>
      </c>
      <c r="W375" s="3" t="str">
        <f>IF(AND(data[[#This Row],[status]]="OK",data[[#This Row],[approach]]="atgt"),data[[#This Row],[asm_path]],"")</f>
        <v/>
      </c>
      <c r="X375" s="3" t="b">
        <f>COUNTIF(W:W,data[[#This Row],[path_ok_status_evoavalla]]) = 1</f>
        <v>0</v>
      </c>
    </row>
    <row r="376" spans="1:24" x14ac:dyDescent="0.25">
      <c r="A376" t="s">
        <v>916</v>
      </c>
      <c r="B376" t="s">
        <v>917</v>
      </c>
      <c r="C376" t="s">
        <v>761</v>
      </c>
      <c r="D376" t="s">
        <v>642</v>
      </c>
      <c r="E376" t="s">
        <v>620</v>
      </c>
      <c r="F376" t="s">
        <v>690</v>
      </c>
      <c r="G376" t="s">
        <v>918</v>
      </c>
      <c r="H376" t="s">
        <v>1545</v>
      </c>
      <c r="I376" t="s">
        <v>624</v>
      </c>
      <c r="J376" t="s">
        <v>1577</v>
      </c>
      <c r="K376" s="2" t="s">
        <v>716</v>
      </c>
      <c r="L376" s="2" t="s">
        <v>903</v>
      </c>
      <c r="M376" s="2" t="s">
        <v>980</v>
      </c>
      <c r="N376" s="2" t="s">
        <v>1185</v>
      </c>
      <c r="O376" t="s">
        <v>630</v>
      </c>
      <c r="P376" t="s">
        <v>630</v>
      </c>
      <c r="Q376" t="s">
        <v>632</v>
      </c>
      <c r="R376" t="s">
        <v>854</v>
      </c>
      <c r="S376" t="s">
        <v>630</v>
      </c>
      <c r="T376" t="s">
        <v>620</v>
      </c>
      <c r="U376" t="s">
        <v>620</v>
      </c>
      <c r="V376" s="3" t="str">
        <f>IF(AND(data[[#This Row],[status]]="OK",data[[#This Row],[approach]]="evoavalla"),data[[#This Row],[asm_path]],"")</f>
        <v/>
      </c>
      <c r="W376" s="3" t="str">
        <f>IF(AND(data[[#This Row],[status]]="OK",data[[#This Row],[approach]]="atgt"),data[[#This Row],[asm_path]],"")</f>
        <v>../../../asm_examples/examples/TrafficLightYakindu/TrafficLight1/TrafficLight_1.asm</v>
      </c>
      <c r="X376" s="3" t="b">
        <f>COUNTIF(W:W,data[[#This Row],[path_ok_status_evoavalla]]) = 1</f>
        <v>0</v>
      </c>
    </row>
    <row r="377" spans="1:24" x14ac:dyDescent="0.25">
      <c r="A377" t="s">
        <v>921</v>
      </c>
      <c r="B377" t="s">
        <v>868</v>
      </c>
      <c r="C377" t="s">
        <v>635</v>
      </c>
      <c r="D377" t="s">
        <v>635</v>
      </c>
      <c r="E377" t="s">
        <v>636</v>
      </c>
      <c r="F377" t="s">
        <v>626</v>
      </c>
      <c r="G377" t="s">
        <v>637</v>
      </c>
      <c r="H377" t="s">
        <v>1545</v>
      </c>
      <c r="I377" t="s">
        <v>638</v>
      </c>
      <c r="J377" t="s">
        <v>632</v>
      </c>
      <c r="K377" s="2" t="s">
        <v>620</v>
      </c>
      <c r="L377" s="2" t="s">
        <v>620</v>
      </c>
      <c r="M377" s="2" t="s">
        <v>620</v>
      </c>
      <c r="N377" s="2" t="s">
        <v>620</v>
      </c>
      <c r="O377" t="s">
        <v>639</v>
      </c>
      <c r="P377" t="s">
        <v>639</v>
      </c>
      <c r="Q377" t="s">
        <v>639</v>
      </c>
      <c r="R377" t="s">
        <v>639</v>
      </c>
      <c r="S377" t="s">
        <v>639</v>
      </c>
      <c r="T377" t="s">
        <v>620</v>
      </c>
      <c r="U377" t="s">
        <v>620</v>
      </c>
      <c r="V377" s="3" t="str">
        <f>IF(AND(data[[#This Row],[status]]="OK",data[[#This Row],[approach]]="evoavalla"),data[[#This Row],[asm_path]],"")</f>
        <v/>
      </c>
      <c r="W377" s="3" t="str">
        <f>IF(AND(data[[#This Row],[status]]="OK",data[[#This Row],[approach]]="atgt"),data[[#This Row],[asm_path]],"")</f>
        <v/>
      </c>
      <c r="X377" s="3" t="b">
        <f>COUNTIF(W:W,data[[#This Row],[path_ok_status_evoavalla]]) = 1</f>
        <v>0</v>
      </c>
    </row>
    <row r="378" spans="1:24" x14ac:dyDescent="0.25">
      <c r="A378" t="s">
        <v>922</v>
      </c>
      <c r="B378" t="s">
        <v>923</v>
      </c>
      <c r="C378" t="s">
        <v>626</v>
      </c>
      <c r="D378" t="s">
        <v>716</v>
      </c>
      <c r="E378" t="s">
        <v>620</v>
      </c>
      <c r="F378" t="s">
        <v>664</v>
      </c>
      <c r="G378" t="s">
        <v>740</v>
      </c>
      <c r="H378" t="s">
        <v>1545</v>
      </c>
      <c r="I378" t="s">
        <v>624</v>
      </c>
      <c r="J378" t="s">
        <v>1578</v>
      </c>
      <c r="K378" s="2" t="s">
        <v>683</v>
      </c>
      <c r="L378" s="2" t="s">
        <v>798</v>
      </c>
      <c r="M378" s="2" t="s">
        <v>798</v>
      </c>
      <c r="N378" s="2" t="s">
        <v>761</v>
      </c>
      <c r="O378" t="s">
        <v>630</v>
      </c>
      <c r="P378" t="s">
        <v>834</v>
      </c>
      <c r="Q378" t="s">
        <v>632</v>
      </c>
      <c r="R378" t="s">
        <v>630</v>
      </c>
      <c r="S378" t="s">
        <v>630</v>
      </c>
      <c r="T378" t="s">
        <v>620</v>
      </c>
      <c r="U378" t="s">
        <v>620</v>
      </c>
      <c r="V378" s="3" t="str">
        <f>IF(AND(data[[#This Row],[status]]="OK",data[[#This Row],[approach]]="evoavalla"),data[[#This Row],[asm_path]],"")</f>
        <v/>
      </c>
      <c r="W378" s="3" t="str">
        <f>IF(AND(data[[#This Row],[status]]="OK",data[[#This Row],[approach]]="atgt"),data[[#This Row],[asm_path]],"")</f>
        <v>../../../asm_examples/examples/fsmsemantics/FSM_map0_2.asm</v>
      </c>
      <c r="X378" s="3" t="b">
        <f>COUNTIF(W:W,data[[#This Row],[path_ok_status_evoavalla]]) = 1</f>
        <v>0</v>
      </c>
    </row>
    <row r="379" spans="1:24" x14ac:dyDescent="0.25">
      <c r="A379" t="s">
        <v>924</v>
      </c>
      <c r="B379" t="s">
        <v>925</v>
      </c>
      <c r="C379" t="s">
        <v>682</v>
      </c>
      <c r="D379" t="s">
        <v>683</v>
      </c>
      <c r="E379" t="s">
        <v>620</v>
      </c>
      <c r="F379" t="s">
        <v>628</v>
      </c>
      <c r="G379" t="s">
        <v>740</v>
      </c>
      <c r="H379" t="s">
        <v>1545</v>
      </c>
      <c r="I379" t="s">
        <v>638</v>
      </c>
      <c r="J379" t="s">
        <v>632</v>
      </c>
      <c r="K379" s="2" t="s">
        <v>620</v>
      </c>
      <c r="L379" s="2" t="s">
        <v>620</v>
      </c>
      <c r="M379" s="2" t="s">
        <v>620</v>
      </c>
      <c r="N379" s="2" t="s">
        <v>620</v>
      </c>
      <c r="O379" t="s">
        <v>639</v>
      </c>
      <c r="P379" t="s">
        <v>639</v>
      </c>
      <c r="Q379" t="s">
        <v>639</v>
      </c>
      <c r="R379" t="s">
        <v>639</v>
      </c>
      <c r="S379" t="s">
        <v>639</v>
      </c>
      <c r="T379" t="s">
        <v>620</v>
      </c>
      <c r="U379" t="s">
        <v>620</v>
      </c>
      <c r="V379" s="3" t="str">
        <f>IF(AND(data[[#This Row],[status]]="OK",data[[#This Row],[approach]]="evoavalla"),data[[#This Row],[asm_path]],"")</f>
        <v/>
      </c>
      <c r="W379" s="3" t="str">
        <f>IF(AND(data[[#This Row],[status]]="OK",data[[#This Row],[approach]]="atgt"),data[[#This Row],[asm_path]],"")</f>
        <v/>
      </c>
      <c r="X379" s="3" t="b">
        <f>COUNTIF(W:W,data[[#This Row],[path_ok_status_evoavalla]]) = 1</f>
        <v>0</v>
      </c>
    </row>
    <row r="380" spans="1:24" x14ac:dyDescent="0.25">
      <c r="A380" t="s">
        <v>926</v>
      </c>
      <c r="B380" t="s">
        <v>927</v>
      </c>
      <c r="C380" t="s">
        <v>677</v>
      </c>
      <c r="D380" t="s">
        <v>735</v>
      </c>
      <c r="E380" t="s">
        <v>761</v>
      </c>
      <c r="F380" t="s">
        <v>736</v>
      </c>
      <c r="G380" t="s">
        <v>928</v>
      </c>
      <c r="H380" t="s">
        <v>1545</v>
      </c>
      <c r="I380" t="s">
        <v>638</v>
      </c>
      <c r="J380" t="s">
        <v>632</v>
      </c>
      <c r="K380" s="2" t="s">
        <v>620</v>
      </c>
      <c r="L380" s="2" t="s">
        <v>620</v>
      </c>
      <c r="M380" s="2" t="s">
        <v>620</v>
      </c>
      <c r="N380" s="2" t="s">
        <v>620</v>
      </c>
      <c r="O380" t="s">
        <v>639</v>
      </c>
      <c r="P380" t="s">
        <v>639</v>
      </c>
      <c r="Q380" t="s">
        <v>639</v>
      </c>
      <c r="R380" t="s">
        <v>639</v>
      </c>
      <c r="S380" t="s">
        <v>639</v>
      </c>
      <c r="T380" t="s">
        <v>620</v>
      </c>
      <c r="U380" t="s">
        <v>620</v>
      </c>
      <c r="V380" s="3" t="str">
        <f>IF(AND(data[[#This Row],[status]]="OK",data[[#This Row],[approach]]="evoavalla"),data[[#This Row],[asm_path]],"")</f>
        <v/>
      </c>
      <c r="W380" s="3" t="str">
        <f>IF(AND(data[[#This Row],[status]]="OK",data[[#This Row],[approach]]="atgt"),data[[#This Row],[asm_path]],"")</f>
        <v/>
      </c>
      <c r="X380" s="3" t="b">
        <f>COUNTIF(W:W,data[[#This Row],[path_ok_status_evoavalla]]) = 1</f>
        <v>0</v>
      </c>
    </row>
    <row r="381" spans="1:24" x14ac:dyDescent="0.25">
      <c r="A381" t="s">
        <v>929</v>
      </c>
      <c r="B381" t="s">
        <v>930</v>
      </c>
      <c r="C381" t="s">
        <v>750</v>
      </c>
      <c r="D381" t="s">
        <v>931</v>
      </c>
      <c r="E381" t="s">
        <v>667</v>
      </c>
      <c r="F381" t="s">
        <v>676</v>
      </c>
      <c r="G381" t="s">
        <v>932</v>
      </c>
      <c r="H381" t="s">
        <v>1545</v>
      </c>
      <c r="I381" t="s">
        <v>638</v>
      </c>
      <c r="J381" t="s">
        <v>632</v>
      </c>
      <c r="K381" s="2" t="s">
        <v>620</v>
      </c>
      <c r="L381" s="2" t="s">
        <v>620</v>
      </c>
      <c r="M381" s="2" t="s">
        <v>620</v>
      </c>
      <c r="N381" s="2" t="s">
        <v>620</v>
      </c>
      <c r="O381" t="s">
        <v>639</v>
      </c>
      <c r="P381" t="s">
        <v>639</v>
      </c>
      <c r="Q381" t="s">
        <v>639</v>
      </c>
      <c r="R381" t="s">
        <v>639</v>
      </c>
      <c r="S381" t="s">
        <v>639</v>
      </c>
      <c r="T381" t="s">
        <v>620</v>
      </c>
      <c r="U381" t="s">
        <v>620</v>
      </c>
      <c r="V381" s="3" t="str">
        <f>IF(AND(data[[#This Row],[status]]="OK",data[[#This Row],[approach]]="evoavalla"),data[[#This Row],[asm_path]],"")</f>
        <v/>
      </c>
      <c r="W381" s="3" t="str">
        <f>IF(AND(data[[#This Row],[status]]="OK",data[[#This Row],[approach]]="atgt"),data[[#This Row],[asm_path]],"")</f>
        <v/>
      </c>
      <c r="X381" s="3" t="b">
        <f>COUNTIF(W:W,data[[#This Row],[path_ok_status_evoavalla]]) = 1</f>
        <v>0</v>
      </c>
    </row>
    <row r="382" spans="1:24" x14ac:dyDescent="0.25">
      <c r="A382" t="s">
        <v>933</v>
      </c>
      <c r="B382" t="s">
        <v>934</v>
      </c>
      <c r="C382" t="s">
        <v>636</v>
      </c>
      <c r="D382" t="s">
        <v>628</v>
      </c>
      <c r="E382" t="s">
        <v>620</v>
      </c>
      <c r="F382" t="s">
        <v>636</v>
      </c>
      <c r="G382" t="s">
        <v>621</v>
      </c>
      <c r="H382" t="s">
        <v>1545</v>
      </c>
      <c r="I382" t="s">
        <v>638</v>
      </c>
      <c r="J382" t="s">
        <v>632</v>
      </c>
      <c r="K382" s="2" t="s">
        <v>620</v>
      </c>
      <c r="L382" s="2" t="s">
        <v>620</v>
      </c>
      <c r="M382" s="2" t="s">
        <v>620</v>
      </c>
      <c r="N382" s="2" t="s">
        <v>620</v>
      </c>
      <c r="O382" t="s">
        <v>639</v>
      </c>
      <c r="P382" t="s">
        <v>639</v>
      </c>
      <c r="Q382" t="s">
        <v>639</v>
      </c>
      <c r="R382" t="s">
        <v>639</v>
      </c>
      <c r="S382" t="s">
        <v>639</v>
      </c>
      <c r="T382" t="s">
        <v>620</v>
      </c>
      <c r="U382" t="s">
        <v>620</v>
      </c>
      <c r="V382" s="3" t="str">
        <f>IF(AND(data[[#This Row],[status]]="OK",data[[#This Row],[approach]]="evoavalla"),data[[#This Row],[asm_path]],"")</f>
        <v/>
      </c>
      <c r="W382" s="3" t="str">
        <f>IF(AND(data[[#This Row],[status]]="OK",data[[#This Row],[approach]]="atgt"),data[[#This Row],[asm_path]],"")</f>
        <v/>
      </c>
      <c r="X382" s="3" t="b">
        <f>COUNTIF(W:W,data[[#This Row],[path_ok_status_evoavalla]]) = 1</f>
        <v>0</v>
      </c>
    </row>
    <row r="383" spans="1:24" x14ac:dyDescent="0.25">
      <c r="A383" t="s">
        <v>935</v>
      </c>
      <c r="B383" t="s">
        <v>936</v>
      </c>
      <c r="C383" t="s">
        <v>667</v>
      </c>
      <c r="D383" t="s">
        <v>668</v>
      </c>
      <c r="E383" t="s">
        <v>669</v>
      </c>
      <c r="F383" t="s">
        <v>937</v>
      </c>
      <c r="G383" t="s">
        <v>938</v>
      </c>
      <c r="H383" t="s">
        <v>1545</v>
      </c>
      <c r="I383" t="s">
        <v>638</v>
      </c>
      <c r="J383" t="s">
        <v>632</v>
      </c>
      <c r="K383" s="2" t="s">
        <v>620</v>
      </c>
      <c r="L383" s="2" t="s">
        <v>620</v>
      </c>
      <c r="M383" s="2" t="s">
        <v>620</v>
      </c>
      <c r="N383" s="2" t="s">
        <v>620</v>
      </c>
      <c r="O383" t="s">
        <v>639</v>
      </c>
      <c r="P383" t="s">
        <v>639</v>
      </c>
      <c r="Q383" t="s">
        <v>639</v>
      </c>
      <c r="R383" t="s">
        <v>639</v>
      </c>
      <c r="S383" t="s">
        <v>639</v>
      </c>
      <c r="T383" t="s">
        <v>620</v>
      </c>
      <c r="U383" t="s">
        <v>620</v>
      </c>
      <c r="V383" s="3" t="str">
        <f>IF(AND(data[[#This Row],[status]]="OK",data[[#This Row],[approach]]="evoavalla"),data[[#This Row],[asm_path]],"")</f>
        <v/>
      </c>
      <c r="W383" s="3" t="str">
        <f>IF(AND(data[[#This Row],[status]]="OK",data[[#This Row],[approach]]="atgt"),data[[#This Row],[asm_path]],"")</f>
        <v/>
      </c>
      <c r="X383" s="3" t="b">
        <f>COUNTIF(W:W,data[[#This Row],[path_ok_status_evoavalla]]) = 1</f>
        <v>0</v>
      </c>
    </row>
    <row r="384" spans="1:24" x14ac:dyDescent="0.25">
      <c r="A384" t="s">
        <v>939</v>
      </c>
      <c r="B384" t="s">
        <v>940</v>
      </c>
      <c r="C384" t="s">
        <v>682</v>
      </c>
      <c r="D384" t="s">
        <v>636</v>
      </c>
      <c r="E384" t="s">
        <v>620</v>
      </c>
      <c r="F384" t="s">
        <v>635</v>
      </c>
      <c r="G384" t="s">
        <v>941</v>
      </c>
      <c r="H384" t="s">
        <v>1545</v>
      </c>
      <c r="I384" t="s">
        <v>638</v>
      </c>
      <c r="J384" t="s">
        <v>632</v>
      </c>
      <c r="K384" s="2" t="s">
        <v>620</v>
      </c>
      <c r="L384" s="2" t="s">
        <v>620</v>
      </c>
      <c r="M384" s="2" t="s">
        <v>620</v>
      </c>
      <c r="N384" s="2" t="s">
        <v>620</v>
      </c>
      <c r="O384" t="s">
        <v>639</v>
      </c>
      <c r="P384" t="s">
        <v>639</v>
      </c>
      <c r="Q384" t="s">
        <v>639</v>
      </c>
      <c r="R384" t="s">
        <v>639</v>
      </c>
      <c r="S384" t="s">
        <v>639</v>
      </c>
      <c r="T384" t="s">
        <v>620</v>
      </c>
      <c r="U384" t="s">
        <v>620</v>
      </c>
      <c r="V384" s="3" t="str">
        <f>IF(AND(data[[#This Row],[status]]="OK",data[[#This Row],[approach]]="evoavalla"),data[[#This Row],[asm_path]],"")</f>
        <v/>
      </c>
      <c r="W384" s="3" t="str">
        <f>IF(AND(data[[#This Row],[status]]="OK",data[[#This Row],[approach]]="atgt"),data[[#This Row],[asm_path]],"")</f>
        <v/>
      </c>
      <c r="X384" s="3" t="b">
        <f>COUNTIF(W:W,data[[#This Row],[path_ok_status_evoavalla]]) = 1</f>
        <v>0</v>
      </c>
    </row>
    <row r="385" spans="1:24" x14ac:dyDescent="0.25">
      <c r="A385" t="s">
        <v>942</v>
      </c>
      <c r="B385" t="s">
        <v>943</v>
      </c>
      <c r="C385" t="s">
        <v>664</v>
      </c>
      <c r="D385" t="s">
        <v>690</v>
      </c>
      <c r="E385" t="s">
        <v>620</v>
      </c>
      <c r="F385" t="s">
        <v>682</v>
      </c>
      <c r="G385" t="s">
        <v>669</v>
      </c>
      <c r="H385" t="s">
        <v>1545</v>
      </c>
      <c r="I385" t="s">
        <v>624</v>
      </c>
      <c r="J385" t="s">
        <v>1579</v>
      </c>
      <c r="K385" s="2" t="s">
        <v>643</v>
      </c>
      <c r="L385" s="2" t="s">
        <v>1580</v>
      </c>
      <c r="M385" s="2" t="s">
        <v>1580</v>
      </c>
      <c r="N385" s="2" t="s">
        <v>1580</v>
      </c>
      <c r="O385" t="s">
        <v>630</v>
      </c>
      <c r="P385" t="s">
        <v>630</v>
      </c>
      <c r="Q385" t="s">
        <v>632</v>
      </c>
      <c r="R385" t="s">
        <v>630</v>
      </c>
      <c r="S385" t="s">
        <v>630</v>
      </c>
      <c r="T385" t="s">
        <v>620</v>
      </c>
      <c r="U385" t="s">
        <v>620</v>
      </c>
      <c r="V385" s="3" t="str">
        <f>IF(AND(data[[#This Row],[status]]="OK",data[[#This Row],[approach]]="evoavalla"),data[[#This Row],[asm_path]],"")</f>
        <v/>
      </c>
      <c r="W385" s="3" t="str">
        <f>IF(AND(data[[#This Row],[status]]="OK",data[[#This Row],[approach]]="atgt"),data[[#This Row],[asm_path]],"")</f>
        <v>../../../asm_examples/examples/landingGearSystem/LGS_GM_withError.asm</v>
      </c>
      <c r="X385" s="3" t="b">
        <f>COUNTIF(W:W,data[[#This Row],[path_ok_status_evoavalla]]) = 1</f>
        <v>0</v>
      </c>
    </row>
    <row r="386" spans="1:24" x14ac:dyDescent="0.25">
      <c r="A386" t="s">
        <v>946</v>
      </c>
      <c r="B386" t="s">
        <v>947</v>
      </c>
      <c r="C386" t="s">
        <v>639</v>
      </c>
      <c r="D386" t="s">
        <v>639</v>
      </c>
      <c r="E386" t="s">
        <v>639</v>
      </c>
      <c r="F386" t="s">
        <v>639</v>
      </c>
      <c r="G386" t="s">
        <v>639</v>
      </c>
      <c r="H386" t="s">
        <v>1545</v>
      </c>
      <c r="I386" t="s">
        <v>948</v>
      </c>
      <c r="J386" t="s">
        <v>632</v>
      </c>
      <c r="K386" s="2" t="s">
        <v>620</v>
      </c>
      <c r="L386" s="2" t="s">
        <v>639</v>
      </c>
      <c r="M386" s="2" t="s">
        <v>639</v>
      </c>
      <c r="N386" s="2" t="s">
        <v>639</v>
      </c>
      <c r="O386" t="s">
        <v>639</v>
      </c>
      <c r="P386" t="s">
        <v>639</v>
      </c>
      <c r="Q386" t="s">
        <v>639</v>
      </c>
      <c r="R386" t="s">
        <v>639</v>
      </c>
      <c r="S386" t="s">
        <v>639</v>
      </c>
      <c r="T386" t="s">
        <v>620</v>
      </c>
      <c r="U386" t="s">
        <v>620</v>
      </c>
      <c r="V386" s="3" t="str">
        <f>IF(AND(data[[#This Row],[status]]="OK",data[[#This Row],[approach]]="evoavalla"),data[[#This Row],[asm_path]],"")</f>
        <v/>
      </c>
      <c r="W386" s="3" t="str">
        <f>IF(AND(data[[#This Row],[status]]="OK",data[[#This Row],[approach]]="atgt"),data[[#This Row],[asm_path]],"")</f>
        <v/>
      </c>
      <c r="X386" s="3" t="b">
        <f>COUNTIF(W:W,data[[#This Row],[path_ok_status_evoavalla]]) = 1</f>
        <v>0</v>
      </c>
    </row>
    <row r="387" spans="1:24" x14ac:dyDescent="0.25">
      <c r="A387" t="s">
        <v>949</v>
      </c>
      <c r="B387" t="s">
        <v>950</v>
      </c>
      <c r="C387" t="s">
        <v>951</v>
      </c>
      <c r="D387" t="s">
        <v>826</v>
      </c>
      <c r="E387" t="s">
        <v>618</v>
      </c>
      <c r="F387" t="s">
        <v>952</v>
      </c>
      <c r="G387" t="s">
        <v>953</v>
      </c>
      <c r="H387" t="s">
        <v>1545</v>
      </c>
      <c r="I387" t="s">
        <v>638</v>
      </c>
      <c r="J387" t="s">
        <v>632</v>
      </c>
      <c r="K387" s="2" t="s">
        <v>620</v>
      </c>
      <c r="L387" s="2" t="s">
        <v>620</v>
      </c>
      <c r="M387" s="2" t="s">
        <v>620</v>
      </c>
      <c r="N387" s="2" t="s">
        <v>620</v>
      </c>
      <c r="O387" t="s">
        <v>639</v>
      </c>
      <c r="P387" t="s">
        <v>639</v>
      </c>
      <c r="Q387" t="s">
        <v>639</v>
      </c>
      <c r="R387" t="s">
        <v>639</v>
      </c>
      <c r="S387" t="s">
        <v>639</v>
      </c>
      <c r="T387" t="s">
        <v>620</v>
      </c>
      <c r="U387" t="s">
        <v>620</v>
      </c>
      <c r="V387" s="3" t="str">
        <f>IF(AND(data[[#This Row],[status]]="OK",data[[#This Row],[approach]]="evoavalla"),data[[#This Row],[asm_path]],"")</f>
        <v/>
      </c>
      <c r="W387" s="3" t="str">
        <f>IF(AND(data[[#This Row],[status]]="OK",data[[#This Row],[approach]]="atgt"),data[[#This Row],[asm_path]],"")</f>
        <v/>
      </c>
      <c r="X387" s="3" t="b">
        <f>COUNTIF(W:W,data[[#This Row],[path_ok_status_evoavalla]]) = 1</f>
        <v>0</v>
      </c>
    </row>
    <row r="388" spans="1:24" x14ac:dyDescent="0.25">
      <c r="A388" t="s">
        <v>954</v>
      </c>
      <c r="B388" t="s">
        <v>955</v>
      </c>
      <c r="C388" t="s">
        <v>626</v>
      </c>
      <c r="D388" t="s">
        <v>635</v>
      </c>
      <c r="E388" t="s">
        <v>620</v>
      </c>
      <c r="F388" t="s">
        <v>682</v>
      </c>
      <c r="G388" t="s">
        <v>761</v>
      </c>
      <c r="H388" t="s">
        <v>1545</v>
      </c>
      <c r="I388" t="s">
        <v>624</v>
      </c>
      <c r="J388" t="s">
        <v>1581</v>
      </c>
      <c r="K388" s="2" t="s">
        <v>635</v>
      </c>
      <c r="L388" s="2" t="s">
        <v>626</v>
      </c>
      <c r="M388" s="2" t="s">
        <v>620</v>
      </c>
      <c r="N388" s="2" t="s">
        <v>626</v>
      </c>
      <c r="O388" t="s">
        <v>630</v>
      </c>
      <c r="P388" t="s">
        <v>630</v>
      </c>
      <c r="Q388" t="s">
        <v>632</v>
      </c>
      <c r="R388" t="s">
        <v>630</v>
      </c>
      <c r="S388" t="s">
        <v>630</v>
      </c>
      <c r="T388" t="s">
        <v>620</v>
      </c>
      <c r="U388" t="s">
        <v>620</v>
      </c>
      <c r="V388" s="3" t="str">
        <f>IF(AND(data[[#This Row],[status]]="OK",data[[#This Row],[approach]]="evoavalla"),data[[#This Row],[asm_path]],"")</f>
        <v/>
      </c>
      <c r="W388" s="3" t="str">
        <f>IF(AND(data[[#This Row],[status]]="OK",data[[#This Row],[approach]]="atgt"),data[[#This Row],[asm_path]],"")</f>
        <v>../../../asm_examples/examples/hemodialysisDevice/SCP2017/HemodialysisGround.asm</v>
      </c>
      <c r="X388" s="3" t="b">
        <f>COUNTIF(W:W,data[[#This Row],[path_ok_status_evoavalla]]) = 1</f>
        <v>0</v>
      </c>
    </row>
    <row r="389" spans="1:24" x14ac:dyDescent="0.25">
      <c r="A389" t="s">
        <v>957</v>
      </c>
      <c r="B389" t="s">
        <v>958</v>
      </c>
      <c r="C389" t="s">
        <v>635</v>
      </c>
      <c r="D389" t="s">
        <v>635</v>
      </c>
      <c r="E389" t="s">
        <v>635</v>
      </c>
      <c r="F389" t="s">
        <v>682</v>
      </c>
      <c r="G389" t="s">
        <v>683</v>
      </c>
      <c r="H389" t="s">
        <v>1545</v>
      </c>
      <c r="I389" t="s">
        <v>638</v>
      </c>
      <c r="J389" t="s">
        <v>632</v>
      </c>
      <c r="K389" s="2" t="s">
        <v>620</v>
      </c>
      <c r="L389" s="2" t="s">
        <v>620</v>
      </c>
      <c r="M389" s="2" t="s">
        <v>620</v>
      </c>
      <c r="N389" s="2" t="s">
        <v>620</v>
      </c>
      <c r="O389" t="s">
        <v>639</v>
      </c>
      <c r="P389" t="s">
        <v>639</v>
      </c>
      <c r="Q389" t="s">
        <v>639</v>
      </c>
      <c r="R389" t="s">
        <v>639</v>
      </c>
      <c r="S389" t="s">
        <v>639</v>
      </c>
      <c r="T389" t="s">
        <v>620</v>
      </c>
      <c r="U389" t="s">
        <v>620</v>
      </c>
      <c r="V389" s="3" t="str">
        <f>IF(AND(data[[#This Row],[status]]="OK",data[[#This Row],[approach]]="evoavalla"),data[[#This Row],[asm_path]],"")</f>
        <v/>
      </c>
      <c r="W389" s="3" t="str">
        <f>IF(AND(data[[#This Row],[status]]="OK",data[[#This Row],[approach]]="atgt"),data[[#This Row],[asm_path]],"")</f>
        <v/>
      </c>
      <c r="X389" s="3" t="b">
        <f>COUNTIF(W:W,data[[#This Row],[path_ok_status_evoavalla]]) = 1</f>
        <v>0</v>
      </c>
    </row>
    <row r="390" spans="1:24" x14ac:dyDescent="0.25">
      <c r="A390" t="s">
        <v>959</v>
      </c>
      <c r="B390" t="s">
        <v>960</v>
      </c>
      <c r="C390" t="s">
        <v>716</v>
      </c>
      <c r="D390" t="s">
        <v>618</v>
      </c>
      <c r="E390" t="s">
        <v>682</v>
      </c>
      <c r="F390" t="s">
        <v>761</v>
      </c>
      <c r="G390" t="s">
        <v>622</v>
      </c>
      <c r="H390" t="s">
        <v>1545</v>
      </c>
      <c r="I390" t="s">
        <v>638</v>
      </c>
      <c r="J390" t="s">
        <v>632</v>
      </c>
      <c r="K390" s="2" t="s">
        <v>620</v>
      </c>
      <c r="L390" s="2" t="s">
        <v>620</v>
      </c>
      <c r="M390" s="2" t="s">
        <v>620</v>
      </c>
      <c r="N390" s="2" t="s">
        <v>620</v>
      </c>
      <c r="O390" t="s">
        <v>639</v>
      </c>
      <c r="P390" t="s">
        <v>639</v>
      </c>
      <c r="Q390" t="s">
        <v>639</v>
      </c>
      <c r="R390" t="s">
        <v>639</v>
      </c>
      <c r="S390" t="s">
        <v>639</v>
      </c>
      <c r="T390" t="s">
        <v>620</v>
      </c>
      <c r="U390" t="s">
        <v>620</v>
      </c>
      <c r="V390" s="3" t="str">
        <f>IF(AND(data[[#This Row],[status]]="OK",data[[#This Row],[approach]]="evoavalla"),data[[#This Row],[asm_path]],"")</f>
        <v/>
      </c>
      <c r="W390" s="3" t="str">
        <f>IF(AND(data[[#This Row],[status]]="OK",data[[#This Row],[approach]]="atgt"),data[[#This Row],[asm_path]],"")</f>
        <v/>
      </c>
      <c r="X390" s="3" t="b">
        <f>COUNTIF(W:W,data[[#This Row],[path_ok_status_evoavalla]]) = 1</f>
        <v>0</v>
      </c>
    </row>
    <row r="391" spans="1:24" x14ac:dyDescent="0.25">
      <c r="A391" t="s">
        <v>961</v>
      </c>
      <c r="B391" t="s">
        <v>786</v>
      </c>
      <c r="C391" t="s">
        <v>710</v>
      </c>
      <c r="D391" t="s">
        <v>643</v>
      </c>
      <c r="E391" t="s">
        <v>636</v>
      </c>
      <c r="F391" t="s">
        <v>690</v>
      </c>
      <c r="G391" t="s">
        <v>821</v>
      </c>
      <c r="H391" t="s">
        <v>1545</v>
      </c>
      <c r="I391" t="s">
        <v>638</v>
      </c>
      <c r="J391" t="s">
        <v>632</v>
      </c>
      <c r="K391" s="2" t="s">
        <v>620</v>
      </c>
      <c r="L391" s="2" t="s">
        <v>620</v>
      </c>
      <c r="M391" s="2" t="s">
        <v>620</v>
      </c>
      <c r="N391" s="2" t="s">
        <v>620</v>
      </c>
      <c r="O391" t="s">
        <v>639</v>
      </c>
      <c r="P391" t="s">
        <v>639</v>
      </c>
      <c r="Q391" t="s">
        <v>639</v>
      </c>
      <c r="R391" t="s">
        <v>639</v>
      </c>
      <c r="S391" t="s">
        <v>639</v>
      </c>
      <c r="T391" t="s">
        <v>620</v>
      </c>
      <c r="U391" t="s">
        <v>620</v>
      </c>
      <c r="V391" s="3" t="str">
        <f>IF(AND(data[[#This Row],[status]]="OK",data[[#This Row],[approach]]="evoavalla"),data[[#This Row],[asm_path]],"")</f>
        <v/>
      </c>
      <c r="W391" s="3" t="str">
        <f>IF(AND(data[[#This Row],[status]]="OK",data[[#This Row],[approach]]="atgt"),data[[#This Row],[asm_path]],"")</f>
        <v/>
      </c>
      <c r="X391" s="3" t="b">
        <f>COUNTIF(W:W,data[[#This Row],[path_ok_status_evoavalla]]) = 1</f>
        <v>0</v>
      </c>
    </row>
    <row r="392" spans="1:24" x14ac:dyDescent="0.25">
      <c r="A392" t="s">
        <v>963</v>
      </c>
      <c r="B392" t="s">
        <v>964</v>
      </c>
      <c r="C392" t="s">
        <v>667</v>
      </c>
      <c r="D392" t="s">
        <v>965</v>
      </c>
      <c r="E392" t="s">
        <v>620</v>
      </c>
      <c r="F392" t="s">
        <v>966</v>
      </c>
      <c r="G392" t="s">
        <v>967</v>
      </c>
      <c r="H392" t="s">
        <v>1545</v>
      </c>
      <c r="I392" t="s">
        <v>624</v>
      </c>
      <c r="J392" t="s">
        <v>1582</v>
      </c>
      <c r="K392" s="2" t="s">
        <v>903</v>
      </c>
      <c r="L392" s="2" t="s">
        <v>1084</v>
      </c>
      <c r="M392" s="2" t="s">
        <v>1084</v>
      </c>
      <c r="N392" s="2" t="s">
        <v>1583</v>
      </c>
      <c r="O392" t="s">
        <v>630</v>
      </c>
      <c r="P392" t="s">
        <v>970</v>
      </c>
      <c r="Q392" t="s">
        <v>632</v>
      </c>
      <c r="R392" t="s">
        <v>630</v>
      </c>
      <c r="S392" t="s">
        <v>630</v>
      </c>
      <c r="T392" t="s">
        <v>620</v>
      </c>
      <c r="U392" t="s">
        <v>620</v>
      </c>
      <c r="V392" s="3" t="str">
        <f>IF(AND(data[[#This Row],[status]]="OK",data[[#This Row],[approach]]="evoavalla"),data[[#This Row],[asm_path]],"")</f>
        <v/>
      </c>
      <c r="W392" s="3" t="str">
        <f>IF(AND(data[[#This Row],[status]]="OK",data[[#This Row],[approach]]="atgt"),data[[#This Row],[asm_path]],"")</f>
        <v>../../../asm_examples/PHD/phd_master_flat2_v0.asm</v>
      </c>
      <c r="X392" s="3" t="b">
        <f>COUNTIF(W:W,data[[#This Row],[path_ok_status_evoavalla]]) = 1</f>
        <v>0</v>
      </c>
    </row>
    <row r="393" spans="1:24" x14ac:dyDescent="0.25">
      <c r="A393" t="s">
        <v>971</v>
      </c>
      <c r="B393" t="s">
        <v>972</v>
      </c>
      <c r="C393" t="s">
        <v>664</v>
      </c>
      <c r="D393" t="s">
        <v>710</v>
      </c>
      <c r="E393" t="s">
        <v>635</v>
      </c>
      <c r="F393" t="s">
        <v>637</v>
      </c>
      <c r="G393" t="s">
        <v>903</v>
      </c>
      <c r="H393" t="s">
        <v>1545</v>
      </c>
      <c r="I393" t="s">
        <v>638</v>
      </c>
      <c r="J393" t="s">
        <v>632</v>
      </c>
      <c r="K393" s="2" t="s">
        <v>620</v>
      </c>
      <c r="L393" s="2" t="s">
        <v>620</v>
      </c>
      <c r="M393" s="2" t="s">
        <v>620</v>
      </c>
      <c r="N393" s="2" t="s">
        <v>620</v>
      </c>
      <c r="O393" t="s">
        <v>639</v>
      </c>
      <c r="P393" t="s">
        <v>639</v>
      </c>
      <c r="Q393" t="s">
        <v>639</v>
      </c>
      <c r="R393" t="s">
        <v>639</v>
      </c>
      <c r="S393" t="s">
        <v>639</v>
      </c>
      <c r="T393" t="s">
        <v>620</v>
      </c>
      <c r="U393" t="s">
        <v>620</v>
      </c>
      <c r="V393" s="3" t="str">
        <f>IF(AND(data[[#This Row],[status]]="OK",data[[#This Row],[approach]]="evoavalla"),data[[#This Row],[asm_path]],"")</f>
        <v/>
      </c>
      <c r="W393" s="3" t="str">
        <f>IF(AND(data[[#This Row],[status]]="OK",data[[#This Row],[approach]]="atgt"),data[[#This Row],[asm_path]],"")</f>
        <v/>
      </c>
      <c r="X393" s="3" t="b">
        <f>COUNTIF(W:W,data[[#This Row],[path_ok_status_evoavalla]]) = 1</f>
        <v>0</v>
      </c>
    </row>
    <row r="394" spans="1:24" x14ac:dyDescent="0.25">
      <c r="A394" t="s">
        <v>973</v>
      </c>
      <c r="B394" t="s">
        <v>974</v>
      </c>
      <c r="C394" t="s">
        <v>682</v>
      </c>
      <c r="D394" t="s">
        <v>635</v>
      </c>
      <c r="E394" t="s">
        <v>620</v>
      </c>
      <c r="F394" t="s">
        <v>664</v>
      </c>
      <c r="G394" t="s">
        <v>710</v>
      </c>
      <c r="H394" t="s">
        <v>1545</v>
      </c>
      <c r="I394" t="s">
        <v>638</v>
      </c>
      <c r="J394" t="s">
        <v>632</v>
      </c>
      <c r="K394" s="2" t="s">
        <v>620</v>
      </c>
      <c r="L394" s="2" t="s">
        <v>620</v>
      </c>
      <c r="M394" s="2" t="s">
        <v>620</v>
      </c>
      <c r="N394" s="2" t="s">
        <v>620</v>
      </c>
      <c r="O394" t="s">
        <v>639</v>
      </c>
      <c r="P394" t="s">
        <v>639</v>
      </c>
      <c r="Q394" t="s">
        <v>639</v>
      </c>
      <c r="R394" t="s">
        <v>639</v>
      </c>
      <c r="S394" t="s">
        <v>639</v>
      </c>
      <c r="T394" t="s">
        <v>620</v>
      </c>
      <c r="U394" t="s">
        <v>620</v>
      </c>
      <c r="V394" s="3" t="str">
        <f>IF(AND(data[[#This Row],[status]]="OK",data[[#This Row],[approach]]="evoavalla"),data[[#This Row],[asm_path]],"")</f>
        <v/>
      </c>
      <c r="W394" s="3" t="str">
        <f>IF(AND(data[[#This Row],[status]]="OK",data[[#This Row],[approach]]="atgt"),data[[#This Row],[asm_path]],"")</f>
        <v/>
      </c>
      <c r="X394" s="3" t="b">
        <f>COUNTIF(W:W,data[[#This Row],[path_ok_status_evoavalla]]) = 1</f>
        <v>0</v>
      </c>
    </row>
    <row r="395" spans="1:24" x14ac:dyDescent="0.25">
      <c r="A395" t="s">
        <v>976</v>
      </c>
      <c r="B395" t="s">
        <v>977</v>
      </c>
      <c r="C395" t="s">
        <v>626</v>
      </c>
      <c r="D395" t="s">
        <v>941</v>
      </c>
      <c r="E395" t="s">
        <v>620</v>
      </c>
      <c r="F395" t="s">
        <v>710</v>
      </c>
      <c r="G395" t="s">
        <v>965</v>
      </c>
      <c r="H395" t="s">
        <v>1545</v>
      </c>
      <c r="I395" t="s">
        <v>624</v>
      </c>
      <c r="J395" t="s">
        <v>1584</v>
      </c>
      <c r="K395" s="2" t="s">
        <v>643</v>
      </c>
      <c r="L395" s="2" t="s">
        <v>857</v>
      </c>
      <c r="M395" s="2" t="s">
        <v>1585</v>
      </c>
      <c r="N395" s="2" t="s">
        <v>1197</v>
      </c>
      <c r="O395" t="s">
        <v>630</v>
      </c>
      <c r="P395" t="s">
        <v>630</v>
      </c>
      <c r="Q395" t="s">
        <v>632</v>
      </c>
      <c r="R395" t="s">
        <v>630</v>
      </c>
      <c r="S395" t="s">
        <v>630</v>
      </c>
      <c r="T395" t="s">
        <v>620</v>
      </c>
      <c r="U395" t="s">
        <v>620</v>
      </c>
      <c r="V395" s="3" t="str">
        <f>IF(AND(data[[#This Row],[status]]="OK",data[[#This Row],[approach]]="evoavalla"),data[[#This Row],[asm_path]],"")</f>
        <v/>
      </c>
      <c r="W395" s="3" t="str">
        <f>IF(AND(data[[#This Row],[status]]="OK",data[[#This Row],[approach]]="atgt"),data[[#This Row],[asm_path]],"")</f>
        <v>../../../asm_examples/erinda/for_atgt.asm</v>
      </c>
      <c r="X395" s="3" t="b">
        <f>COUNTIF(W:W,data[[#This Row],[path_ok_status_evoavalla]]) = 1</f>
        <v>0</v>
      </c>
    </row>
    <row r="396" spans="1:24" x14ac:dyDescent="0.25">
      <c r="A396" t="s">
        <v>978</v>
      </c>
      <c r="B396" t="s">
        <v>979</v>
      </c>
      <c r="C396" t="s">
        <v>621</v>
      </c>
      <c r="D396" t="s">
        <v>626</v>
      </c>
      <c r="E396" t="s">
        <v>620</v>
      </c>
      <c r="F396" t="s">
        <v>716</v>
      </c>
      <c r="G396" t="s">
        <v>980</v>
      </c>
      <c r="H396" t="s">
        <v>1545</v>
      </c>
      <c r="I396" t="s">
        <v>638</v>
      </c>
      <c r="J396" t="s">
        <v>632</v>
      </c>
      <c r="K396" s="2" t="s">
        <v>620</v>
      </c>
      <c r="L396" s="2" t="s">
        <v>620</v>
      </c>
      <c r="M396" s="2" t="s">
        <v>620</v>
      </c>
      <c r="N396" s="2" t="s">
        <v>620</v>
      </c>
      <c r="O396" t="s">
        <v>639</v>
      </c>
      <c r="P396" t="s">
        <v>639</v>
      </c>
      <c r="Q396" t="s">
        <v>639</v>
      </c>
      <c r="R396" t="s">
        <v>639</v>
      </c>
      <c r="S396" t="s">
        <v>639</v>
      </c>
      <c r="T396" t="s">
        <v>620</v>
      </c>
      <c r="U396" t="s">
        <v>620</v>
      </c>
      <c r="V396" s="3" t="str">
        <f>IF(AND(data[[#This Row],[status]]="OK",data[[#This Row],[approach]]="evoavalla"),data[[#This Row],[asm_path]],"")</f>
        <v/>
      </c>
      <c r="W396" s="3" t="str">
        <f>IF(AND(data[[#This Row],[status]]="OK",data[[#This Row],[approach]]="atgt"),data[[#This Row],[asm_path]],"")</f>
        <v/>
      </c>
      <c r="X396" s="3" t="b">
        <f>COUNTIF(W:W,data[[#This Row],[path_ok_status_evoavalla]]) = 1</f>
        <v>0</v>
      </c>
    </row>
    <row r="397" spans="1:24" x14ac:dyDescent="0.25">
      <c r="A397" t="s">
        <v>982</v>
      </c>
      <c r="B397" t="s">
        <v>983</v>
      </c>
      <c r="C397" t="s">
        <v>667</v>
      </c>
      <c r="D397" t="s">
        <v>668</v>
      </c>
      <c r="E397" t="s">
        <v>941</v>
      </c>
      <c r="F397" t="s">
        <v>984</v>
      </c>
      <c r="G397" t="s">
        <v>985</v>
      </c>
      <c r="H397" t="s">
        <v>1545</v>
      </c>
      <c r="I397" t="s">
        <v>638</v>
      </c>
      <c r="J397" t="s">
        <v>632</v>
      </c>
      <c r="K397" s="2" t="s">
        <v>620</v>
      </c>
      <c r="L397" s="2" t="s">
        <v>620</v>
      </c>
      <c r="M397" s="2" t="s">
        <v>620</v>
      </c>
      <c r="N397" s="2" t="s">
        <v>620</v>
      </c>
      <c r="O397" t="s">
        <v>639</v>
      </c>
      <c r="P397" t="s">
        <v>639</v>
      </c>
      <c r="Q397" t="s">
        <v>639</v>
      </c>
      <c r="R397" t="s">
        <v>639</v>
      </c>
      <c r="S397" t="s">
        <v>639</v>
      </c>
      <c r="T397" t="s">
        <v>620</v>
      </c>
      <c r="U397" t="s">
        <v>620</v>
      </c>
      <c r="V397" s="3" t="str">
        <f>IF(AND(data[[#This Row],[status]]="OK",data[[#This Row],[approach]]="evoavalla"),data[[#This Row],[asm_path]],"")</f>
        <v/>
      </c>
      <c r="W397" s="3" t="str">
        <f>IF(AND(data[[#This Row],[status]]="OK",data[[#This Row],[approach]]="atgt"),data[[#This Row],[asm_path]],"")</f>
        <v/>
      </c>
      <c r="X397" s="3" t="b">
        <f>COUNTIF(W:W,data[[#This Row],[path_ok_status_evoavalla]]) = 1</f>
        <v>0</v>
      </c>
    </row>
    <row r="398" spans="1:24" x14ac:dyDescent="0.25">
      <c r="A398" t="s">
        <v>986</v>
      </c>
      <c r="B398" t="s">
        <v>987</v>
      </c>
      <c r="C398" t="s">
        <v>636</v>
      </c>
      <c r="D398" t="s">
        <v>635</v>
      </c>
      <c r="E398" t="s">
        <v>620</v>
      </c>
      <c r="F398" t="s">
        <v>635</v>
      </c>
      <c r="G398" t="s">
        <v>664</v>
      </c>
      <c r="H398" t="s">
        <v>1545</v>
      </c>
      <c r="I398" t="s">
        <v>624</v>
      </c>
      <c r="J398" t="s">
        <v>1586</v>
      </c>
      <c r="K398" s="2" t="s">
        <v>682</v>
      </c>
      <c r="L398" s="2" t="s">
        <v>683</v>
      </c>
      <c r="M398" s="2" t="s">
        <v>620</v>
      </c>
      <c r="N398" s="2" t="s">
        <v>637</v>
      </c>
      <c r="O398" t="s">
        <v>630</v>
      </c>
      <c r="P398" t="s">
        <v>993</v>
      </c>
      <c r="Q398" t="s">
        <v>632</v>
      </c>
      <c r="R398" t="s">
        <v>834</v>
      </c>
      <c r="S398" t="s">
        <v>834</v>
      </c>
      <c r="T398" t="s">
        <v>620</v>
      </c>
      <c r="U398" t="s">
        <v>620</v>
      </c>
      <c r="V398" s="3" t="str">
        <f>IF(AND(data[[#This Row],[status]]="OK",data[[#This Row],[approach]]="evoavalla"),data[[#This Row],[asm_path]],"")</f>
        <v/>
      </c>
      <c r="W398" s="3" t="str">
        <f>IF(AND(data[[#This Row],[status]]="OK",data[[#This Row],[approach]]="atgt"),data[[#This Row],[asm_path]],"")</f>
        <v>../../../asm_examples/examples_for_nuXmv/EuclideInt.asm</v>
      </c>
      <c r="X398" s="3" t="b">
        <f>COUNTIF(W:W,data[[#This Row],[path_ok_status_evoavalla]]) = 1</f>
        <v>0</v>
      </c>
    </row>
    <row r="399" spans="1:24" x14ac:dyDescent="0.25">
      <c r="A399" t="s">
        <v>988</v>
      </c>
      <c r="B399" t="s">
        <v>989</v>
      </c>
      <c r="C399" t="s">
        <v>635</v>
      </c>
      <c r="D399" t="s">
        <v>635</v>
      </c>
      <c r="E399" t="s">
        <v>620</v>
      </c>
      <c r="F399" t="s">
        <v>620</v>
      </c>
      <c r="G399" t="s">
        <v>683</v>
      </c>
      <c r="H399" t="s">
        <v>1545</v>
      </c>
      <c r="I399" t="s">
        <v>638</v>
      </c>
      <c r="J399" t="s">
        <v>632</v>
      </c>
      <c r="K399" s="2" t="s">
        <v>620</v>
      </c>
      <c r="L399" s="2" t="s">
        <v>620</v>
      </c>
      <c r="M399" s="2" t="s">
        <v>620</v>
      </c>
      <c r="N399" s="2" t="s">
        <v>620</v>
      </c>
      <c r="O399" t="s">
        <v>639</v>
      </c>
      <c r="P399" t="s">
        <v>639</v>
      </c>
      <c r="Q399" t="s">
        <v>639</v>
      </c>
      <c r="R399" t="s">
        <v>639</v>
      </c>
      <c r="S399" t="s">
        <v>639</v>
      </c>
      <c r="T399" t="s">
        <v>620</v>
      </c>
      <c r="U399" t="s">
        <v>620</v>
      </c>
      <c r="V399" s="3" t="str">
        <f>IF(AND(data[[#This Row],[status]]="OK",data[[#This Row],[approach]]="evoavalla"),data[[#This Row],[asm_path]],"")</f>
        <v/>
      </c>
      <c r="W399" s="3" t="str">
        <f>IF(AND(data[[#This Row],[status]]="OK",data[[#This Row],[approach]]="atgt"),data[[#This Row],[asm_path]],"")</f>
        <v/>
      </c>
      <c r="X399" s="3" t="b">
        <f>COUNTIF(W:W,data[[#This Row],[path_ok_status_evoavalla]]) = 1</f>
        <v>0</v>
      </c>
    </row>
    <row r="400" spans="1:24" x14ac:dyDescent="0.25">
      <c r="A400" t="s">
        <v>990</v>
      </c>
      <c r="B400" t="s">
        <v>991</v>
      </c>
      <c r="C400" t="s">
        <v>635</v>
      </c>
      <c r="D400" t="s">
        <v>664</v>
      </c>
      <c r="E400" t="s">
        <v>620</v>
      </c>
      <c r="F400" t="s">
        <v>682</v>
      </c>
      <c r="G400" t="s">
        <v>761</v>
      </c>
      <c r="H400" t="s">
        <v>1545</v>
      </c>
      <c r="I400" t="s">
        <v>624</v>
      </c>
      <c r="J400" t="s">
        <v>1587</v>
      </c>
      <c r="K400" s="2" t="s">
        <v>635</v>
      </c>
      <c r="L400" s="2" t="s">
        <v>1588</v>
      </c>
      <c r="M400" s="2" t="s">
        <v>620</v>
      </c>
      <c r="N400" s="2" t="s">
        <v>1589</v>
      </c>
      <c r="O400" t="s">
        <v>630</v>
      </c>
      <c r="P400" t="s">
        <v>630</v>
      </c>
      <c r="Q400" t="s">
        <v>632</v>
      </c>
      <c r="R400" t="s">
        <v>630</v>
      </c>
      <c r="S400" t="s">
        <v>630</v>
      </c>
      <c r="T400" t="s">
        <v>620</v>
      </c>
      <c r="U400" t="s">
        <v>620</v>
      </c>
      <c r="V400" s="3" t="str">
        <f>IF(AND(data[[#This Row],[status]]="OK",data[[#This Row],[approach]]="evoavalla"),data[[#This Row],[asm_path]],"")</f>
        <v/>
      </c>
      <c r="W400" s="3" t="str">
        <f>IF(AND(data[[#This Row],[status]]="OK",data[[#This Row],[approach]]="atgt"),data[[#This Row],[asm_path]],"")</f>
        <v>../../../asm_examples/examples/simple_example/AdvancedClockDeciSecond.asm</v>
      </c>
      <c r="X400" s="3" t="b">
        <f>COUNTIF(W:W,data[[#This Row],[path_ok_status_evoavalla]]) = 1</f>
        <v>0</v>
      </c>
    </row>
    <row r="401" spans="1:24" x14ac:dyDescent="0.25">
      <c r="A401" t="s">
        <v>995</v>
      </c>
      <c r="B401" t="s">
        <v>996</v>
      </c>
      <c r="C401" t="s">
        <v>664</v>
      </c>
      <c r="D401" t="s">
        <v>980</v>
      </c>
      <c r="E401" t="s">
        <v>620</v>
      </c>
      <c r="F401" t="s">
        <v>682</v>
      </c>
      <c r="G401" t="s">
        <v>821</v>
      </c>
      <c r="H401" t="s">
        <v>1545</v>
      </c>
      <c r="I401" t="s">
        <v>624</v>
      </c>
      <c r="J401" t="s">
        <v>1590</v>
      </c>
      <c r="K401" s="2" t="s">
        <v>643</v>
      </c>
      <c r="L401" s="2" t="s">
        <v>1591</v>
      </c>
      <c r="M401" s="2" t="s">
        <v>1591</v>
      </c>
      <c r="N401" s="2" t="s">
        <v>1592</v>
      </c>
      <c r="O401" t="s">
        <v>630</v>
      </c>
      <c r="P401" t="s">
        <v>630</v>
      </c>
      <c r="Q401" t="s">
        <v>632</v>
      </c>
      <c r="R401" t="s">
        <v>630</v>
      </c>
      <c r="S401" t="s">
        <v>630</v>
      </c>
      <c r="T401" t="s">
        <v>620</v>
      </c>
      <c r="U401" t="s">
        <v>620</v>
      </c>
      <c r="V401" s="3" t="str">
        <f>IF(AND(data[[#This Row],[status]]="OK",data[[#This Row],[approach]]="evoavalla"),data[[#This Row],[asm_path]],"")</f>
        <v/>
      </c>
      <c r="W401" s="3" t="str">
        <f>IF(AND(data[[#This Row],[status]]="OK",data[[#This Row],[approach]]="atgt"),data[[#This Row],[asm_path]],"")</f>
        <v>../../../asm_examples/examples/landingGearSystem/LGS_EV_v2.asm</v>
      </c>
      <c r="X401" s="3" t="b">
        <f>COUNTIF(W:W,data[[#This Row],[path_ok_status_evoavalla]]) = 1</f>
        <v>0</v>
      </c>
    </row>
    <row r="402" spans="1:24" x14ac:dyDescent="0.25">
      <c r="A402" t="s">
        <v>998</v>
      </c>
      <c r="B402" t="s">
        <v>999</v>
      </c>
      <c r="C402" t="s">
        <v>628</v>
      </c>
      <c r="D402" t="s">
        <v>683</v>
      </c>
      <c r="E402" t="s">
        <v>682</v>
      </c>
      <c r="F402" t="s">
        <v>664</v>
      </c>
      <c r="G402" t="s">
        <v>669</v>
      </c>
      <c r="H402" t="s">
        <v>1545</v>
      </c>
      <c r="I402" t="s">
        <v>638</v>
      </c>
      <c r="J402" t="s">
        <v>632</v>
      </c>
      <c r="K402" s="2" t="s">
        <v>620</v>
      </c>
      <c r="L402" s="2" t="s">
        <v>620</v>
      </c>
      <c r="M402" s="2" t="s">
        <v>620</v>
      </c>
      <c r="N402" s="2" t="s">
        <v>620</v>
      </c>
      <c r="O402" t="s">
        <v>639</v>
      </c>
      <c r="P402" t="s">
        <v>639</v>
      </c>
      <c r="Q402" t="s">
        <v>639</v>
      </c>
      <c r="R402" t="s">
        <v>639</v>
      </c>
      <c r="S402" t="s">
        <v>639</v>
      </c>
      <c r="T402" t="s">
        <v>620</v>
      </c>
      <c r="U402" t="s">
        <v>620</v>
      </c>
      <c r="V402" s="3" t="str">
        <f>IF(AND(data[[#This Row],[status]]="OK",data[[#This Row],[approach]]="evoavalla"),data[[#This Row],[asm_path]],"")</f>
        <v/>
      </c>
      <c r="W402" s="3" t="str">
        <f>IF(AND(data[[#This Row],[status]]="OK",data[[#This Row],[approach]]="atgt"),data[[#This Row],[asm_path]],"")</f>
        <v/>
      </c>
      <c r="X402" s="3" t="b">
        <f>COUNTIF(W:W,data[[#This Row],[path_ok_status_evoavalla]]) = 1</f>
        <v>0</v>
      </c>
    </row>
    <row r="403" spans="1:24" x14ac:dyDescent="0.25">
      <c r="A403" t="s">
        <v>1000</v>
      </c>
      <c r="B403" t="s">
        <v>1001</v>
      </c>
      <c r="C403" t="s">
        <v>635</v>
      </c>
      <c r="D403" t="s">
        <v>635</v>
      </c>
      <c r="E403" t="s">
        <v>636</v>
      </c>
      <c r="F403" t="s">
        <v>664</v>
      </c>
      <c r="G403" t="s">
        <v>683</v>
      </c>
      <c r="H403" t="s">
        <v>1545</v>
      </c>
      <c r="I403" t="s">
        <v>638</v>
      </c>
      <c r="J403" t="s">
        <v>632</v>
      </c>
      <c r="K403" s="2" t="s">
        <v>620</v>
      </c>
      <c r="L403" s="2" t="s">
        <v>620</v>
      </c>
      <c r="M403" s="2" t="s">
        <v>620</v>
      </c>
      <c r="N403" s="2" t="s">
        <v>620</v>
      </c>
      <c r="O403" t="s">
        <v>639</v>
      </c>
      <c r="P403" t="s">
        <v>639</v>
      </c>
      <c r="Q403" t="s">
        <v>639</v>
      </c>
      <c r="R403" t="s">
        <v>639</v>
      </c>
      <c r="S403" t="s">
        <v>639</v>
      </c>
      <c r="T403" t="s">
        <v>620</v>
      </c>
      <c r="U403" t="s">
        <v>620</v>
      </c>
      <c r="V403" s="3" t="str">
        <f>IF(AND(data[[#This Row],[status]]="OK",data[[#This Row],[approach]]="evoavalla"),data[[#This Row],[asm_path]],"")</f>
        <v/>
      </c>
      <c r="W403" s="3" t="str">
        <f>IF(AND(data[[#This Row],[status]]="OK",data[[#This Row],[approach]]="atgt"),data[[#This Row],[asm_path]],"")</f>
        <v/>
      </c>
      <c r="X403" s="3" t="b">
        <f>COUNTIF(W:W,data[[#This Row],[path_ok_status_evoavalla]]) = 1</f>
        <v>0</v>
      </c>
    </row>
    <row r="404" spans="1:24" x14ac:dyDescent="0.25">
      <c r="A404" t="s">
        <v>1002</v>
      </c>
      <c r="B404" t="s">
        <v>1003</v>
      </c>
      <c r="C404" t="s">
        <v>677</v>
      </c>
      <c r="D404" t="s">
        <v>697</v>
      </c>
      <c r="E404" t="s">
        <v>637</v>
      </c>
      <c r="F404" t="s">
        <v>741</v>
      </c>
      <c r="G404" t="s">
        <v>849</v>
      </c>
      <c r="H404" t="s">
        <v>1545</v>
      </c>
      <c r="I404" t="s">
        <v>638</v>
      </c>
      <c r="J404" t="s">
        <v>632</v>
      </c>
      <c r="K404" s="2" t="s">
        <v>620</v>
      </c>
      <c r="L404" s="2" t="s">
        <v>620</v>
      </c>
      <c r="M404" s="2" t="s">
        <v>620</v>
      </c>
      <c r="N404" s="2" t="s">
        <v>620</v>
      </c>
      <c r="O404" t="s">
        <v>639</v>
      </c>
      <c r="P404" t="s">
        <v>639</v>
      </c>
      <c r="Q404" t="s">
        <v>639</v>
      </c>
      <c r="R404" t="s">
        <v>639</v>
      </c>
      <c r="S404" t="s">
        <v>639</v>
      </c>
      <c r="T404" t="s">
        <v>620</v>
      </c>
      <c r="U404" t="s">
        <v>620</v>
      </c>
      <c r="V404" s="3" t="str">
        <f>IF(AND(data[[#This Row],[status]]="OK",data[[#This Row],[approach]]="evoavalla"),data[[#This Row],[asm_path]],"")</f>
        <v/>
      </c>
      <c r="W404" s="3" t="str">
        <f>IF(AND(data[[#This Row],[status]]="OK",data[[#This Row],[approach]]="atgt"),data[[#This Row],[asm_path]],"")</f>
        <v/>
      </c>
      <c r="X404" s="3" t="b">
        <f>COUNTIF(W:W,data[[#This Row],[path_ok_status_evoavalla]]) = 1</f>
        <v>0</v>
      </c>
    </row>
    <row r="405" spans="1:24" x14ac:dyDescent="0.25">
      <c r="A405" t="s">
        <v>1004</v>
      </c>
      <c r="B405" t="s">
        <v>1005</v>
      </c>
      <c r="C405" t="s">
        <v>636</v>
      </c>
      <c r="D405" t="s">
        <v>620</v>
      </c>
      <c r="E405" t="s">
        <v>620</v>
      </c>
      <c r="F405" t="s">
        <v>620</v>
      </c>
      <c r="G405" t="s">
        <v>636</v>
      </c>
      <c r="H405" t="s">
        <v>1545</v>
      </c>
      <c r="I405" t="s">
        <v>638</v>
      </c>
      <c r="J405" t="s">
        <v>632</v>
      </c>
      <c r="K405" s="2" t="s">
        <v>620</v>
      </c>
      <c r="L405" s="2" t="s">
        <v>620</v>
      </c>
      <c r="M405" s="2" t="s">
        <v>620</v>
      </c>
      <c r="N405" s="2" t="s">
        <v>620</v>
      </c>
      <c r="O405" t="s">
        <v>639</v>
      </c>
      <c r="P405" t="s">
        <v>639</v>
      </c>
      <c r="Q405" t="s">
        <v>639</v>
      </c>
      <c r="R405" t="s">
        <v>639</v>
      </c>
      <c r="S405" t="s">
        <v>639</v>
      </c>
      <c r="T405" t="s">
        <v>620</v>
      </c>
      <c r="U405" t="s">
        <v>620</v>
      </c>
      <c r="V405" s="3" t="str">
        <f>IF(AND(data[[#This Row],[status]]="OK",data[[#This Row],[approach]]="evoavalla"),data[[#This Row],[asm_path]],"")</f>
        <v/>
      </c>
      <c r="W405" s="3" t="str">
        <f>IF(AND(data[[#This Row],[status]]="OK",data[[#This Row],[approach]]="atgt"),data[[#This Row],[asm_path]],"")</f>
        <v/>
      </c>
      <c r="X405" s="3" t="b">
        <f>COUNTIF(W:W,data[[#This Row],[path_ok_status_evoavalla]]) = 1</f>
        <v>0</v>
      </c>
    </row>
    <row r="406" spans="1:24" x14ac:dyDescent="0.25">
      <c r="A406" t="s">
        <v>1006</v>
      </c>
      <c r="B406" t="s">
        <v>1007</v>
      </c>
      <c r="C406" t="s">
        <v>717</v>
      </c>
      <c r="D406" t="s">
        <v>1008</v>
      </c>
      <c r="E406" t="s">
        <v>732</v>
      </c>
      <c r="F406" t="s">
        <v>753</v>
      </c>
      <c r="G406" t="s">
        <v>1009</v>
      </c>
      <c r="H406" t="s">
        <v>1545</v>
      </c>
      <c r="I406" t="s">
        <v>638</v>
      </c>
      <c r="J406" t="s">
        <v>632</v>
      </c>
      <c r="K406" s="2" t="s">
        <v>620</v>
      </c>
      <c r="L406" s="2" t="s">
        <v>620</v>
      </c>
      <c r="M406" s="2" t="s">
        <v>620</v>
      </c>
      <c r="N406" s="2" t="s">
        <v>620</v>
      </c>
      <c r="O406" t="s">
        <v>639</v>
      </c>
      <c r="P406" t="s">
        <v>639</v>
      </c>
      <c r="Q406" t="s">
        <v>639</v>
      </c>
      <c r="R406" t="s">
        <v>639</v>
      </c>
      <c r="S406" t="s">
        <v>639</v>
      </c>
      <c r="T406" t="s">
        <v>620</v>
      </c>
      <c r="U406" t="s">
        <v>620</v>
      </c>
      <c r="V406" s="3" t="str">
        <f>IF(AND(data[[#This Row],[status]]="OK",data[[#This Row],[approach]]="evoavalla"),data[[#This Row],[asm_path]],"")</f>
        <v/>
      </c>
      <c r="W406" s="3" t="str">
        <f>IF(AND(data[[#This Row],[status]]="OK",data[[#This Row],[approach]]="atgt"),data[[#This Row],[asm_path]],"")</f>
        <v/>
      </c>
      <c r="X406" s="3" t="b">
        <f>COUNTIF(W:W,data[[#This Row],[path_ok_status_evoavalla]]) = 1</f>
        <v>0</v>
      </c>
    </row>
    <row r="407" spans="1:24" x14ac:dyDescent="0.25">
      <c r="A407" t="s">
        <v>1010</v>
      </c>
      <c r="B407" t="s">
        <v>1011</v>
      </c>
      <c r="C407" t="s">
        <v>626</v>
      </c>
      <c r="D407" t="s">
        <v>690</v>
      </c>
      <c r="E407" t="s">
        <v>635</v>
      </c>
      <c r="F407" t="s">
        <v>710</v>
      </c>
      <c r="G407" t="s">
        <v>697</v>
      </c>
      <c r="H407" t="s">
        <v>1545</v>
      </c>
      <c r="I407" t="s">
        <v>638</v>
      </c>
      <c r="J407" t="s">
        <v>632</v>
      </c>
      <c r="K407" s="2" t="s">
        <v>620</v>
      </c>
      <c r="L407" s="2" t="s">
        <v>620</v>
      </c>
      <c r="M407" s="2" t="s">
        <v>620</v>
      </c>
      <c r="N407" s="2" t="s">
        <v>620</v>
      </c>
      <c r="O407" t="s">
        <v>639</v>
      </c>
      <c r="P407" t="s">
        <v>639</v>
      </c>
      <c r="Q407" t="s">
        <v>639</v>
      </c>
      <c r="R407" t="s">
        <v>639</v>
      </c>
      <c r="S407" t="s">
        <v>639</v>
      </c>
      <c r="T407" t="s">
        <v>620</v>
      </c>
      <c r="U407" t="s">
        <v>620</v>
      </c>
      <c r="V407" s="3" t="str">
        <f>IF(AND(data[[#This Row],[status]]="OK",data[[#This Row],[approach]]="evoavalla"),data[[#This Row],[asm_path]],"")</f>
        <v/>
      </c>
      <c r="W407" s="3" t="str">
        <f>IF(AND(data[[#This Row],[status]]="OK",data[[#This Row],[approach]]="atgt"),data[[#This Row],[asm_path]],"")</f>
        <v/>
      </c>
      <c r="X407" s="3" t="b">
        <f>COUNTIF(W:W,data[[#This Row],[path_ok_status_evoavalla]]) = 1</f>
        <v>0</v>
      </c>
    </row>
    <row r="408" spans="1:24" x14ac:dyDescent="0.25">
      <c r="A408" t="s">
        <v>1012</v>
      </c>
      <c r="B408" t="s">
        <v>1013</v>
      </c>
      <c r="C408" t="s">
        <v>635</v>
      </c>
      <c r="D408" t="s">
        <v>635</v>
      </c>
      <c r="E408" t="s">
        <v>620</v>
      </c>
      <c r="F408" t="s">
        <v>620</v>
      </c>
      <c r="G408" t="s">
        <v>761</v>
      </c>
      <c r="H408" t="s">
        <v>1545</v>
      </c>
      <c r="I408" t="s">
        <v>638</v>
      </c>
      <c r="J408" t="s">
        <v>632</v>
      </c>
      <c r="K408" s="2" t="s">
        <v>620</v>
      </c>
      <c r="L408" s="2" t="s">
        <v>620</v>
      </c>
      <c r="M408" s="2" t="s">
        <v>620</v>
      </c>
      <c r="N408" s="2" t="s">
        <v>620</v>
      </c>
      <c r="O408" t="s">
        <v>639</v>
      </c>
      <c r="P408" t="s">
        <v>639</v>
      </c>
      <c r="Q408" t="s">
        <v>639</v>
      </c>
      <c r="R408" t="s">
        <v>639</v>
      </c>
      <c r="S408" t="s">
        <v>639</v>
      </c>
      <c r="T408" t="s">
        <v>620</v>
      </c>
      <c r="U408" t="s">
        <v>620</v>
      </c>
      <c r="V408" s="3" t="str">
        <f>IF(AND(data[[#This Row],[status]]="OK",data[[#This Row],[approach]]="evoavalla"),data[[#This Row],[asm_path]],"")</f>
        <v/>
      </c>
      <c r="W408" s="3" t="str">
        <f>IF(AND(data[[#This Row],[status]]="OK",data[[#This Row],[approach]]="atgt"),data[[#This Row],[asm_path]],"")</f>
        <v/>
      </c>
      <c r="X408" s="3" t="b">
        <f>COUNTIF(W:W,data[[#This Row],[path_ok_status_evoavalla]]) = 1</f>
        <v>0</v>
      </c>
    </row>
    <row r="409" spans="1:24" x14ac:dyDescent="0.25">
      <c r="A409" t="s">
        <v>1014</v>
      </c>
      <c r="B409" t="s">
        <v>1015</v>
      </c>
      <c r="C409" t="s">
        <v>1016</v>
      </c>
      <c r="D409" t="s">
        <v>1017</v>
      </c>
      <c r="E409" t="s">
        <v>636</v>
      </c>
      <c r="F409" t="s">
        <v>953</v>
      </c>
      <c r="G409" t="s">
        <v>1018</v>
      </c>
      <c r="H409" t="s">
        <v>1545</v>
      </c>
      <c r="I409" t="s">
        <v>638</v>
      </c>
      <c r="J409" t="s">
        <v>632</v>
      </c>
      <c r="K409" s="2" t="s">
        <v>620</v>
      </c>
      <c r="L409" s="2" t="s">
        <v>620</v>
      </c>
      <c r="M409" s="2" t="s">
        <v>620</v>
      </c>
      <c r="N409" s="2" t="s">
        <v>620</v>
      </c>
      <c r="O409" t="s">
        <v>639</v>
      </c>
      <c r="P409" t="s">
        <v>639</v>
      </c>
      <c r="Q409" t="s">
        <v>639</v>
      </c>
      <c r="R409" t="s">
        <v>639</v>
      </c>
      <c r="S409" t="s">
        <v>639</v>
      </c>
      <c r="T409" t="s">
        <v>620</v>
      </c>
      <c r="U409" t="s">
        <v>620</v>
      </c>
      <c r="V409" s="3" t="str">
        <f>IF(AND(data[[#This Row],[status]]="OK",data[[#This Row],[approach]]="evoavalla"),data[[#This Row],[asm_path]],"")</f>
        <v/>
      </c>
      <c r="W409" s="3" t="str">
        <f>IF(AND(data[[#This Row],[status]]="OK",data[[#This Row],[approach]]="atgt"),data[[#This Row],[asm_path]],"")</f>
        <v/>
      </c>
      <c r="X409" s="3" t="b">
        <f>COUNTIF(W:W,data[[#This Row],[path_ok_status_evoavalla]]) = 1</f>
        <v>0</v>
      </c>
    </row>
    <row r="410" spans="1:24" x14ac:dyDescent="0.25">
      <c r="A410" t="s">
        <v>1025</v>
      </c>
      <c r="B410" t="s">
        <v>820</v>
      </c>
      <c r="C410" t="s">
        <v>618</v>
      </c>
      <c r="D410" t="s">
        <v>643</v>
      </c>
      <c r="E410" t="s">
        <v>636</v>
      </c>
      <c r="F410" t="s">
        <v>690</v>
      </c>
      <c r="G410" t="s">
        <v>821</v>
      </c>
      <c r="H410" t="s">
        <v>1545</v>
      </c>
      <c r="I410" t="s">
        <v>638</v>
      </c>
      <c r="J410" t="s">
        <v>632</v>
      </c>
      <c r="K410" s="2" t="s">
        <v>620</v>
      </c>
      <c r="L410" s="2" t="s">
        <v>620</v>
      </c>
      <c r="M410" s="2" t="s">
        <v>620</v>
      </c>
      <c r="N410" s="2" t="s">
        <v>620</v>
      </c>
      <c r="O410" t="s">
        <v>639</v>
      </c>
      <c r="P410" t="s">
        <v>639</v>
      </c>
      <c r="Q410" t="s">
        <v>639</v>
      </c>
      <c r="R410" t="s">
        <v>639</v>
      </c>
      <c r="S410" t="s">
        <v>639</v>
      </c>
      <c r="T410" t="s">
        <v>620</v>
      </c>
      <c r="U410" t="s">
        <v>620</v>
      </c>
      <c r="V410" s="3" t="str">
        <f>IF(AND(data[[#This Row],[status]]="OK",data[[#This Row],[approach]]="evoavalla"),data[[#This Row],[asm_path]],"")</f>
        <v/>
      </c>
      <c r="W410" s="3" t="str">
        <f>IF(AND(data[[#This Row],[status]]="OK",data[[#This Row],[approach]]="atgt"),data[[#This Row],[asm_path]],"")</f>
        <v/>
      </c>
      <c r="X410" s="3" t="b">
        <f>COUNTIF(W:W,data[[#This Row],[path_ok_status_evoavalla]]) = 1</f>
        <v>0</v>
      </c>
    </row>
    <row r="411" spans="1:24" x14ac:dyDescent="0.25">
      <c r="A411" t="s">
        <v>1026</v>
      </c>
      <c r="B411" t="s">
        <v>1027</v>
      </c>
      <c r="C411" t="s">
        <v>621</v>
      </c>
      <c r="D411" t="s">
        <v>903</v>
      </c>
      <c r="E411" t="s">
        <v>620</v>
      </c>
      <c r="F411" t="s">
        <v>941</v>
      </c>
      <c r="G411" t="s">
        <v>945</v>
      </c>
      <c r="H411" t="s">
        <v>1545</v>
      </c>
      <c r="I411" t="s">
        <v>638</v>
      </c>
      <c r="J411" t="s">
        <v>632</v>
      </c>
      <c r="K411" s="2" t="s">
        <v>620</v>
      </c>
      <c r="L411" s="2" t="s">
        <v>620</v>
      </c>
      <c r="M411" s="2" t="s">
        <v>620</v>
      </c>
      <c r="N411" s="2" t="s">
        <v>620</v>
      </c>
      <c r="O411" t="s">
        <v>639</v>
      </c>
      <c r="P411" t="s">
        <v>639</v>
      </c>
      <c r="Q411" t="s">
        <v>639</v>
      </c>
      <c r="R411" t="s">
        <v>639</v>
      </c>
      <c r="S411" t="s">
        <v>639</v>
      </c>
      <c r="T411" t="s">
        <v>620</v>
      </c>
      <c r="U411" t="s">
        <v>620</v>
      </c>
      <c r="V411" s="3" t="str">
        <f>IF(AND(data[[#This Row],[status]]="OK",data[[#This Row],[approach]]="evoavalla"),data[[#This Row],[asm_path]],"")</f>
        <v/>
      </c>
      <c r="W411" s="3" t="str">
        <f>IF(AND(data[[#This Row],[status]]="OK",data[[#This Row],[approach]]="atgt"),data[[#This Row],[asm_path]],"")</f>
        <v/>
      </c>
      <c r="X411" s="3" t="b">
        <f>COUNTIF(W:W,data[[#This Row],[path_ok_status_evoavalla]]) = 1</f>
        <v>0</v>
      </c>
    </row>
    <row r="412" spans="1:24" x14ac:dyDescent="0.25">
      <c r="A412" t="s">
        <v>1029</v>
      </c>
      <c r="B412" t="s">
        <v>1030</v>
      </c>
      <c r="C412" t="s">
        <v>635</v>
      </c>
      <c r="D412" t="s">
        <v>664</v>
      </c>
      <c r="E412" t="s">
        <v>620</v>
      </c>
      <c r="F412" t="s">
        <v>620</v>
      </c>
      <c r="G412" t="s">
        <v>798</v>
      </c>
      <c r="H412" t="s">
        <v>1545</v>
      </c>
      <c r="I412" t="s">
        <v>638</v>
      </c>
      <c r="J412" t="s">
        <v>632</v>
      </c>
      <c r="K412" s="2" t="s">
        <v>620</v>
      </c>
      <c r="L412" s="2" t="s">
        <v>620</v>
      </c>
      <c r="M412" s="2" t="s">
        <v>620</v>
      </c>
      <c r="N412" s="2" t="s">
        <v>620</v>
      </c>
      <c r="O412" t="s">
        <v>639</v>
      </c>
      <c r="P412" t="s">
        <v>639</v>
      </c>
      <c r="Q412" t="s">
        <v>639</v>
      </c>
      <c r="R412" t="s">
        <v>639</v>
      </c>
      <c r="S412" t="s">
        <v>639</v>
      </c>
      <c r="T412" t="s">
        <v>620</v>
      </c>
      <c r="U412" t="s">
        <v>620</v>
      </c>
      <c r="V412" s="3" t="str">
        <f>IF(AND(data[[#This Row],[status]]="OK",data[[#This Row],[approach]]="evoavalla"),data[[#This Row],[asm_path]],"")</f>
        <v/>
      </c>
      <c r="W412" s="3" t="str">
        <f>IF(AND(data[[#This Row],[status]]="OK",data[[#This Row],[approach]]="atgt"),data[[#This Row],[asm_path]],"")</f>
        <v/>
      </c>
      <c r="X412" s="3" t="b">
        <f>COUNTIF(W:W,data[[#This Row],[path_ok_status_evoavalla]]) = 1</f>
        <v>0</v>
      </c>
    </row>
    <row r="413" spans="1:24" x14ac:dyDescent="0.25">
      <c r="A413" t="s">
        <v>1031</v>
      </c>
      <c r="B413" t="s">
        <v>1032</v>
      </c>
      <c r="C413" t="s">
        <v>635</v>
      </c>
      <c r="D413" t="s">
        <v>761</v>
      </c>
      <c r="E413" t="s">
        <v>620</v>
      </c>
      <c r="F413" t="s">
        <v>642</v>
      </c>
      <c r="G413" t="s">
        <v>644</v>
      </c>
      <c r="H413" t="s">
        <v>1545</v>
      </c>
      <c r="I413" t="s">
        <v>638</v>
      </c>
      <c r="J413" t="s">
        <v>632</v>
      </c>
      <c r="K413" s="2" t="s">
        <v>620</v>
      </c>
      <c r="L413" s="2" t="s">
        <v>620</v>
      </c>
      <c r="M413" s="2" t="s">
        <v>620</v>
      </c>
      <c r="N413" s="2" t="s">
        <v>620</v>
      </c>
      <c r="O413" t="s">
        <v>639</v>
      </c>
      <c r="P413" t="s">
        <v>639</v>
      </c>
      <c r="Q413" t="s">
        <v>639</v>
      </c>
      <c r="R413" t="s">
        <v>639</v>
      </c>
      <c r="S413" t="s">
        <v>639</v>
      </c>
      <c r="T413" t="s">
        <v>620</v>
      </c>
      <c r="U413" t="s">
        <v>620</v>
      </c>
      <c r="V413" s="3" t="str">
        <f>IF(AND(data[[#This Row],[status]]="OK",data[[#This Row],[approach]]="evoavalla"),data[[#This Row],[asm_path]],"")</f>
        <v/>
      </c>
      <c r="W413" s="3" t="str">
        <f>IF(AND(data[[#This Row],[status]]="OK",data[[#This Row],[approach]]="atgt"),data[[#This Row],[asm_path]],"")</f>
        <v/>
      </c>
      <c r="X413" s="3" t="b">
        <f>COUNTIF(W:W,data[[#This Row],[path_ok_status_evoavalla]]) = 1</f>
        <v>0</v>
      </c>
    </row>
    <row r="414" spans="1:24" x14ac:dyDescent="0.25">
      <c r="A414" t="s">
        <v>1033</v>
      </c>
      <c r="B414" t="s">
        <v>1034</v>
      </c>
      <c r="C414" t="s">
        <v>626</v>
      </c>
      <c r="D414" t="s">
        <v>1035</v>
      </c>
      <c r="E414" t="s">
        <v>620</v>
      </c>
      <c r="F414" t="s">
        <v>710</v>
      </c>
      <c r="G414" t="s">
        <v>1036</v>
      </c>
      <c r="H414" t="s">
        <v>1545</v>
      </c>
      <c r="I414" t="s">
        <v>638</v>
      </c>
      <c r="J414" t="s">
        <v>632</v>
      </c>
      <c r="K414" s="2" t="s">
        <v>620</v>
      </c>
      <c r="L414" s="2" t="s">
        <v>620</v>
      </c>
      <c r="M414" s="2" t="s">
        <v>620</v>
      </c>
      <c r="N414" s="2" t="s">
        <v>620</v>
      </c>
      <c r="O414" t="s">
        <v>639</v>
      </c>
      <c r="P414" t="s">
        <v>639</v>
      </c>
      <c r="Q414" t="s">
        <v>639</v>
      </c>
      <c r="R414" t="s">
        <v>639</v>
      </c>
      <c r="S414" t="s">
        <v>639</v>
      </c>
      <c r="T414" t="s">
        <v>620</v>
      </c>
      <c r="U414" t="s">
        <v>620</v>
      </c>
      <c r="V414" s="3" t="str">
        <f>IF(AND(data[[#This Row],[status]]="OK",data[[#This Row],[approach]]="evoavalla"),data[[#This Row],[asm_path]],"")</f>
        <v/>
      </c>
      <c r="W414" s="3" t="str">
        <f>IF(AND(data[[#This Row],[status]]="OK",data[[#This Row],[approach]]="atgt"),data[[#This Row],[asm_path]],"")</f>
        <v/>
      </c>
      <c r="X414" s="3" t="b">
        <f>COUNTIF(W:W,data[[#This Row],[path_ok_status_evoavalla]]) = 1</f>
        <v>0</v>
      </c>
    </row>
    <row r="415" spans="1:24" x14ac:dyDescent="0.25">
      <c r="A415" t="s">
        <v>1037</v>
      </c>
      <c r="B415" t="s">
        <v>1038</v>
      </c>
      <c r="C415" t="s">
        <v>635</v>
      </c>
      <c r="D415" t="s">
        <v>635</v>
      </c>
      <c r="E415" t="s">
        <v>635</v>
      </c>
      <c r="F415" t="s">
        <v>682</v>
      </c>
      <c r="G415" t="s">
        <v>683</v>
      </c>
      <c r="H415" t="s">
        <v>1545</v>
      </c>
      <c r="I415" t="s">
        <v>638</v>
      </c>
      <c r="J415" t="s">
        <v>632</v>
      </c>
      <c r="K415" s="2" t="s">
        <v>620</v>
      </c>
      <c r="L415" s="2" t="s">
        <v>620</v>
      </c>
      <c r="M415" s="2" t="s">
        <v>620</v>
      </c>
      <c r="N415" s="2" t="s">
        <v>620</v>
      </c>
      <c r="O415" t="s">
        <v>639</v>
      </c>
      <c r="P415" t="s">
        <v>639</v>
      </c>
      <c r="Q415" t="s">
        <v>639</v>
      </c>
      <c r="R415" t="s">
        <v>639</v>
      </c>
      <c r="S415" t="s">
        <v>639</v>
      </c>
      <c r="T415" t="s">
        <v>620</v>
      </c>
      <c r="U415" t="s">
        <v>620</v>
      </c>
      <c r="V415" s="3" t="str">
        <f>IF(AND(data[[#This Row],[status]]="OK",data[[#This Row],[approach]]="evoavalla"),data[[#This Row],[asm_path]],"")</f>
        <v/>
      </c>
      <c r="W415" s="3" t="str">
        <f>IF(AND(data[[#This Row],[status]]="OK",data[[#This Row],[approach]]="atgt"),data[[#This Row],[asm_path]],"")</f>
        <v/>
      </c>
      <c r="X415" s="3" t="b">
        <f>COUNTIF(W:W,data[[#This Row],[path_ok_status_evoavalla]]) = 1</f>
        <v>0</v>
      </c>
    </row>
    <row r="416" spans="1:24" x14ac:dyDescent="0.25">
      <c r="A416" t="s">
        <v>1039</v>
      </c>
      <c r="B416" t="s">
        <v>1040</v>
      </c>
      <c r="C416" t="s">
        <v>636</v>
      </c>
      <c r="D416" t="s">
        <v>664</v>
      </c>
      <c r="E416" t="s">
        <v>620</v>
      </c>
      <c r="F416" t="s">
        <v>636</v>
      </c>
      <c r="G416" t="s">
        <v>628</v>
      </c>
      <c r="H416" t="s">
        <v>1545</v>
      </c>
      <c r="I416" t="s">
        <v>638</v>
      </c>
      <c r="J416" t="s">
        <v>632</v>
      </c>
      <c r="K416" s="2" t="s">
        <v>620</v>
      </c>
      <c r="L416" s="2" t="s">
        <v>620</v>
      </c>
      <c r="M416" s="2" t="s">
        <v>620</v>
      </c>
      <c r="N416" s="2" t="s">
        <v>620</v>
      </c>
      <c r="O416" t="s">
        <v>639</v>
      </c>
      <c r="P416" t="s">
        <v>639</v>
      </c>
      <c r="Q416" t="s">
        <v>639</v>
      </c>
      <c r="R416" t="s">
        <v>639</v>
      </c>
      <c r="S416" t="s">
        <v>639</v>
      </c>
      <c r="T416" t="s">
        <v>620</v>
      </c>
      <c r="U416" t="s">
        <v>620</v>
      </c>
      <c r="V416" s="3" t="str">
        <f>IF(AND(data[[#This Row],[status]]="OK",data[[#This Row],[approach]]="evoavalla"),data[[#This Row],[asm_path]],"")</f>
        <v/>
      </c>
      <c r="W416" s="3" t="str">
        <f>IF(AND(data[[#This Row],[status]]="OK",data[[#This Row],[approach]]="atgt"),data[[#This Row],[asm_path]],"")</f>
        <v/>
      </c>
      <c r="X416" s="3" t="b">
        <f>COUNTIF(W:W,data[[#This Row],[path_ok_status_evoavalla]]) = 1</f>
        <v>0</v>
      </c>
    </row>
    <row r="417" spans="1:24" x14ac:dyDescent="0.25">
      <c r="A417" t="s">
        <v>1041</v>
      </c>
      <c r="B417" t="s">
        <v>1042</v>
      </c>
      <c r="C417" t="s">
        <v>716</v>
      </c>
      <c r="D417" t="s">
        <v>626</v>
      </c>
      <c r="E417" t="s">
        <v>620</v>
      </c>
      <c r="F417" t="s">
        <v>716</v>
      </c>
      <c r="G417" t="s">
        <v>717</v>
      </c>
      <c r="H417" t="s">
        <v>1545</v>
      </c>
      <c r="I417" t="s">
        <v>638</v>
      </c>
      <c r="J417" t="s">
        <v>632</v>
      </c>
      <c r="K417" s="2" t="s">
        <v>620</v>
      </c>
      <c r="L417" s="2" t="s">
        <v>620</v>
      </c>
      <c r="M417" s="2" t="s">
        <v>620</v>
      </c>
      <c r="N417" s="2" t="s">
        <v>620</v>
      </c>
      <c r="O417" t="s">
        <v>639</v>
      </c>
      <c r="P417" t="s">
        <v>639</v>
      </c>
      <c r="Q417" t="s">
        <v>639</v>
      </c>
      <c r="R417" t="s">
        <v>639</v>
      </c>
      <c r="S417" t="s">
        <v>639</v>
      </c>
      <c r="T417" t="s">
        <v>620</v>
      </c>
      <c r="U417" t="s">
        <v>620</v>
      </c>
      <c r="V417" s="3" t="str">
        <f>IF(AND(data[[#This Row],[status]]="OK",data[[#This Row],[approach]]="evoavalla"),data[[#This Row],[asm_path]],"")</f>
        <v/>
      </c>
      <c r="W417" s="3" t="str">
        <f>IF(AND(data[[#This Row],[status]]="OK",data[[#This Row],[approach]]="atgt"),data[[#This Row],[asm_path]],"")</f>
        <v/>
      </c>
      <c r="X417" s="3" t="b">
        <f>COUNTIF(W:W,data[[#This Row],[path_ok_status_evoavalla]]) = 1</f>
        <v>0</v>
      </c>
    </row>
    <row r="418" spans="1:24" x14ac:dyDescent="0.25">
      <c r="A418" t="s">
        <v>1044</v>
      </c>
      <c r="B418" t="s">
        <v>892</v>
      </c>
      <c r="C418" t="s">
        <v>636</v>
      </c>
      <c r="D418" t="s">
        <v>620</v>
      </c>
      <c r="E418" t="s">
        <v>620</v>
      </c>
      <c r="F418" t="s">
        <v>620</v>
      </c>
      <c r="G418" t="s">
        <v>636</v>
      </c>
      <c r="H418" t="s">
        <v>1545</v>
      </c>
      <c r="I418" t="s">
        <v>638</v>
      </c>
      <c r="J418" t="s">
        <v>632</v>
      </c>
      <c r="K418" s="2" t="s">
        <v>620</v>
      </c>
      <c r="L418" s="2" t="s">
        <v>620</v>
      </c>
      <c r="M418" s="2" t="s">
        <v>620</v>
      </c>
      <c r="N418" s="2" t="s">
        <v>620</v>
      </c>
      <c r="O418" t="s">
        <v>639</v>
      </c>
      <c r="P418" t="s">
        <v>639</v>
      </c>
      <c r="Q418" t="s">
        <v>639</v>
      </c>
      <c r="R418" t="s">
        <v>639</v>
      </c>
      <c r="S418" t="s">
        <v>639</v>
      </c>
      <c r="T418" t="s">
        <v>620</v>
      </c>
      <c r="U418" t="s">
        <v>620</v>
      </c>
      <c r="V418" s="3" t="str">
        <f>IF(AND(data[[#This Row],[status]]="OK",data[[#This Row],[approach]]="evoavalla"),data[[#This Row],[asm_path]],"")</f>
        <v/>
      </c>
      <c r="W418" s="3" t="str">
        <f>IF(AND(data[[#This Row],[status]]="OK",data[[#This Row],[approach]]="atgt"),data[[#This Row],[asm_path]],"")</f>
        <v/>
      </c>
      <c r="X418" s="3" t="b">
        <f>COUNTIF(W:W,data[[#This Row],[path_ok_status_evoavalla]]) = 1</f>
        <v>0</v>
      </c>
    </row>
    <row r="419" spans="1:24" x14ac:dyDescent="0.25">
      <c r="A419" t="s">
        <v>1045</v>
      </c>
      <c r="B419" t="s">
        <v>1046</v>
      </c>
      <c r="C419" t="s">
        <v>635</v>
      </c>
      <c r="D419" t="s">
        <v>636</v>
      </c>
      <c r="E419" t="s">
        <v>636</v>
      </c>
      <c r="F419" t="s">
        <v>635</v>
      </c>
      <c r="G419" t="s">
        <v>664</v>
      </c>
      <c r="H419" t="s">
        <v>1545</v>
      </c>
      <c r="I419" t="s">
        <v>638</v>
      </c>
      <c r="J419" t="s">
        <v>632</v>
      </c>
      <c r="K419" s="2" t="s">
        <v>620</v>
      </c>
      <c r="L419" s="2" t="s">
        <v>620</v>
      </c>
      <c r="M419" s="2" t="s">
        <v>620</v>
      </c>
      <c r="N419" s="2" t="s">
        <v>620</v>
      </c>
      <c r="O419" t="s">
        <v>639</v>
      </c>
      <c r="P419" t="s">
        <v>639</v>
      </c>
      <c r="Q419" t="s">
        <v>639</v>
      </c>
      <c r="R419" t="s">
        <v>639</v>
      </c>
      <c r="S419" t="s">
        <v>639</v>
      </c>
      <c r="T419" t="s">
        <v>620</v>
      </c>
      <c r="U419" t="s">
        <v>620</v>
      </c>
      <c r="V419" s="3" t="str">
        <f>IF(AND(data[[#This Row],[status]]="OK",data[[#This Row],[approach]]="evoavalla"),data[[#This Row],[asm_path]],"")</f>
        <v/>
      </c>
      <c r="W419" s="3" t="str">
        <f>IF(AND(data[[#This Row],[status]]="OK",data[[#This Row],[approach]]="atgt"),data[[#This Row],[asm_path]],"")</f>
        <v/>
      </c>
      <c r="X419" s="3" t="b">
        <f>COUNTIF(W:W,data[[#This Row],[path_ok_status_evoavalla]]) = 1</f>
        <v>0</v>
      </c>
    </row>
    <row r="420" spans="1:24" x14ac:dyDescent="0.25">
      <c r="A420" t="s">
        <v>1047</v>
      </c>
      <c r="B420" t="s">
        <v>1048</v>
      </c>
      <c r="C420" t="s">
        <v>664</v>
      </c>
      <c r="D420" t="s">
        <v>980</v>
      </c>
      <c r="E420" t="s">
        <v>620</v>
      </c>
      <c r="F420" t="s">
        <v>637</v>
      </c>
      <c r="G420" t="s">
        <v>837</v>
      </c>
      <c r="H420" t="s">
        <v>1545</v>
      </c>
      <c r="I420" t="s">
        <v>624</v>
      </c>
      <c r="J420" t="s">
        <v>1593</v>
      </c>
      <c r="K420" s="2" t="s">
        <v>798</v>
      </c>
      <c r="L420" s="2" t="s">
        <v>1594</v>
      </c>
      <c r="M420" s="2" t="s">
        <v>1595</v>
      </c>
      <c r="N420" s="2" t="s">
        <v>1596</v>
      </c>
      <c r="O420" t="s">
        <v>630</v>
      </c>
      <c r="P420" t="s">
        <v>630</v>
      </c>
      <c r="Q420" t="s">
        <v>632</v>
      </c>
      <c r="R420" t="s">
        <v>630</v>
      </c>
      <c r="S420" t="s">
        <v>630</v>
      </c>
      <c r="T420" t="s">
        <v>620</v>
      </c>
      <c r="U420" t="s">
        <v>620</v>
      </c>
      <c r="V420" s="3" t="str">
        <f>IF(AND(data[[#This Row],[status]]="OK",data[[#This Row],[approach]]="evoavalla"),data[[#This Row],[asm_path]],"")</f>
        <v/>
      </c>
      <c r="W420" s="3" t="str">
        <f>IF(AND(data[[#This Row],[status]]="OK",data[[#This Row],[approach]]="atgt"),data[[#This Row],[asm_path]],"")</f>
        <v>../../../asm_examples/examples/landingGearSystem/LGS_SE.asm</v>
      </c>
      <c r="X420" s="3" t="b">
        <f>COUNTIF(W:W,data[[#This Row],[path_ok_status_evoavalla]]) = 1</f>
        <v>0</v>
      </c>
    </row>
    <row r="421" spans="1:24" x14ac:dyDescent="0.25">
      <c r="A421" t="s">
        <v>1052</v>
      </c>
      <c r="B421" t="s">
        <v>1053</v>
      </c>
      <c r="C421" t="s">
        <v>635</v>
      </c>
      <c r="D421" t="s">
        <v>682</v>
      </c>
      <c r="E421" t="s">
        <v>620</v>
      </c>
      <c r="F421" t="s">
        <v>682</v>
      </c>
      <c r="G421" t="s">
        <v>716</v>
      </c>
      <c r="H421" t="s">
        <v>1545</v>
      </c>
      <c r="I421" t="s">
        <v>638</v>
      </c>
      <c r="J421" t="s">
        <v>632</v>
      </c>
      <c r="K421" s="2" t="s">
        <v>620</v>
      </c>
      <c r="L421" s="2" t="s">
        <v>620</v>
      </c>
      <c r="M421" s="2" t="s">
        <v>620</v>
      </c>
      <c r="N421" s="2" t="s">
        <v>620</v>
      </c>
      <c r="O421" t="s">
        <v>639</v>
      </c>
      <c r="P421" t="s">
        <v>639</v>
      </c>
      <c r="Q421" t="s">
        <v>639</v>
      </c>
      <c r="R421" t="s">
        <v>639</v>
      </c>
      <c r="S421" t="s">
        <v>639</v>
      </c>
      <c r="T421" t="s">
        <v>620</v>
      </c>
      <c r="U421" t="s">
        <v>620</v>
      </c>
      <c r="V421" s="3" t="str">
        <f>IF(AND(data[[#This Row],[status]]="OK",data[[#This Row],[approach]]="evoavalla"),data[[#This Row],[asm_path]],"")</f>
        <v/>
      </c>
      <c r="W421" s="3" t="str">
        <f>IF(AND(data[[#This Row],[status]]="OK",data[[#This Row],[approach]]="atgt"),data[[#This Row],[asm_path]],"")</f>
        <v/>
      </c>
      <c r="X421" s="3" t="b">
        <f>COUNTIF(W:W,data[[#This Row],[path_ok_status_evoavalla]]) = 1</f>
        <v>0</v>
      </c>
    </row>
    <row r="422" spans="1:24" x14ac:dyDescent="0.25">
      <c r="A422" t="s">
        <v>1054</v>
      </c>
      <c r="B422" t="s">
        <v>1055</v>
      </c>
      <c r="C422" t="s">
        <v>628</v>
      </c>
      <c r="D422" t="s">
        <v>626</v>
      </c>
      <c r="E422" t="s">
        <v>620</v>
      </c>
      <c r="F422" t="s">
        <v>716</v>
      </c>
      <c r="G422" t="s">
        <v>816</v>
      </c>
      <c r="H422" t="s">
        <v>1545</v>
      </c>
      <c r="I422" t="s">
        <v>638</v>
      </c>
      <c r="J422" t="s">
        <v>632</v>
      </c>
      <c r="K422" s="2" t="s">
        <v>620</v>
      </c>
      <c r="L422" s="2" t="s">
        <v>620</v>
      </c>
      <c r="M422" s="2" t="s">
        <v>620</v>
      </c>
      <c r="N422" s="2" t="s">
        <v>620</v>
      </c>
      <c r="O422" t="s">
        <v>639</v>
      </c>
      <c r="P422" t="s">
        <v>639</v>
      </c>
      <c r="Q422" t="s">
        <v>639</v>
      </c>
      <c r="R422" t="s">
        <v>639</v>
      </c>
      <c r="S422" t="s">
        <v>639</v>
      </c>
      <c r="T422" t="s">
        <v>620</v>
      </c>
      <c r="U422" t="s">
        <v>620</v>
      </c>
      <c r="V422" s="3" t="str">
        <f>IF(AND(data[[#This Row],[status]]="OK",data[[#This Row],[approach]]="evoavalla"),data[[#This Row],[asm_path]],"")</f>
        <v/>
      </c>
      <c r="W422" s="3" t="str">
        <f>IF(AND(data[[#This Row],[status]]="OK",data[[#This Row],[approach]]="atgt"),data[[#This Row],[asm_path]],"")</f>
        <v/>
      </c>
      <c r="X422" s="3" t="b">
        <f>COUNTIF(W:W,data[[#This Row],[path_ok_status_evoavalla]]) = 1</f>
        <v>0</v>
      </c>
    </row>
    <row r="423" spans="1:24" x14ac:dyDescent="0.25">
      <c r="A423" t="s">
        <v>1057</v>
      </c>
      <c r="B423" t="s">
        <v>1058</v>
      </c>
      <c r="C423" t="s">
        <v>635</v>
      </c>
      <c r="D423" t="s">
        <v>664</v>
      </c>
      <c r="E423" t="s">
        <v>620</v>
      </c>
      <c r="F423" t="s">
        <v>636</v>
      </c>
      <c r="G423" t="s">
        <v>683</v>
      </c>
      <c r="H423" t="s">
        <v>1545</v>
      </c>
      <c r="I423" t="s">
        <v>638</v>
      </c>
      <c r="J423" t="s">
        <v>632</v>
      </c>
      <c r="K423" s="2" t="s">
        <v>620</v>
      </c>
      <c r="L423" s="2" t="s">
        <v>620</v>
      </c>
      <c r="M423" s="2" t="s">
        <v>620</v>
      </c>
      <c r="N423" s="2" t="s">
        <v>620</v>
      </c>
      <c r="O423" t="s">
        <v>639</v>
      </c>
      <c r="P423" t="s">
        <v>639</v>
      </c>
      <c r="Q423" t="s">
        <v>639</v>
      </c>
      <c r="R423" t="s">
        <v>639</v>
      </c>
      <c r="S423" t="s">
        <v>639</v>
      </c>
      <c r="T423" t="s">
        <v>620</v>
      </c>
      <c r="U423" t="s">
        <v>620</v>
      </c>
      <c r="V423" s="3" t="str">
        <f>IF(AND(data[[#This Row],[status]]="OK",data[[#This Row],[approach]]="evoavalla"),data[[#This Row],[asm_path]],"")</f>
        <v/>
      </c>
      <c r="W423" s="3" t="str">
        <f>IF(AND(data[[#This Row],[status]]="OK",data[[#This Row],[approach]]="atgt"),data[[#This Row],[asm_path]],"")</f>
        <v/>
      </c>
      <c r="X423" s="3" t="b">
        <f>COUNTIF(W:W,data[[#This Row],[path_ok_status_evoavalla]]) = 1</f>
        <v>0</v>
      </c>
    </row>
    <row r="424" spans="1:24" x14ac:dyDescent="0.25">
      <c r="A424" t="s">
        <v>1059</v>
      </c>
      <c r="B424" t="s">
        <v>1060</v>
      </c>
      <c r="C424" t="s">
        <v>951</v>
      </c>
      <c r="D424" t="s">
        <v>826</v>
      </c>
      <c r="E424" t="s">
        <v>618</v>
      </c>
      <c r="F424" t="s">
        <v>952</v>
      </c>
      <c r="G424" t="s">
        <v>953</v>
      </c>
      <c r="H424" t="s">
        <v>1545</v>
      </c>
      <c r="I424" t="s">
        <v>638</v>
      </c>
      <c r="J424" t="s">
        <v>632</v>
      </c>
      <c r="K424" s="2" t="s">
        <v>620</v>
      </c>
      <c r="L424" s="2" t="s">
        <v>620</v>
      </c>
      <c r="M424" s="2" t="s">
        <v>620</v>
      </c>
      <c r="N424" s="2" t="s">
        <v>620</v>
      </c>
      <c r="O424" t="s">
        <v>639</v>
      </c>
      <c r="P424" t="s">
        <v>639</v>
      </c>
      <c r="Q424" t="s">
        <v>639</v>
      </c>
      <c r="R424" t="s">
        <v>639</v>
      </c>
      <c r="S424" t="s">
        <v>639</v>
      </c>
      <c r="T424" t="s">
        <v>620</v>
      </c>
      <c r="U424" t="s">
        <v>620</v>
      </c>
      <c r="V424" s="3" t="str">
        <f>IF(AND(data[[#This Row],[status]]="OK",data[[#This Row],[approach]]="evoavalla"),data[[#This Row],[asm_path]],"")</f>
        <v/>
      </c>
      <c r="W424" s="3" t="str">
        <f>IF(AND(data[[#This Row],[status]]="OK",data[[#This Row],[approach]]="atgt"),data[[#This Row],[asm_path]],"")</f>
        <v/>
      </c>
      <c r="X424" s="3" t="b">
        <f>COUNTIF(W:W,data[[#This Row],[path_ok_status_evoavalla]]) = 1</f>
        <v>0</v>
      </c>
    </row>
    <row r="425" spans="1:24" x14ac:dyDescent="0.25">
      <c r="A425" t="s">
        <v>1061</v>
      </c>
      <c r="B425" t="s">
        <v>1062</v>
      </c>
      <c r="C425" t="s">
        <v>637</v>
      </c>
      <c r="D425" t="s">
        <v>717</v>
      </c>
      <c r="E425" t="s">
        <v>620</v>
      </c>
      <c r="F425" t="s">
        <v>798</v>
      </c>
      <c r="G425" t="s">
        <v>799</v>
      </c>
      <c r="H425" t="s">
        <v>1545</v>
      </c>
      <c r="I425" t="s">
        <v>624</v>
      </c>
      <c r="J425" t="s">
        <v>1597</v>
      </c>
      <c r="K425" s="2" t="s">
        <v>690</v>
      </c>
      <c r="L425" s="2" t="s">
        <v>951</v>
      </c>
      <c r="M425" s="2" t="s">
        <v>691</v>
      </c>
      <c r="N425" s="2" t="s">
        <v>1598</v>
      </c>
      <c r="O425" t="s">
        <v>630</v>
      </c>
      <c r="P425" t="s">
        <v>630</v>
      </c>
      <c r="Q425" t="s">
        <v>632</v>
      </c>
      <c r="R425" t="s">
        <v>1599</v>
      </c>
      <c r="S425" t="s">
        <v>630</v>
      </c>
      <c r="T425" t="s">
        <v>620</v>
      </c>
      <c r="U425" t="s">
        <v>620</v>
      </c>
      <c r="V425" s="3" t="str">
        <f>IF(AND(data[[#This Row],[status]]="OK",data[[#This Row],[approach]]="evoavalla"),data[[#This Row],[asm_path]],"")</f>
        <v/>
      </c>
      <c r="W425" s="3" t="str">
        <f>IF(AND(data[[#This Row],[status]]="OK",data[[#This Row],[approach]]="atgt"),data[[#This Row],[asm_path]],"")</f>
        <v>../../../asm_examples/PillBox/Level1/pillbox_1_for_RefProv.asm</v>
      </c>
      <c r="X425" s="3" t="b">
        <f>COUNTIF(W:W,data[[#This Row],[path_ok_status_evoavalla]]) = 1</f>
        <v>0</v>
      </c>
    </row>
    <row r="426" spans="1:24" x14ac:dyDescent="0.25">
      <c r="A426" t="s">
        <v>1063</v>
      </c>
      <c r="B426" t="s">
        <v>1064</v>
      </c>
      <c r="C426" t="s">
        <v>1065</v>
      </c>
      <c r="D426" t="s">
        <v>1066</v>
      </c>
      <c r="E426" t="s">
        <v>620</v>
      </c>
      <c r="F426" t="s">
        <v>952</v>
      </c>
      <c r="G426" t="s">
        <v>1067</v>
      </c>
      <c r="H426" t="s">
        <v>1545</v>
      </c>
      <c r="I426" t="s">
        <v>624</v>
      </c>
      <c r="J426" t="s">
        <v>1600</v>
      </c>
      <c r="K426" s="2" t="s">
        <v>842</v>
      </c>
      <c r="L426" s="2" t="s">
        <v>1601</v>
      </c>
      <c r="M426" s="2" t="s">
        <v>1601</v>
      </c>
      <c r="N426" s="2" t="s">
        <v>1602</v>
      </c>
      <c r="O426" t="s">
        <v>630</v>
      </c>
      <c r="P426" t="s">
        <v>1603</v>
      </c>
      <c r="Q426" t="s">
        <v>632</v>
      </c>
      <c r="R426" t="s">
        <v>1604</v>
      </c>
      <c r="S426" t="s">
        <v>630</v>
      </c>
      <c r="T426" t="s">
        <v>620</v>
      </c>
      <c r="U426" t="s">
        <v>620</v>
      </c>
      <c r="V426" s="3" t="str">
        <f>IF(AND(data[[#This Row],[status]]="OK",data[[#This Row],[approach]]="evoavalla"),data[[#This Row],[asm_path]],"")</f>
        <v/>
      </c>
      <c r="W426" s="3" t="str">
        <f>IF(AND(data[[#This Row],[status]]="OK",data[[#This Row],[approach]]="atgt"),data[[#This Row],[asm_path]],"")</f>
        <v>../../../asm_examples/PHD/phd_master_flat2_v2.asm</v>
      </c>
      <c r="X426" s="3" t="b">
        <f>COUNTIF(W:W,data[[#This Row],[path_ok_status_evoavalla]]) = 1</f>
        <v>0</v>
      </c>
    </row>
    <row r="427" spans="1:24" x14ac:dyDescent="0.25">
      <c r="A427" t="s">
        <v>1074</v>
      </c>
      <c r="B427" t="s">
        <v>1075</v>
      </c>
      <c r="C427" t="s">
        <v>690</v>
      </c>
      <c r="D427" t="s">
        <v>1076</v>
      </c>
      <c r="E427" t="s">
        <v>627</v>
      </c>
      <c r="F427" t="s">
        <v>697</v>
      </c>
      <c r="G427" t="s">
        <v>1077</v>
      </c>
      <c r="H427" t="s">
        <v>1545</v>
      </c>
      <c r="I427" t="s">
        <v>638</v>
      </c>
      <c r="J427" t="s">
        <v>632</v>
      </c>
      <c r="K427" s="2" t="s">
        <v>620</v>
      </c>
      <c r="L427" s="2" t="s">
        <v>620</v>
      </c>
      <c r="M427" s="2" t="s">
        <v>620</v>
      </c>
      <c r="N427" s="2" t="s">
        <v>620</v>
      </c>
      <c r="O427" t="s">
        <v>639</v>
      </c>
      <c r="P427" t="s">
        <v>639</v>
      </c>
      <c r="Q427" t="s">
        <v>639</v>
      </c>
      <c r="R427" t="s">
        <v>639</v>
      </c>
      <c r="S427" t="s">
        <v>639</v>
      </c>
      <c r="T427" t="s">
        <v>620</v>
      </c>
      <c r="U427" t="s">
        <v>620</v>
      </c>
      <c r="V427" s="3" t="str">
        <f>IF(AND(data[[#This Row],[status]]="OK",data[[#This Row],[approach]]="evoavalla"),data[[#This Row],[asm_path]],"")</f>
        <v/>
      </c>
      <c r="W427" s="3" t="str">
        <f>IF(AND(data[[#This Row],[status]]="OK",data[[#This Row],[approach]]="atgt"),data[[#This Row],[asm_path]],"")</f>
        <v/>
      </c>
      <c r="X427" s="3" t="b">
        <f>COUNTIF(W:W,data[[#This Row],[path_ok_status_evoavalla]]) = 1</f>
        <v>0</v>
      </c>
    </row>
    <row r="428" spans="1:24" x14ac:dyDescent="0.25">
      <c r="A428" t="s">
        <v>1078</v>
      </c>
      <c r="B428" t="s">
        <v>1079</v>
      </c>
      <c r="C428" t="s">
        <v>635</v>
      </c>
      <c r="D428" t="s">
        <v>682</v>
      </c>
      <c r="E428" t="s">
        <v>620</v>
      </c>
      <c r="F428" t="s">
        <v>682</v>
      </c>
      <c r="G428" t="s">
        <v>637</v>
      </c>
      <c r="H428" t="s">
        <v>1545</v>
      </c>
      <c r="I428" t="s">
        <v>624</v>
      </c>
      <c r="J428" t="s">
        <v>1605</v>
      </c>
      <c r="K428" s="2" t="s">
        <v>636</v>
      </c>
      <c r="L428" s="2" t="s">
        <v>761</v>
      </c>
      <c r="M428" s="2" t="s">
        <v>761</v>
      </c>
      <c r="N428" s="2" t="s">
        <v>627</v>
      </c>
      <c r="O428" t="s">
        <v>630</v>
      </c>
      <c r="P428" t="s">
        <v>630</v>
      </c>
      <c r="Q428" t="s">
        <v>632</v>
      </c>
      <c r="R428" t="s">
        <v>630</v>
      </c>
      <c r="S428" t="s">
        <v>630</v>
      </c>
      <c r="T428" t="s">
        <v>620</v>
      </c>
      <c r="U428" t="s">
        <v>620</v>
      </c>
      <c r="V428" s="3" t="str">
        <f>IF(AND(data[[#This Row],[status]]="OK",data[[#This Row],[approach]]="evoavalla"),data[[#This Row],[asm_path]],"")</f>
        <v/>
      </c>
      <c r="W428" s="3" t="str">
        <f>IF(AND(data[[#This Row],[status]]="OK",data[[#This Row],[approach]]="atgt"),data[[#This Row],[asm_path]],"")</f>
        <v>../../../asm_examples/examples/simple_example/AdvancedClock2.asm</v>
      </c>
      <c r="X428" s="3" t="b">
        <f>COUNTIF(W:W,data[[#This Row],[path_ok_status_evoavalla]]) = 1</f>
        <v>0</v>
      </c>
    </row>
    <row r="429" spans="1:24" x14ac:dyDescent="0.25">
      <c r="A429" t="s">
        <v>1082</v>
      </c>
      <c r="B429" t="s">
        <v>1083</v>
      </c>
      <c r="C429" t="s">
        <v>675</v>
      </c>
      <c r="D429" t="s">
        <v>808</v>
      </c>
      <c r="E429" t="s">
        <v>620</v>
      </c>
      <c r="F429" t="s">
        <v>816</v>
      </c>
      <c r="G429" t="s">
        <v>1084</v>
      </c>
      <c r="H429" t="s">
        <v>1545</v>
      </c>
      <c r="I429" t="s">
        <v>638</v>
      </c>
      <c r="J429" t="s">
        <v>632</v>
      </c>
      <c r="K429" s="2" t="s">
        <v>620</v>
      </c>
      <c r="L429" s="2" t="s">
        <v>620</v>
      </c>
      <c r="M429" s="2" t="s">
        <v>620</v>
      </c>
      <c r="N429" s="2" t="s">
        <v>620</v>
      </c>
      <c r="O429" t="s">
        <v>639</v>
      </c>
      <c r="P429" t="s">
        <v>639</v>
      </c>
      <c r="Q429" t="s">
        <v>639</v>
      </c>
      <c r="R429" t="s">
        <v>639</v>
      </c>
      <c r="S429" t="s">
        <v>639</v>
      </c>
      <c r="T429" t="s">
        <v>620</v>
      </c>
      <c r="U429" t="s">
        <v>620</v>
      </c>
      <c r="V429" s="3" t="str">
        <f>IF(AND(data[[#This Row],[status]]="OK",data[[#This Row],[approach]]="evoavalla"),data[[#This Row],[asm_path]],"")</f>
        <v/>
      </c>
      <c r="W429" s="3" t="str">
        <f>IF(AND(data[[#This Row],[status]]="OK",data[[#This Row],[approach]]="atgt"),data[[#This Row],[asm_path]],"")</f>
        <v/>
      </c>
      <c r="X429" s="3" t="b">
        <f>COUNTIF(W:W,data[[#This Row],[path_ok_status_evoavalla]]) = 1</f>
        <v>0</v>
      </c>
    </row>
    <row r="430" spans="1:24" x14ac:dyDescent="0.25">
      <c r="A430" t="s">
        <v>1085</v>
      </c>
      <c r="B430" t="s">
        <v>1086</v>
      </c>
      <c r="C430" t="s">
        <v>635</v>
      </c>
      <c r="D430" t="s">
        <v>635</v>
      </c>
      <c r="E430" t="s">
        <v>636</v>
      </c>
      <c r="F430" t="s">
        <v>637</v>
      </c>
      <c r="G430" t="s">
        <v>740</v>
      </c>
      <c r="H430" t="s">
        <v>1545</v>
      </c>
      <c r="I430" t="s">
        <v>638</v>
      </c>
      <c r="J430" t="s">
        <v>632</v>
      </c>
      <c r="K430" s="2" t="s">
        <v>620</v>
      </c>
      <c r="L430" s="2" t="s">
        <v>620</v>
      </c>
      <c r="M430" s="2" t="s">
        <v>620</v>
      </c>
      <c r="N430" s="2" t="s">
        <v>620</v>
      </c>
      <c r="O430" t="s">
        <v>639</v>
      </c>
      <c r="P430" t="s">
        <v>639</v>
      </c>
      <c r="Q430" t="s">
        <v>639</v>
      </c>
      <c r="R430" t="s">
        <v>639</v>
      </c>
      <c r="S430" t="s">
        <v>639</v>
      </c>
      <c r="T430" t="s">
        <v>620</v>
      </c>
      <c r="U430" t="s">
        <v>620</v>
      </c>
      <c r="V430" s="3" t="str">
        <f>IF(AND(data[[#This Row],[status]]="OK",data[[#This Row],[approach]]="evoavalla"),data[[#This Row],[asm_path]],"")</f>
        <v/>
      </c>
      <c r="W430" s="3" t="str">
        <f>IF(AND(data[[#This Row],[status]]="OK",data[[#This Row],[approach]]="atgt"),data[[#This Row],[asm_path]],"")</f>
        <v/>
      </c>
      <c r="X430" s="3" t="b">
        <f>COUNTIF(W:W,data[[#This Row],[path_ok_status_evoavalla]]) = 1</f>
        <v>0</v>
      </c>
    </row>
    <row r="431" spans="1:24" x14ac:dyDescent="0.25">
      <c r="A431" t="s">
        <v>1087</v>
      </c>
      <c r="B431" t="s">
        <v>1088</v>
      </c>
      <c r="C431" t="s">
        <v>682</v>
      </c>
      <c r="D431" t="s">
        <v>635</v>
      </c>
      <c r="E431" t="s">
        <v>620</v>
      </c>
      <c r="F431" t="s">
        <v>636</v>
      </c>
      <c r="G431" t="s">
        <v>683</v>
      </c>
      <c r="H431" t="s">
        <v>1545</v>
      </c>
      <c r="I431" t="s">
        <v>638</v>
      </c>
      <c r="J431" t="s">
        <v>632</v>
      </c>
      <c r="K431" s="2" t="s">
        <v>620</v>
      </c>
      <c r="L431" s="2" t="s">
        <v>620</v>
      </c>
      <c r="M431" s="2" t="s">
        <v>620</v>
      </c>
      <c r="N431" s="2" t="s">
        <v>620</v>
      </c>
      <c r="O431" t="s">
        <v>639</v>
      </c>
      <c r="P431" t="s">
        <v>639</v>
      </c>
      <c r="Q431" t="s">
        <v>639</v>
      </c>
      <c r="R431" t="s">
        <v>639</v>
      </c>
      <c r="S431" t="s">
        <v>639</v>
      </c>
      <c r="T431" t="s">
        <v>620</v>
      </c>
      <c r="U431" t="s">
        <v>620</v>
      </c>
      <c r="V431" s="3" t="str">
        <f>IF(AND(data[[#This Row],[status]]="OK",data[[#This Row],[approach]]="evoavalla"),data[[#This Row],[asm_path]],"")</f>
        <v/>
      </c>
      <c r="W431" s="3" t="str">
        <f>IF(AND(data[[#This Row],[status]]="OK",data[[#This Row],[approach]]="atgt"),data[[#This Row],[asm_path]],"")</f>
        <v/>
      </c>
      <c r="X431" s="3" t="b">
        <f>COUNTIF(W:W,data[[#This Row],[path_ok_status_evoavalla]]) = 1</f>
        <v>0</v>
      </c>
    </row>
    <row r="432" spans="1:24" x14ac:dyDescent="0.25">
      <c r="A432" t="s">
        <v>1089</v>
      </c>
      <c r="B432" t="s">
        <v>1090</v>
      </c>
      <c r="C432" t="s">
        <v>710</v>
      </c>
      <c r="D432" t="s">
        <v>690</v>
      </c>
      <c r="E432" t="s">
        <v>620</v>
      </c>
      <c r="F432" t="s">
        <v>637</v>
      </c>
      <c r="G432" t="s">
        <v>951</v>
      </c>
      <c r="H432" t="s">
        <v>1545</v>
      </c>
      <c r="I432" t="s">
        <v>624</v>
      </c>
      <c r="J432" t="s">
        <v>1578</v>
      </c>
      <c r="K432" s="2" t="s">
        <v>626</v>
      </c>
      <c r="L432" s="2" t="s">
        <v>798</v>
      </c>
      <c r="M432" s="2" t="s">
        <v>618</v>
      </c>
      <c r="N432" s="2" t="s">
        <v>1606</v>
      </c>
      <c r="O432" t="s">
        <v>630</v>
      </c>
      <c r="P432" t="s">
        <v>854</v>
      </c>
      <c r="Q432" t="s">
        <v>632</v>
      </c>
      <c r="R432" t="s">
        <v>1547</v>
      </c>
      <c r="S432" t="s">
        <v>1607</v>
      </c>
      <c r="T432" t="s">
        <v>620</v>
      </c>
      <c r="U432" t="s">
        <v>620</v>
      </c>
      <c r="V432" s="3" t="str">
        <f>IF(AND(data[[#This Row],[status]]="OK",data[[#This Row],[approach]]="evoavalla"),data[[#This Row],[asm_path]],"")</f>
        <v/>
      </c>
      <c r="W432" s="3" t="str">
        <f>IF(AND(data[[#This Row],[status]]="OK",data[[#This Row],[approach]]="atgt"),data[[#This Row],[asm_path]],"")</f>
        <v>../../../asm_examples/stereoacuity/certifierRaff1.asm</v>
      </c>
      <c r="X432" s="3" t="b">
        <f>COUNTIF(W:W,data[[#This Row],[path_ok_status_evoavalla]]) = 1</f>
        <v>0</v>
      </c>
    </row>
    <row r="433" spans="1:24" x14ac:dyDescent="0.25">
      <c r="A433" t="s">
        <v>1094</v>
      </c>
      <c r="B433" t="s">
        <v>1095</v>
      </c>
      <c r="C433" t="s">
        <v>635</v>
      </c>
      <c r="D433" t="s">
        <v>636</v>
      </c>
      <c r="E433" t="s">
        <v>636</v>
      </c>
      <c r="F433" t="s">
        <v>635</v>
      </c>
      <c r="G433" t="s">
        <v>664</v>
      </c>
      <c r="H433" t="s">
        <v>1545</v>
      </c>
      <c r="I433" t="s">
        <v>638</v>
      </c>
      <c r="J433" t="s">
        <v>632</v>
      </c>
      <c r="K433" s="2" t="s">
        <v>620</v>
      </c>
      <c r="L433" s="2" t="s">
        <v>620</v>
      </c>
      <c r="M433" s="2" t="s">
        <v>620</v>
      </c>
      <c r="N433" s="2" t="s">
        <v>620</v>
      </c>
      <c r="O433" t="s">
        <v>639</v>
      </c>
      <c r="P433" t="s">
        <v>639</v>
      </c>
      <c r="Q433" t="s">
        <v>639</v>
      </c>
      <c r="R433" t="s">
        <v>639</v>
      </c>
      <c r="S433" t="s">
        <v>639</v>
      </c>
      <c r="T433" t="s">
        <v>620</v>
      </c>
      <c r="U433" t="s">
        <v>620</v>
      </c>
      <c r="V433" s="3" t="str">
        <f>IF(AND(data[[#This Row],[status]]="OK",data[[#This Row],[approach]]="evoavalla"),data[[#This Row],[asm_path]],"")</f>
        <v/>
      </c>
      <c r="W433" s="3" t="str">
        <f>IF(AND(data[[#This Row],[status]]="OK",data[[#This Row],[approach]]="atgt"),data[[#This Row],[asm_path]],"")</f>
        <v/>
      </c>
      <c r="X433" s="3" t="b">
        <f>COUNTIF(W:W,data[[#This Row],[path_ok_status_evoavalla]]) = 1</f>
        <v>0</v>
      </c>
    </row>
    <row r="434" spans="1:24" x14ac:dyDescent="0.25">
      <c r="A434" t="s">
        <v>1096</v>
      </c>
      <c r="B434" t="s">
        <v>1097</v>
      </c>
      <c r="C434" t="s">
        <v>1098</v>
      </c>
      <c r="D434" t="s">
        <v>1099</v>
      </c>
      <c r="E434" t="s">
        <v>636</v>
      </c>
      <c r="F434" t="s">
        <v>913</v>
      </c>
      <c r="G434" t="s">
        <v>1100</v>
      </c>
      <c r="H434" t="s">
        <v>1545</v>
      </c>
      <c r="I434" t="s">
        <v>638</v>
      </c>
      <c r="J434" t="s">
        <v>632</v>
      </c>
      <c r="K434" s="2" t="s">
        <v>620</v>
      </c>
      <c r="L434" s="2" t="s">
        <v>620</v>
      </c>
      <c r="M434" s="2" t="s">
        <v>620</v>
      </c>
      <c r="N434" s="2" t="s">
        <v>620</v>
      </c>
      <c r="O434" t="s">
        <v>639</v>
      </c>
      <c r="P434" t="s">
        <v>639</v>
      </c>
      <c r="Q434" t="s">
        <v>639</v>
      </c>
      <c r="R434" t="s">
        <v>639</v>
      </c>
      <c r="S434" t="s">
        <v>639</v>
      </c>
      <c r="T434" t="s">
        <v>620</v>
      </c>
      <c r="U434" t="s">
        <v>620</v>
      </c>
      <c r="V434" s="3" t="str">
        <f>IF(AND(data[[#This Row],[status]]="OK",data[[#This Row],[approach]]="evoavalla"),data[[#This Row],[asm_path]],"")</f>
        <v/>
      </c>
      <c r="W434" s="3" t="str">
        <f>IF(AND(data[[#This Row],[status]]="OK",data[[#This Row],[approach]]="atgt"),data[[#This Row],[asm_path]],"")</f>
        <v/>
      </c>
      <c r="X434" s="3" t="b">
        <f>COUNTIF(W:W,data[[#This Row],[path_ok_status_evoavalla]]) = 1</f>
        <v>0</v>
      </c>
    </row>
    <row r="435" spans="1:24" x14ac:dyDescent="0.25">
      <c r="A435" t="s">
        <v>1102</v>
      </c>
      <c r="B435" t="s">
        <v>979</v>
      </c>
      <c r="C435" t="s">
        <v>626</v>
      </c>
      <c r="D435" t="s">
        <v>664</v>
      </c>
      <c r="E435" t="s">
        <v>620</v>
      </c>
      <c r="F435" t="s">
        <v>664</v>
      </c>
      <c r="G435" t="s">
        <v>710</v>
      </c>
      <c r="H435" t="s">
        <v>1545</v>
      </c>
      <c r="I435" t="s">
        <v>624</v>
      </c>
      <c r="J435" t="s">
        <v>1608</v>
      </c>
      <c r="K435" s="2" t="s">
        <v>626</v>
      </c>
      <c r="L435" s="2" t="s">
        <v>798</v>
      </c>
      <c r="M435" s="2" t="s">
        <v>980</v>
      </c>
      <c r="N435" s="2" t="s">
        <v>690</v>
      </c>
      <c r="O435" t="s">
        <v>630</v>
      </c>
      <c r="P435" t="s">
        <v>630</v>
      </c>
      <c r="Q435" t="s">
        <v>632</v>
      </c>
      <c r="R435" t="s">
        <v>630</v>
      </c>
      <c r="S435" t="s">
        <v>630</v>
      </c>
      <c r="T435" t="s">
        <v>620</v>
      </c>
      <c r="U435" t="s">
        <v>620</v>
      </c>
      <c r="V435" s="3" t="str">
        <f>IF(AND(data[[#This Row],[status]]="OK",data[[#This Row],[approach]]="evoavalla"),data[[#This Row],[asm_path]],"")</f>
        <v/>
      </c>
      <c r="W435" s="3" t="str">
        <f>IF(AND(data[[#This Row],[status]]="OK",data[[#This Row],[approach]]="atgt"),data[[#This Row],[asm_path]],"")</f>
        <v>../../../asm_examples/examples/traffic_light/Timer/oneWayTrafficLight.asm</v>
      </c>
      <c r="X435" s="3" t="b">
        <f>COUNTIF(W:W,data[[#This Row],[path_ok_status_evoavalla]]) = 1</f>
        <v>0</v>
      </c>
    </row>
    <row r="436" spans="1:24" x14ac:dyDescent="0.25">
      <c r="A436" t="s">
        <v>1103</v>
      </c>
      <c r="B436" t="s">
        <v>1104</v>
      </c>
      <c r="C436" t="s">
        <v>635</v>
      </c>
      <c r="D436" t="s">
        <v>635</v>
      </c>
      <c r="E436" t="s">
        <v>635</v>
      </c>
      <c r="F436" t="s">
        <v>682</v>
      </c>
      <c r="G436" t="s">
        <v>683</v>
      </c>
      <c r="H436" t="s">
        <v>1545</v>
      </c>
      <c r="I436" t="s">
        <v>638</v>
      </c>
      <c r="J436" t="s">
        <v>632</v>
      </c>
      <c r="K436" s="2" t="s">
        <v>620</v>
      </c>
      <c r="L436" s="2" t="s">
        <v>620</v>
      </c>
      <c r="M436" s="2" t="s">
        <v>620</v>
      </c>
      <c r="N436" s="2" t="s">
        <v>620</v>
      </c>
      <c r="O436" t="s">
        <v>639</v>
      </c>
      <c r="P436" t="s">
        <v>639</v>
      </c>
      <c r="Q436" t="s">
        <v>639</v>
      </c>
      <c r="R436" t="s">
        <v>639</v>
      </c>
      <c r="S436" t="s">
        <v>639</v>
      </c>
      <c r="T436" t="s">
        <v>620</v>
      </c>
      <c r="U436" t="s">
        <v>620</v>
      </c>
      <c r="V436" s="3" t="str">
        <f>IF(AND(data[[#This Row],[status]]="OK",data[[#This Row],[approach]]="evoavalla"),data[[#This Row],[asm_path]],"")</f>
        <v/>
      </c>
      <c r="W436" s="3" t="str">
        <f>IF(AND(data[[#This Row],[status]]="OK",data[[#This Row],[approach]]="atgt"),data[[#This Row],[asm_path]],"")</f>
        <v/>
      </c>
      <c r="X436" s="3" t="b">
        <f>COUNTIF(W:W,data[[#This Row],[path_ok_status_evoavalla]]) = 1</f>
        <v>0</v>
      </c>
    </row>
    <row r="437" spans="1:24" x14ac:dyDescent="0.25">
      <c r="A437" t="s">
        <v>1105</v>
      </c>
      <c r="B437" t="s">
        <v>1106</v>
      </c>
      <c r="C437" t="s">
        <v>683</v>
      </c>
      <c r="D437" t="s">
        <v>798</v>
      </c>
      <c r="E437" t="s">
        <v>636</v>
      </c>
      <c r="F437" t="s">
        <v>621</v>
      </c>
      <c r="G437" t="s">
        <v>951</v>
      </c>
      <c r="H437" t="s">
        <v>1545</v>
      </c>
      <c r="I437" t="s">
        <v>638</v>
      </c>
      <c r="J437" t="s">
        <v>632</v>
      </c>
      <c r="K437" s="2" t="s">
        <v>620</v>
      </c>
      <c r="L437" s="2" t="s">
        <v>620</v>
      </c>
      <c r="M437" s="2" t="s">
        <v>620</v>
      </c>
      <c r="N437" s="2" t="s">
        <v>620</v>
      </c>
      <c r="O437" t="s">
        <v>639</v>
      </c>
      <c r="P437" t="s">
        <v>639</v>
      </c>
      <c r="Q437" t="s">
        <v>639</v>
      </c>
      <c r="R437" t="s">
        <v>639</v>
      </c>
      <c r="S437" t="s">
        <v>639</v>
      </c>
      <c r="T437" t="s">
        <v>620</v>
      </c>
      <c r="U437" t="s">
        <v>620</v>
      </c>
      <c r="V437" s="3" t="str">
        <f>IF(AND(data[[#This Row],[status]]="OK",data[[#This Row],[approach]]="evoavalla"),data[[#This Row],[asm_path]],"")</f>
        <v/>
      </c>
      <c r="W437" s="3" t="str">
        <f>IF(AND(data[[#This Row],[status]]="OK",data[[#This Row],[approach]]="atgt"),data[[#This Row],[asm_path]],"")</f>
        <v/>
      </c>
      <c r="X437" s="3" t="b">
        <f>COUNTIF(W:W,data[[#This Row],[path_ok_status_evoavalla]]) = 1</f>
        <v>0</v>
      </c>
    </row>
    <row r="438" spans="1:24" x14ac:dyDescent="0.25">
      <c r="A438" t="s">
        <v>1107</v>
      </c>
      <c r="B438" t="s">
        <v>892</v>
      </c>
      <c r="C438" t="s">
        <v>636</v>
      </c>
      <c r="D438" t="s">
        <v>620</v>
      </c>
      <c r="E438" t="s">
        <v>620</v>
      </c>
      <c r="F438" t="s">
        <v>620</v>
      </c>
      <c r="G438" t="s">
        <v>636</v>
      </c>
      <c r="H438" t="s">
        <v>1545</v>
      </c>
      <c r="I438" t="s">
        <v>638</v>
      </c>
      <c r="J438" t="s">
        <v>632</v>
      </c>
      <c r="K438" s="2" t="s">
        <v>620</v>
      </c>
      <c r="L438" s="2" t="s">
        <v>620</v>
      </c>
      <c r="M438" s="2" t="s">
        <v>620</v>
      </c>
      <c r="N438" s="2" t="s">
        <v>620</v>
      </c>
      <c r="O438" t="s">
        <v>639</v>
      </c>
      <c r="P438" t="s">
        <v>639</v>
      </c>
      <c r="Q438" t="s">
        <v>639</v>
      </c>
      <c r="R438" t="s">
        <v>639</v>
      </c>
      <c r="S438" t="s">
        <v>639</v>
      </c>
      <c r="T438" t="s">
        <v>620</v>
      </c>
      <c r="U438" t="s">
        <v>620</v>
      </c>
      <c r="V438" s="3" t="str">
        <f>IF(AND(data[[#This Row],[status]]="OK",data[[#This Row],[approach]]="evoavalla"),data[[#This Row],[asm_path]],"")</f>
        <v/>
      </c>
      <c r="W438" s="3" t="str">
        <f>IF(AND(data[[#This Row],[status]]="OK",data[[#This Row],[approach]]="atgt"),data[[#This Row],[asm_path]],"")</f>
        <v/>
      </c>
      <c r="X438" s="3" t="b">
        <f>COUNTIF(W:W,data[[#This Row],[path_ok_status_evoavalla]]) = 1</f>
        <v>0</v>
      </c>
    </row>
    <row r="439" spans="1:24" x14ac:dyDescent="0.25">
      <c r="A439" t="s">
        <v>1108</v>
      </c>
      <c r="B439" t="s">
        <v>1109</v>
      </c>
      <c r="C439" t="s">
        <v>683</v>
      </c>
      <c r="D439" t="s">
        <v>628</v>
      </c>
      <c r="E439" t="s">
        <v>636</v>
      </c>
      <c r="F439" t="s">
        <v>683</v>
      </c>
      <c r="G439" t="s">
        <v>745</v>
      </c>
      <c r="H439" t="s">
        <v>1545</v>
      </c>
      <c r="I439" t="s">
        <v>638</v>
      </c>
      <c r="J439" t="s">
        <v>632</v>
      </c>
      <c r="K439" s="2" t="s">
        <v>620</v>
      </c>
      <c r="L439" s="2" t="s">
        <v>620</v>
      </c>
      <c r="M439" s="2" t="s">
        <v>620</v>
      </c>
      <c r="N439" s="2" t="s">
        <v>620</v>
      </c>
      <c r="O439" t="s">
        <v>639</v>
      </c>
      <c r="P439" t="s">
        <v>639</v>
      </c>
      <c r="Q439" t="s">
        <v>639</v>
      </c>
      <c r="R439" t="s">
        <v>639</v>
      </c>
      <c r="S439" t="s">
        <v>639</v>
      </c>
      <c r="T439" t="s">
        <v>620</v>
      </c>
      <c r="U439" t="s">
        <v>620</v>
      </c>
      <c r="V439" s="3" t="str">
        <f>IF(AND(data[[#This Row],[status]]="OK",data[[#This Row],[approach]]="evoavalla"),data[[#This Row],[asm_path]],"")</f>
        <v/>
      </c>
      <c r="W439" s="3" t="str">
        <f>IF(AND(data[[#This Row],[status]]="OK",data[[#This Row],[approach]]="atgt"),data[[#This Row],[asm_path]],"")</f>
        <v/>
      </c>
      <c r="X439" s="3" t="b">
        <f>COUNTIF(W:W,data[[#This Row],[path_ok_status_evoavalla]]) = 1</f>
        <v>0</v>
      </c>
    </row>
    <row r="440" spans="1:24" x14ac:dyDescent="0.25">
      <c r="A440" t="s">
        <v>1110</v>
      </c>
      <c r="B440" t="s">
        <v>892</v>
      </c>
      <c r="C440" t="s">
        <v>636</v>
      </c>
      <c r="D440" t="s">
        <v>620</v>
      </c>
      <c r="E440" t="s">
        <v>620</v>
      </c>
      <c r="F440" t="s">
        <v>620</v>
      </c>
      <c r="G440" t="s">
        <v>636</v>
      </c>
      <c r="H440" t="s">
        <v>1545</v>
      </c>
      <c r="I440" t="s">
        <v>638</v>
      </c>
      <c r="J440" t="s">
        <v>632</v>
      </c>
      <c r="K440" s="2" t="s">
        <v>620</v>
      </c>
      <c r="L440" s="2" t="s">
        <v>620</v>
      </c>
      <c r="M440" s="2" t="s">
        <v>620</v>
      </c>
      <c r="N440" s="2" t="s">
        <v>620</v>
      </c>
      <c r="O440" t="s">
        <v>639</v>
      </c>
      <c r="P440" t="s">
        <v>639</v>
      </c>
      <c r="Q440" t="s">
        <v>639</v>
      </c>
      <c r="R440" t="s">
        <v>639</v>
      </c>
      <c r="S440" t="s">
        <v>639</v>
      </c>
      <c r="T440" t="s">
        <v>620</v>
      </c>
      <c r="U440" t="s">
        <v>620</v>
      </c>
      <c r="V440" s="3" t="str">
        <f>IF(AND(data[[#This Row],[status]]="OK",data[[#This Row],[approach]]="evoavalla"),data[[#This Row],[asm_path]],"")</f>
        <v/>
      </c>
      <c r="W440" s="3" t="str">
        <f>IF(AND(data[[#This Row],[status]]="OK",data[[#This Row],[approach]]="atgt"),data[[#This Row],[asm_path]],"")</f>
        <v/>
      </c>
      <c r="X440" s="3" t="b">
        <f>COUNTIF(W:W,data[[#This Row],[path_ok_status_evoavalla]]) = 1</f>
        <v>0</v>
      </c>
    </row>
    <row r="441" spans="1:24" x14ac:dyDescent="0.25">
      <c r="A441" t="s">
        <v>1111</v>
      </c>
      <c r="B441" t="s">
        <v>1112</v>
      </c>
      <c r="C441" t="s">
        <v>635</v>
      </c>
      <c r="D441" t="s">
        <v>635</v>
      </c>
      <c r="E441" t="s">
        <v>620</v>
      </c>
      <c r="F441" t="s">
        <v>620</v>
      </c>
      <c r="G441" t="s">
        <v>637</v>
      </c>
      <c r="H441" t="s">
        <v>1545</v>
      </c>
      <c r="I441" t="s">
        <v>638</v>
      </c>
      <c r="J441" t="s">
        <v>632</v>
      </c>
      <c r="K441" s="2" t="s">
        <v>620</v>
      </c>
      <c r="L441" s="2" t="s">
        <v>620</v>
      </c>
      <c r="M441" s="2" t="s">
        <v>620</v>
      </c>
      <c r="N441" s="2" t="s">
        <v>620</v>
      </c>
      <c r="O441" t="s">
        <v>639</v>
      </c>
      <c r="P441" t="s">
        <v>639</v>
      </c>
      <c r="Q441" t="s">
        <v>639</v>
      </c>
      <c r="R441" t="s">
        <v>639</v>
      </c>
      <c r="S441" t="s">
        <v>639</v>
      </c>
      <c r="T441" t="s">
        <v>620</v>
      </c>
      <c r="U441" t="s">
        <v>620</v>
      </c>
      <c r="V441" s="3" t="str">
        <f>IF(AND(data[[#This Row],[status]]="OK",data[[#This Row],[approach]]="evoavalla"),data[[#This Row],[asm_path]],"")</f>
        <v/>
      </c>
      <c r="W441" s="3" t="str">
        <f>IF(AND(data[[#This Row],[status]]="OK",data[[#This Row],[approach]]="atgt"),data[[#This Row],[asm_path]],"")</f>
        <v/>
      </c>
      <c r="X441" s="3" t="b">
        <f>COUNTIF(W:W,data[[#This Row],[path_ok_status_evoavalla]]) = 1</f>
        <v>0</v>
      </c>
    </row>
    <row r="442" spans="1:24" x14ac:dyDescent="0.25">
      <c r="A442" t="s">
        <v>1113</v>
      </c>
      <c r="B442" t="s">
        <v>1114</v>
      </c>
      <c r="C442" t="s">
        <v>664</v>
      </c>
      <c r="D442" t="s">
        <v>628</v>
      </c>
      <c r="E442" t="s">
        <v>636</v>
      </c>
      <c r="F442" t="s">
        <v>626</v>
      </c>
      <c r="G442" t="s">
        <v>627</v>
      </c>
      <c r="H442" t="s">
        <v>1545</v>
      </c>
      <c r="I442" t="s">
        <v>638</v>
      </c>
      <c r="J442" t="s">
        <v>632</v>
      </c>
      <c r="K442" s="2" t="s">
        <v>620</v>
      </c>
      <c r="L442" s="2" t="s">
        <v>620</v>
      </c>
      <c r="M442" s="2" t="s">
        <v>620</v>
      </c>
      <c r="N442" s="2" t="s">
        <v>620</v>
      </c>
      <c r="O442" t="s">
        <v>639</v>
      </c>
      <c r="P442" t="s">
        <v>639</v>
      </c>
      <c r="Q442" t="s">
        <v>639</v>
      </c>
      <c r="R442" t="s">
        <v>639</v>
      </c>
      <c r="S442" t="s">
        <v>639</v>
      </c>
      <c r="T442" t="s">
        <v>620</v>
      </c>
      <c r="U442" t="s">
        <v>620</v>
      </c>
      <c r="V442" s="3" t="str">
        <f>IF(AND(data[[#This Row],[status]]="OK",data[[#This Row],[approach]]="evoavalla"),data[[#This Row],[asm_path]],"")</f>
        <v/>
      </c>
      <c r="W442" s="3" t="str">
        <f>IF(AND(data[[#This Row],[status]]="OK",data[[#This Row],[approach]]="atgt"),data[[#This Row],[asm_path]],"")</f>
        <v/>
      </c>
      <c r="X442" s="3" t="b">
        <f>COUNTIF(W:W,data[[#This Row],[path_ok_status_evoavalla]]) = 1</f>
        <v>0</v>
      </c>
    </row>
    <row r="443" spans="1:24" x14ac:dyDescent="0.25">
      <c r="A443" t="s">
        <v>1115</v>
      </c>
      <c r="B443" t="s">
        <v>1116</v>
      </c>
      <c r="C443" t="s">
        <v>716</v>
      </c>
      <c r="D443" t="s">
        <v>683</v>
      </c>
      <c r="E443" t="s">
        <v>620</v>
      </c>
      <c r="F443" t="s">
        <v>628</v>
      </c>
      <c r="G443" t="s">
        <v>750</v>
      </c>
      <c r="H443" t="s">
        <v>1545</v>
      </c>
      <c r="I443" t="s">
        <v>638</v>
      </c>
      <c r="J443" t="s">
        <v>632</v>
      </c>
      <c r="K443" s="2" t="s">
        <v>620</v>
      </c>
      <c r="L443" s="2" t="s">
        <v>620</v>
      </c>
      <c r="M443" s="2" t="s">
        <v>620</v>
      </c>
      <c r="N443" s="2" t="s">
        <v>620</v>
      </c>
      <c r="O443" t="s">
        <v>639</v>
      </c>
      <c r="P443" t="s">
        <v>639</v>
      </c>
      <c r="Q443" t="s">
        <v>639</v>
      </c>
      <c r="R443" t="s">
        <v>639</v>
      </c>
      <c r="S443" t="s">
        <v>639</v>
      </c>
      <c r="T443" t="s">
        <v>620</v>
      </c>
      <c r="U443" t="s">
        <v>620</v>
      </c>
      <c r="V443" s="3" t="str">
        <f>IF(AND(data[[#This Row],[status]]="OK",data[[#This Row],[approach]]="evoavalla"),data[[#This Row],[asm_path]],"")</f>
        <v/>
      </c>
      <c r="W443" s="3" t="str">
        <f>IF(AND(data[[#This Row],[status]]="OK",data[[#This Row],[approach]]="atgt"),data[[#This Row],[asm_path]],"")</f>
        <v/>
      </c>
      <c r="X443" s="3" t="b">
        <f>COUNTIF(W:W,data[[#This Row],[path_ok_status_evoavalla]]) = 1</f>
        <v>0</v>
      </c>
    </row>
    <row r="444" spans="1:24" x14ac:dyDescent="0.25">
      <c r="A444" t="s">
        <v>1117</v>
      </c>
      <c r="B444" t="s">
        <v>1118</v>
      </c>
      <c r="C444" t="s">
        <v>716</v>
      </c>
      <c r="D444" t="s">
        <v>941</v>
      </c>
      <c r="E444" t="s">
        <v>620</v>
      </c>
      <c r="F444" t="s">
        <v>643</v>
      </c>
      <c r="G444" t="s">
        <v>746</v>
      </c>
      <c r="H444" t="s">
        <v>1545</v>
      </c>
      <c r="I444" t="s">
        <v>638</v>
      </c>
      <c r="J444" t="s">
        <v>632</v>
      </c>
      <c r="K444" s="2" t="s">
        <v>620</v>
      </c>
      <c r="L444" s="2" t="s">
        <v>620</v>
      </c>
      <c r="M444" s="2" t="s">
        <v>620</v>
      </c>
      <c r="N444" s="2" t="s">
        <v>620</v>
      </c>
      <c r="O444" t="s">
        <v>639</v>
      </c>
      <c r="P444" t="s">
        <v>639</v>
      </c>
      <c r="Q444" t="s">
        <v>639</v>
      </c>
      <c r="R444" t="s">
        <v>639</v>
      </c>
      <c r="S444" t="s">
        <v>639</v>
      </c>
      <c r="T444" t="s">
        <v>620</v>
      </c>
      <c r="U444" t="s">
        <v>620</v>
      </c>
      <c r="V444" s="3" t="str">
        <f>IF(AND(data[[#This Row],[status]]="OK",data[[#This Row],[approach]]="evoavalla"),data[[#This Row],[asm_path]],"")</f>
        <v/>
      </c>
      <c r="W444" s="3" t="str">
        <f>IF(AND(data[[#This Row],[status]]="OK",data[[#This Row],[approach]]="atgt"),data[[#This Row],[asm_path]],"")</f>
        <v/>
      </c>
      <c r="X444" s="3" t="b">
        <f>COUNTIF(W:W,data[[#This Row],[path_ok_status_evoavalla]]) = 1</f>
        <v>0</v>
      </c>
    </row>
    <row r="445" spans="1:24" x14ac:dyDescent="0.25">
      <c r="A445" t="s">
        <v>1122</v>
      </c>
      <c r="B445" t="s">
        <v>1123</v>
      </c>
      <c r="C445" t="s">
        <v>675</v>
      </c>
      <c r="D445" t="s">
        <v>717</v>
      </c>
      <c r="E445" t="s">
        <v>628</v>
      </c>
      <c r="F445" t="s">
        <v>980</v>
      </c>
      <c r="G445" t="s">
        <v>1124</v>
      </c>
      <c r="H445" t="s">
        <v>1545</v>
      </c>
      <c r="I445" t="s">
        <v>638</v>
      </c>
      <c r="J445" t="s">
        <v>632</v>
      </c>
      <c r="K445" s="2" t="s">
        <v>620</v>
      </c>
      <c r="L445" s="2" t="s">
        <v>620</v>
      </c>
      <c r="M445" s="2" t="s">
        <v>620</v>
      </c>
      <c r="N445" s="2" t="s">
        <v>620</v>
      </c>
      <c r="O445" t="s">
        <v>639</v>
      </c>
      <c r="P445" t="s">
        <v>639</v>
      </c>
      <c r="Q445" t="s">
        <v>639</v>
      </c>
      <c r="R445" t="s">
        <v>639</v>
      </c>
      <c r="S445" t="s">
        <v>639</v>
      </c>
      <c r="T445" t="s">
        <v>620</v>
      </c>
      <c r="U445" t="s">
        <v>620</v>
      </c>
      <c r="V445" s="3" t="str">
        <f>IF(AND(data[[#This Row],[status]]="OK",data[[#This Row],[approach]]="evoavalla"),data[[#This Row],[asm_path]],"")</f>
        <v/>
      </c>
      <c r="W445" s="3" t="str">
        <f>IF(AND(data[[#This Row],[status]]="OK",data[[#This Row],[approach]]="atgt"),data[[#This Row],[asm_path]],"")</f>
        <v/>
      </c>
      <c r="X445" s="3" t="b">
        <f>COUNTIF(W:W,data[[#This Row],[path_ok_status_evoavalla]]) = 1</f>
        <v>0</v>
      </c>
    </row>
    <row r="446" spans="1:24" x14ac:dyDescent="0.25">
      <c r="A446" t="s">
        <v>1125</v>
      </c>
      <c r="B446" t="s">
        <v>1126</v>
      </c>
      <c r="C446" t="s">
        <v>664</v>
      </c>
      <c r="D446" t="s">
        <v>683</v>
      </c>
      <c r="E446" t="s">
        <v>636</v>
      </c>
      <c r="F446" t="s">
        <v>716</v>
      </c>
      <c r="G446" t="s">
        <v>740</v>
      </c>
      <c r="H446" t="s">
        <v>1545</v>
      </c>
      <c r="I446" t="s">
        <v>638</v>
      </c>
      <c r="J446" t="s">
        <v>632</v>
      </c>
      <c r="K446" s="2" t="s">
        <v>620</v>
      </c>
      <c r="L446" s="2" t="s">
        <v>620</v>
      </c>
      <c r="M446" s="2" t="s">
        <v>620</v>
      </c>
      <c r="N446" s="2" t="s">
        <v>620</v>
      </c>
      <c r="O446" t="s">
        <v>639</v>
      </c>
      <c r="P446" t="s">
        <v>639</v>
      </c>
      <c r="Q446" t="s">
        <v>639</v>
      </c>
      <c r="R446" t="s">
        <v>639</v>
      </c>
      <c r="S446" t="s">
        <v>639</v>
      </c>
      <c r="T446" t="s">
        <v>620</v>
      </c>
      <c r="U446" t="s">
        <v>620</v>
      </c>
      <c r="V446" s="3" t="str">
        <f>IF(AND(data[[#This Row],[status]]="OK",data[[#This Row],[approach]]="evoavalla"),data[[#This Row],[asm_path]],"")</f>
        <v/>
      </c>
      <c r="W446" s="3" t="str">
        <f>IF(AND(data[[#This Row],[status]]="OK",data[[#This Row],[approach]]="atgt"),data[[#This Row],[asm_path]],"")</f>
        <v/>
      </c>
      <c r="X446" s="3" t="b">
        <f>COUNTIF(W:W,data[[#This Row],[path_ok_status_evoavalla]]) = 1</f>
        <v>0</v>
      </c>
    </row>
    <row r="447" spans="1:24" x14ac:dyDescent="0.25">
      <c r="A447" t="s">
        <v>1127</v>
      </c>
      <c r="B447" t="s">
        <v>1128</v>
      </c>
      <c r="C447" t="s">
        <v>664</v>
      </c>
      <c r="D447" t="s">
        <v>626</v>
      </c>
      <c r="E447" t="s">
        <v>636</v>
      </c>
      <c r="F447" t="s">
        <v>664</v>
      </c>
      <c r="G447" t="s">
        <v>618</v>
      </c>
      <c r="H447" t="s">
        <v>1545</v>
      </c>
      <c r="I447" t="s">
        <v>638</v>
      </c>
      <c r="J447" t="s">
        <v>632</v>
      </c>
      <c r="K447" s="2" t="s">
        <v>620</v>
      </c>
      <c r="L447" s="2" t="s">
        <v>620</v>
      </c>
      <c r="M447" s="2" t="s">
        <v>620</v>
      </c>
      <c r="N447" s="2" t="s">
        <v>620</v>
      </c>
      <c r="O447" t="s">
        <v>639</v>
      </c>
      <c r="P447" t="s">
        <v>639</v>
      </c>
      <c r="Q447" t="s">
        <v>639</v>
      </c>
      <c r="R447" t="s">
        <v>639</v>
      </c>
      <c r="S447" t="s">
        <v>639</v>
      </c>
      <c r="T447" t="s">
        <v>620</v>
      </c>
      <c r="U447" t="s">
        <v>620</v>
      </c>
      <c r="V447" s="3" t="str">
        <f>IF(AND(data[[#This Row],[status]]="OK",data[[#This Row],[approach]]="evoavalla"),data[[#This Row],[asm_path]],"")</f>
        <v/>
      </c>
      <c r="W447" s="3" t="str">
        <f>IF(AND(data[[#This Row],[status]]="OK",data[[#This Row],[approach]]="atgt"),data[[#This Row],[asm_path]],"")</f>
        <v/>
      </c>
      <c r="X447" s="3" t="b">
        <f>COUNTIF(W:W,data[[#This Row],[path_ok_status_evoavalla]]) = 1</f>
        <v>0</v>
      </c>
    </row>
    <row r="448" spans="1:24" x14ac:dyDescent="0.25">
      <c r="A448" t="s">
        <v>1133</v>
      </c>
      <c r="B448" t="s">
        <v>1134</v>
      </c>
      <c r="C448" t="s">
        <v>635</v>
      </c>
      <c r="D448" t="s">
        <v>636</v>
      </c>
      <c r="E448" t="s">
        <v>636</v>
      </c>
      <c r="F448" t="s">
        <v>635</v>
      </c>
      <c r="G448" t="s">
        <v>664</v>
      </c>
      <c r="H448" t="s">
        <v>1545</v>
      </c>
      <c r="I448" t="s">
        <v>638</v>
      </c>
      <c r="J448" t="s">
        <v>632</v>
      </c>
      <c r="K448" s="2" t="s">
        <v>620</v>
      </c>
      <c r="L448" s="2" t="s">
        <v>620</v>
      </c>
      <c r="M448" s="2" t="s">
        <v>620</v>
      </c>
      <c r="N448" s="2" t="s">
        <v>620</v>
      </c>
      <c r="O448" t="s">
        <v>639</v>
      </c>
      <c r="P448" t="s">
        <v>639</v>
      </c>
      <c r="Q448" t="s">
        <v>639</v>
      </c>
      <c r="R448" t="s">
        <v>639</v>
      </c>
      <c r="S448" t="s">
        <v>639</v>
      </c>
      <c r="T448" t="s">
        <v>620</v>
      </c>
      <c r="U448" t="s">
        <v>620</v>
      </c>
      <c r="V448" s="3" t="str">
        <f>IF(AND(data[[#This Row],[status]]="OK",data[[#This Row],[approach]]="evoavalla"),data[[#This Row],[asm_path]],"")</f>
        <v/>
      </c>
      <c r="W448" s="3" t="str">
        <f>IF(AND(data[[#This Row],[status]]="OK",data[[#This Row],[approach]]="atgt"),data[[#This Row],[asm_path]],"")</f>
        <v/>
      </c>
      <c r="X448" s="3" t="b">
        <f>COUNTIF(W:W,data[[#This Row],[path_ok_status_evoavalla]]) = 1</f>
        <v>0</v>
      </c>
    </row>
    <row r="449" spans="1:24" x14ac:dyDescent="0.25">
      <c r="A449" t="s">
        <v>1135</v>
      </c>
      <c r="B449" t="s">
        <v>1136</v>
      </c>
      <c r="C449" t="s">
        <v>618</v>
      </c>
      <c r="D449" t="s">
        <v>732</v>
      </c>
      <c r="E449" t="s">
        <v>620</v>
      </c>
      <c r="F449" t="s">
        <v>941</v>
      </c>
      <c r="G449" t="s">
        <v>1137</v>
      </c>
      <c r="H449" t="s">
        <v>1545</v>
      </c>
      <c r="I449" t="s">
        <v>624</v>
      </c>
      <c r="J449" t="s">
        <v>1609</v>
      </c>
      <c r="K449" s="2" t="s">
        <v>710</v>
      </c>
      <c r="L449" s="2" t="s">
        <v>821</v>
      </c>
      <c r="M449" s="2" t="s">
        <v>1470</v>
      </c>
      <c r="N449" s="2" t="s">
        <v>1610</v>
      </c>
      <c r="O449" t="s">
        <v>630</v>
      </c>
      <c r="P449" t="s">
        <v>630</v>
      </c>
      <c r="Q449" t="s">
        <v>632</v>
      </c>
      <c r="R449" t="s">
        <v>1554</v>
      </c>
      <c r="S449" t="s">
        <v>630</v>
      </c>
      <c r="T449" t="s">
        <v>620</v>
      </c>
      <c r="U449" t="s">
        <v>620</v>
      </c>
      <c r="V449" s="3" t="str">
        <f>IF(AND(data[[#This Row],[status]]="OK",data[[#This Row],[approach]]="evoavalla"),data[[#This Row],[asm_path]],"")</f>
        <v/>
      </c>
      <c r="W449" s="3" t="str">
        <f>IF(AND(data[[#This Row],[status]]="OK",data[[#This Row],[approach]]="atgt"),data[[#This Row],[asm_path]],"")</f>
        <v>../../../asm_examples/examples/TrafficLightYakindu/TrafficLight3/TrafficLight_3.asm</v>
      </c>
      <c r="X449" s="3" t="b">
        <f>COUNTIF(W:W,data[[#This Row],[path_ok_status_evoavalla]]) = 1</f>
        <v>0</v>
      </c>
    </row>
    <row r="450" spans="1:24" x14ac:dyDescent="0.25">
      <c r="A450" t="s">
        <v>1141</v>
      </c>
      <c r="B450" t="s">
        <v>1142</v>
      </c>
      <c r="C450" t="s">
        <v>683</v>
      </c>
      <c r="D450" t="s">
        <v>642</v>
      </c>
      <c r="E450" t="s">
        <v>664</v>
      </c>
      <c r="F450" t="s">
        <v>710</v>
      </c>
      <c r="G450" t="s">
        <v>735</v>
      </c>
      <c r="H450" t="s">
        <v>1545</v>
      </c>
      <c r="I450" t="s">
        <v>638</v>
      </c>
      <c r="J450" t="s">
        <v>632</v>
      </c>
      <c r="K450" s="2" t="s">
        <v>620</v>
      </c>
      <c r="L450" s="2" t="s">
        <v>620</v>
      </c>
      <c r="M450" s="2" t="s">
        <v>620</v>
      </c>
      <c r="N450" s="2" t="s">
        <v>620</v>
      </c>
      <c r="O450" t="s">
        <v>639</v>
      </c>
      <c r="P450" t="s">
        <v>639</v>
      </c>
      <c r="Q450" t="s">
        <v>639</v>
      </c>
      <c r="R450" t="s">
        <v>639</v>
      </c>
      <c r="S450" t="s">
        <v>639</v>
      </c>
      <c r="T450" t="s">
        <v>620</v>
      </c>
      <c r="U450" t="s">
        <v>620</v>
      </c>
      <c r="V450" s="3" t="str">
        <f>IF(AND(data[[#This Row],[status]]="OK",data[[#This Row],[approach]]="evoavalla"),data[[#This Row],[asm_path]],"")</f>
        <v/>
      </c>
      <c r="W450" s="3" t="str">
        <f>IF(AND(data[[#This Row],[status]]="OK",data[[#This Row],[approach]]="atgt"),data[[#This Row],[asm_path]],"")</f>
        <v/>
      </c>
      <c r="X450" s="3" t="b">
        <f>COUNTIF(W:W,data[[#This Row],[path_ok_status_evoavalla]]) = 1</f>
        <v>0</v>
      </c>
    </row>
    <row r="451" spans="1:24" x14ac:dyDescent="0.25">
      <c r="A451" t="s">
        <v>1143</v>
      </c>
      <c r="B451" t="s">
        <v>1144</v>
      </c>
      <c r="C451" t="s">
        <v>682</v>
      </c>
      <c r="D451" t="s">
        <v>635</v>
      </c>
      <c r="E451" t="s">
        <v>620</v>
      </c>
      <c r="F451" t="s">
        <v>636</v>
      </c>
      <c r="G451" t="s">
        <v>628</v>
      </c>
      <c r="H451" t="s">
        <v>1545</v>
      </c>
      <c r="I451" t="s">
        <v>638</v>
      </c>
      <c r="J451" t="s">
        <v>632</v>
      </c>
      <c r="K451" s="2" t="s">
        <v>620</v>
      </c>
      <c r="L451" s="2" t="s">
        <v>620</v>
      </c>
      <c r="M451" s="2" t="s">
        <v>620</v>
      </c>
      <c r="N451" s="2" t="s">
        <v>620</v>
      </c>
      <c r="O451" t="s">
        <v>639</v>
      </c>
      <c r="P451" t="s">
        <v>639</v>
      </c>
      <c r="Q451" t="s">
        <v>639</v>
      </c>
      <c r="R451" t="s">
        <v>639</v>
      </c>
      <c r="S451" t="s">
        <v>639</v>
      </c>
      <c r="T451" t="s">
        <v>620</v>
      </c>
      <c r="U451" t="s">
        <v>620</v>
      </c>
      <c r="V451" s="3" t="str">
        <f>IF(AND(data[[#This Row],[status]]="OK",data[[#This Row],[approach]]="evoavalla"),data[[#This Row],[asm_path]],"")</f>
        <v/>
      </c>
      <c r="W451" s="3" t="str">
        <f>IF(AND(data[[#This Row],[status]]="OK",data[[#This Row],[approach]]="atgt"),data[[#This Row],[asm_path]],"")</f>
        <v/>
      </c>
      <c r="X451" s="3" t="b">
        <f>COUNTIF(W:W,data[[#This Row],[path_ok_status_evoavalla]]) = 1</f>
        <v>0</v>
      </c>
    </row>
    <row r="452" spans="1:24" x14ac:dyDescent="0.25">
      <c r="A452" t="s">
        <v>1146</v>
      </c>
      <c r="B452" t="s">
        <v>1147</v>
      </c>
      <c r="C452" t="s">
        <v>682</v>
      </c>
      <c r="D452" t="s">
        <v>664</v>
      </c>
      <c r="E452" t="s">
        <v>620</v>
      </c>
      <c r="F452" t="s">
        <v>664</v>
      </c>
      <c r="G452" t="s">
        <v>643</v>
      </c>
      <c r="H452" t="s">
        <v>1545</v>
      </c>
      <c r="I452" t="s">
        <v>638</v>
      </c>
      <c r="J452" t="s">
        <v>632</v>
      </c>
      <c r="K452" s="2" t="s">
        <v>620</v>
      </c>
      <c r="L452" s="2" t="s">
        <v>620</v>
      </c>
      <c r="M452" s="2" t="s">
        <v>620</v>
      </c>
      <c r="N452" s="2" t="s">
        <v>620</v>
      </c>
      <c r="O452" t="s">
        <v>639</v>
      </c>
      <c r="P452" t="s">
        <v>639</v>
      </c>
      <c r="Q452" t="s">
        <v>639</v>
      </c>
      <c r="R452" t="s">
        <v>639</v>
      </c>
      <c r="S452" t="s">
        <v>639</v>
      </c>
      <c r="T452" t="s">
        <v>620</v>
      </c>
      <c r="U452" t="s">
        <v>620</v>
      </c>
      <c r="V452" s="3" t="str">
        <f>IF(AND(data[[#This Row],[status]]="OK",data[[#This Row],[approach]]="evoavalla"),data[[#This Row],[asm_path]],"")</f>
        <v/>
      </c>
      <c r="W452" s="3" t="str">
        <f>IF(AND(data[[#This Row],[status]]="OK",data[[#This Row],[approach]]="atgt"),data[[#This Row],[asm_path]],"")</f>
        <v/>
      </c>
      <c r="X452" s="3" t="b">
        <f>COUNTIF(W:W,data[[#This Row],[path_ok_status_evoavalla]]) = 1</f>
        <v>0</v>
      </c>
    </row>
    <row r="453" spans="1:24" x14ac:dyDescent="0.25">
      <c r="A453" t="s">
        <v>1148</v>
      </c>
      <c r="B453" t="s">
        <v>1149</v>
      </c>
      <c r="C453" t="s">
        <v>682</v>
      </c>
      <c r="D453" t="s">
        <v>664</v>
      </c>
      <c r="E453" t="s">
        <v>620</v>
      </c>
      <c r="F453" t="s">
        <v>635</v>
      </c>
      <c r="G453" t="s">
        <v>637</v>
      </c>
      <c r="H453" t="s">
        <v>1545</v>
      </c>
      <c r="I453" t="s">
        <v>638</v>
      </c>
      <c r="J453" t="s">
        <v>632</v>
      </c>
      <c r="K453" s="2" t="s">
        <v>620</v>
      </c>
      <c r="L453" s="2" t="s">
        <v>620</v>
      </c>
      <c r="M453" s="2" t="s">
        <v>620</v>
      </c>
      <c r="N453" s="2" t="s">
        <v>620</v>
      </c>
      <c r="O453" t="s">
        <v>639</v>
      </c>
      <c r="P453" t="s">
        <v>639</v>
      </c>
      <c r="Q453" t="s">
        <v>639</v>
      </c>
      <c r="R453" t="s">
        <v>639</v>
      </c>
      <c r="S453" t="s">
        <v>639</v>
      </c>
      <c r="T453" t="s">
        <v>620</v>
      </c>
      <c r="U453" t="s">
        <v>620</v>
      </c>
      <c r="V453" s="3" t="str">
        <f>IF(AND(data[[#This Row],[status]]="OK",data[[#This Row],[approach]]="evoavalla"),data[[#This Row],[asm_path]],"")</f>
        <v/>
      </c>
      <c r="W453" s="3" t="str">
        <f>IF(AND(data[[#This Row],[status]]="OK",data[[#This Row],[approach]]="atgt"),data[[#This Row],[asm_path]],"")</f>
        <v/>
      </c>
      <c r="X453" s="3" t="b">
        <f>COUNTIF(W:W,data[[#This Row],[path_ok_status_evoavalla]]) = 1</f>
        <v>0</v>
      </c>
    </row>
    <row r="454" spans="1:24" x14ac:dyDescent="0.25">
      <c r="A454" t="s">
        <v>1151</v>
      </c>
      <c r="B454" t="s">
        <v>1152</v>
      </c>
      <c r="C454" t="s">
        <v>621</v>
      </c>
      <c r="D454" t="s">
        <v>808</v>
      </c>
      <c r="E454" t="s">
        <v>620</v>
      </c>
      <c r="F454" t="s">
        <v>619</v>
      </c>
      <c r="G454" t="s">
        <v>771</v>
      </c>
      <c r="H454" t="s">
        <v>1545</v>
      </c>
      <c r="I454" t="s">
        <v>624</v>
      </c>
      <c r="J454" t="s">
        <v>1611</v>
      </c>
      <c r="K454" s="2" t="s">
        <v>664</v>
      </c>
      <c r="L454" s="2" t="s">
        <v>941</v>
      </c>
      <c r="M454" s="2" t="s">
        <v>799</v>
      </c>
      <c r="N454" s="2" t="s">
        <v>698</v>
      </c>
      <c r="O454" t="s">
        <v>630</v>
      </c>
      <c r="P454" t="s">
        <v>1612</v>
      </c>
      <c r="Q454" t="s">
        <v>632</v>
      </c>
      <c r="R454" t="s">
        <v>1613</v>
      </c>
      <c r="S454" t="s">
        <v>1614</v>
      </c>
      <c r="T454" t="s">
        <v>620</v>
      </c>
      <c r="U454" t="s">
        <v>620</v>
      </c>
      <c r="V454" s="3" t="str">
        <f>IF(AND(data[[#This Row],[status]]="OK",data[[#This Row],[approach]]="evoavalla"),data[[#This Row],[asm_path]],"")</f>
        <v/>
      </c>
      <c r="W454" s="3" t="str">
        <f>IF(AND(data[[#This Row],[status]]="OK",data[[#This Row],[approach]]="atgt"),data[[#This Row],[asm_path]],"")</f>
        <v>../../../asm_examples/examples/TrafficLightYakindu/TrafficLight_NOREF/TrafficLight_4.asm</v>
      </c>
      <c r="X454" s="3" t="b">
        <f>COUNTIF(W:W,data[[#This Row],[path_ok_status_evoavalla]]) = 1</f>
        <v>0</v>
      </c>
    </row>
    <row r="455" spans="1:24" x14ac:dyDescent="0.25">
      <c r="A455" t="s">
        <v>1158</v>
      </c>
      <c r="B455" t="s">
        <v>1159</v>
      </c>
      <c r="C455" t="s">
        <v>667</v>
      </c>
      <c r="D455" t="s">
        <v>668</v>
      </c>
      <c r="E455" t="s">
        <v>941</v>
      </c>
      <c r="F455" t="s">
        <v>842</v>
      </c>
      <c r="G455" t="s">
        <v>1160</v>
      </c>
      <c r="H455" t="s">
        <v>1545</v>
      </c>
      <c r="I455" t="s">
        <v>638</v>
      </c>
      <c r="J455" t="s">
        <v>632</v>
      </c>
      <c r="K455" s="2" t="s">
        <v>620</v>
      </c>
      <c r="L455" s="2" t="s">
        <v>620</v>
      </c>
      <c r="M455" s="2" t="s">
        <v>620</v>
      </c>
      <c r="N455" s="2" t="s">
        <v>620</v>
      </c>
      <c r="O455" t="s">
        <v>639</v>
      </c>
      <c r="P455" t="s">
        <v>639</v>
      </c>
      <c r="Q455" t="s">
        <v>639</v>
      </c>
      <c r="R455" t="s">
        <v>639</v>
      </c>
      <c r="S455" t="s">
        <v>639</v>
      </c>
      <c r="T455" t="s">
        <v>620</v>
      </c>
      <c r="U455" t="s">
        <v>620</v>
      </c>
      <c r="V455" s="3" t="str">
        <f>IF(AND(data[[#This Row],[status]]="OK",data[[#This Row],[approach]]="evoavalla"),data[[#This Row],[asm_path]],"")</f>
        <v/>
      </c>
      <c r="W455" s="3" t="str">
        <f>IF(AND(data[[#This Row],[status]]="OK",data[[#This Row],[approach]]="atgt"),data[[#This Row],[asm_path]],"")</f>
        <v/>
      </c>
      <c r="X455" s="3" t="b">
        <f>COUNTIF(W:W,data[[#This Row],[path_ok_status_evoavalla]]) = 1</f>
        <v>0</v>
      </c>
    </row>
    <row r="456" spans="1:24" x14ac:dyDescent="0.25">
      <c r="A456" t="s">
        <v>1161</v>
      </c>
      <c r="B456" t="s">
        <v>1162</v>
      </c>
      <c r="C456" t="s">
        <v>626</v>
      </c>
      <c r="D456" t="s">
        <v>664</v>
      </c>
      <c r="E456" t="s">
        <v>620</v>
      </c>
      <c r="F456" t="s">
        <v>626</v>
      </c>
      <c r="G456" t="s">
        <v>642</v>
      </c>
      <c r="H456" t="s">
        <v>1545</v>
      </c>
      <c r="I456" t="s">
        <v>638</v>
      </c>
      <c r="J456" t="s">
        <v>632</v>
      </c>
      <c r="K456" s="2" t="s">
        <v>620</v>
      </c>
      <c r="L456" s="2" t="s">
        <v>620</v>
      </c>
      <c r="M456" s="2" t="s">
        <v>620</v>
      </c>
      <c r="N456" s="2" t="s">
        <v>620</v>
      </c>
      <c r="O456" t="s">
        <v>639</v>
      </c>
      <c r="P456" t="s">
        <v>639</v>
      </c>
      <c r="Q456" t="s">
        <v>639</v>
      </c>
      <c r="R456" t="s">
        <v>639</v>
      </c>
      <c r="S456" t="s">
        <v>639</v>
      </c>
      <c r="T456" t="s">
        <v>620</v>
      </c>
      <c r="U456" t="s">
        <v>620</v>
      </c>
      <c r="V456" s="3" t="str">
        <f>IF(AND(data[[#This Row],[status]]="OK",data[[#This Row],[approach]]="evoavalla"),data[[#This Row],[asm_path]],"")</f>
        <v/>
      </c>
      <c r="W456" s="3" t="str">
        <f>IF(AND(data[[#This Row],[status]]="OK",data[[#This Row],[approach]]="atgt"),data[[#This Row],[asm_path]],"")</f>
        <v/>
      </c>
      <c r="X456" s="3" t="b">
        <f>COUNTIF(W:W,data[[#This Row],[path_ok_status_evoavalla]]) = 1</f>
        <v>0</v>
      </c>
    </row>
    <row r="457" spans="1:24" x14ac:dyDescent="0.25">
      <c r="A457" t="s">
        <v>1163</v>
      </c>
      <c r="B457" t="s">
        <v>1164</v>
      </c>
      <c r="C457" t="s">
        <v>626</v>
      </c>
      <c r="D457" t="s">
        <v>664</v>
      </c>
      <c r="E457" t="s">
        <v>620</v>
      </c>
      <c r="F457" t="s">
        <v>664</v>
      </c>
      <c r="G457" t="s">
        <v>690</v>
      </c>
      <c r="H457" t="s">
        <v>1545</v>
      </c>
      <c r="I457" t="s">
        <v>638</v>
      </c>
      <c r="J457" t="s">
        <v>632</v>
      </c>
      <c r="K457" s="2" t="s">
        <v>620</v>
      </c>
      <c r="L457" s="2" t="s">
        <v>620</v>
      </c>
      <c r="M457" s="2" t="s">
        <v>620</v>
      </c>
      <c r="N457" s="2" t="s">
        <v>620</v>
      </c>
      <c r="O457" t="s">
        <v>639</v>
      </c>
      <c r="P457" t="s">
        <v>639</v>
      </c>
      <c r="Q457" t="s">
        <v>639</v>
      </c>
      <c r="R457" t="s">
        <v>639</v>
      </c>
      <c r="S457" t="s">
        <v>639</v>
      </c>
      <c r="T457" t="s">
        <v>620</v>
      </c>
      <c r="U457" t="s">
        <v>620</v>
      </c>
      <c r="V457" s="3" t="str">
        <f>IF(AND(data[[#This Row],[status]]="OK",data[[#This Row],[approach]]="evoavalla"),data[[#This Row],[asm_path]],"")</f>
        <v/>
      </c>
      <c r="W457" s="3" t="str">
        <f>IF(AND(data[[#This Row],[status]]="OK",data[[#This Row],[approach]]="atgt"),data[[#This Row],[asm_path]],"")</f>
        <v/>
      </c>
      <c r="X457" s="3" t="b">
        <f>COUNTIF(W:W,data[[#This Row],[path_ok_status_evoavalla]]) = 1</f>
        <v>0</v>
      </c>
    </row>
    <row r="458" spans="1:24" x14ac:dyDescent="0.25">
      <c r="A458" t="s">
        <v>1168</v>
      </c>
      <c r="B458" t="s">
        <v>1169</v>
      </c>
      <c r="C458" t="s">
        <v>664</v>
      </c>
      <c r="D458" t="s">
        <v>664</v>
      </c>
      <c r="E458" t="s">
        <v>620</v>
      </c>
      <c r="F458" t="s">
        <v>664</v>
      </c>
      <c r="G458" t="s">
        <v>618</v>
      </c>
      <c r="H458" t="s">
        <v>1545</v>
      </c>
      <c r="I458" t="s">
        <v>638</v>
      </c>
      <c r="J458" t="s">
        <v>632</v>
      </c>
      <c r="K458" s="2" t="s">
        <v>620</v>
      </c>
      <c r="L458" s="2" t="s">
        <v>620</v>
      </c>
      <c r="M458" s="2" t="s">
        <v>620</v>
      </c>
      <c r="N458" s="2" t="s">
        <v>620</v>
      </c>
      <c r="O458" t="s">
        <v>639</v>
      </c>
      <c r="P458" t="s">
        <v>639</v>
      </c>
      <c r="Q458" t="s">
        <v>639</v>
      </c>
      <c r="R458" t="s">
        <v>639</v>
      </c>
      <c r="S458" t="s">
        <v>639</v>
      </c>
      <c r="T458" t="s">
        <v>620</v>
      </c>
      <c r="U458" t="s">
        <v>620</v>
      </c>
      <c r="V458" s="3" t="str">
        <f>IF(AND(data[[#This Row],[status]]="OK",data[[#This Row],[approach]]="evoavalla"),data[[#This Row],[asm_path]],"")</f>
        <v/>
      </c>
      <c r="W458" s="3" t="str">
        <f>IF(AND(data[[#This Row],[status]]="OK",data[[#This Row],[approach]]="atgt"),data[[#This Row],[asm_path]],"")</f>
        <v/>
      </c>
      <c r="X458" s="3" t="b">
        <f>COUNTIF(W:W,data[[#This Row],[path_ok_status_evoavalla]]) = 1</f>
        <v>0</v>
      </c>
    </row>
    <row r="459" spans="1:24" x14ac:dyDescent="0.25">
      <c r="A459" t="s">
        <v>1170</v>
      </c>
      <c r="B459" t="s">
        <v>1171</v>
      </c>
      <c r="C459" t="s">
        <v>643</v>
      </c>
      <c r="D459" t="s">
        <v>643</v>
      </c>
      <c r="E459" t="s">
        <v>620</v>
      </c>
      <c r="F459" t="s">
        <v>716</v>
      </c>
      <c r="G459" t="s">
        <v>1172</v>
      </c>
      <c r="H459" t="s">
        <v>1545</v>
      </c>
      <c r="I459" t="s">
        <v>638</v>
      </c>
      <c r="J459" t="s">
        <v>632</v>
      </c>
      <c r="K459" s="2" t="s">
        <v>620</v>
      </c>
      <c r="L459" s="2" t="s">
        <v>620</v>
      </c>
      <c r="M459" s="2" t="s">
        <v>620</v>
      </c>
      <c r="N459" s="2" t="s">
        <v>620</v>
      </c>
      <c r="O459" t="s">
        <v>639</v>
      </c>
      <c r="P459" t="s">
        <v>639</v>
      </c>
      <c r="Q459" t="s">
        <v>639</v>
      </c>
      <c r="R459" t="s">
        <v>639</v>
      </c>
      <c r="S459" t="s">
        <v>639</v>
      </c>
      <c r="T459" t="s">
        <v>620</v>
      </c>
      <c r="U459" t="s">
        <v>620</v>
      </c>
      <c r="V459" s="3" t="str">
        <f>IF(AND(data[[#This Row],[status]]="OK",data[[#This Row],[approach]]="evoavalla"),data[[#This Row],[asm_path]],"")</f>
        <v/>
      </c>
      <c r="W459" s="3" t="str">
        <f>IF(AND(data[[#This Row],[status]]="OK",data[[#This Row],[approach]]="atgt"),data[[#This Row],[asm_path]],"")</f>
        <v/>
      </c>
      <c r="X459" s="3" t="b">
        <f>COUNTIF(W:W,data[[#This Row],[path_ok_status_evoavalla]]) = 1</f>
        <v>0</v>
      </c>
    </row>
    <row r="460" spans="1:24" x14ac:dyDescent="0.25">
      <c r="A460" t="s">
        <v>1173</v>
      </c>
      <c r="B460" t="s">
        <v>1174</v>
      </c>
      <c r="C460" t="s">
        <v>677</v>
      </c>
      <c r="D460" t="s">
        <v>697</v>
      </c>
      <c r="E460" t="s">
        <v>637</v>
      </c>
      <c r="F460" t="s">
        <v>741</v>
      </c>
      <c r="G460" t="s">
        <v>849</v>
      </c>
      <c r="H460" t="s">
        <v>1545</v>
      </c>
      <c r="I460" t="s">
        <v>638</v>
      </c>
      <c r="J460" t="s">
        <v>632</v>
      </c>
      <c r="K460" s="2" t="s">
        <v>620</v>
      </c>
      <c r="L460" s="2" t="s">
        <v>620</v>
      </c>
      <c r="M460" s="2" t="s">
        <v>620</v>
      </c>
      <c r="N460" s="2" t="s">
        <v>620</v>
      </c>
      <c r="O460" t="s">
        <v>639</v>
      </c>
      <c r="P460" t="s">
        <v>639</v>
      </c>
      <c r="Q460" t="s">
        <v>639</v>
      </c>
      <c r="R460" t="s">
        <v>639</v>
      </c>
      <c r="S460" t="s">
        <v>639</v>
      </c>
      <c r="T460" t="s">
        <v>620</v>
      </c>
      <c r="U460" t="s">
        <v>620</v>
      </c>
      <c r="V460" s="3" t="str">
        <f>IF(AND(data[[#This Row],[status]]="OK",data[[#This Row],[approach]]="evoavalla"),data[[#This Row],[asm_path]],"")</f>
        <v/>
      </c>
      <c r="W460" s="3" t="str">
        <f>IF(AND(data[[#This Row],[status]]="OK",data[[#This Row],[approach]]="atgt"),data[[#This Row],[asm_path]],"")</f>
        <v/>
      </c>
      <c r="X460" s="3" t="b">
        <f>COUNTIF(W:W,data[[#This Row],[path_ok_status_evoavalla]]) = 1</f>
        <v>0</v>
      </c>
    </row>
    <row r="461" spans="1:24" x14ac:dyDescent="0.25">
      <c r="A461" t="s">
        <v>1175</v>
      </c>
      <c r="B461" t="s">
        <v>1176</v>
      </c>
      <c r="C461" t="s">
        <v>635</v>
      </c>
      <c r="D461" t="s">
        <v>635</v>
      </c>
      <c r="E461" t="s">
        <v>620</v>
      </c>
      <c r="F461" t="s">
        <v>664</v>
      </c>
      <c r="G461" t="s">
        <v>637</v>
      </c>
      <c r="H461" t="s">
        <v>1545</v>
      </c>
      <c r="I461" t="s">
        <v>638</v>
      </c>
      <c r="J461" t="s">
        <v>632</v>
      </c>
      <c r="K461" s="2" t="s">
        <v>620</v>
      </c>
      <c r="L461" s="2" t="s">
        <v>620</v>
      </c>
      <c r="M461" s="2" t="s">
        <v>620</v>
      </c>
      <c r="N461" s="2" t="s">
        <v>620</v>
      </c>
      <c r="O461" t="s">
        <v>639</v>
      </c>
      <c r="P461" t="s">
        <v>639</v>
      </c>
      <c r="Q461" t="s">
        <v>639</v>
      </c>
      <c r="R461" t="s">
        <v>639</v>
      </c>
      <c r="S461" t="s">
        <v>639</v>
      </c>
      <c r="T461" t="s">
        <v>620</v>
      </c>
      <c r="U461" t="s">
        <v>620</v>
      </c>
      <c r="V461" s="3" t="str">
        <f>IF(AND(data[[#This Row],[status]]="OK",data[[#This Row],[approach]]="evoavalla"),data[[#This Row],[asm_path]],"")</f>
        <v/>
      </c>
      <c r="W461" s="3" t="str">
        <f>IF(AND(data[[#This Row],[status]]="OK",data[[#This Row],[approach]]="atgt"),data[[#This Row],[asm_path]],"")</f>
        <v/>
      </c>
      <c r="X461" s="3" t="b">
        <f>COUNTIF(W:W,data[[#This Row],[path_ok_status_evoavalla]]) = 1</f>
        <v>0</v>
      </c>
    </row>
    <row r="462" spans="1:24" x14ac:dyDescent="0.25">
      <c r="A462" t="s">
        <v>1179</v>
      </c>
      <c r="B462" t="s">
        <v>1180</v>
      </c>
      <c r="C462" t="s">
        <v>683</v>
      </c>
      <c r="D462" t="s">
        <v>626</v>
      </c>
      <c r="E462" t="s">
        <v>620</v>
      </c>
      <c r="F462" t="s">
        <v>635</v>
      </c>
      <c r="G462" t="s">
        <v>619</v>
      </c>
      <c r="H462" t="s">
        <v>1545</v>
      </c>
      <c r="I462" t="s">
        <v>638</v>
      </c>
      <c r="J462" t="s">
        <v>632</v>
      </c>
      <c r="K462" s="2" t="s">
        <v>620</v>
      </c>
      <c r="L462" s="2" t="s">
        <v>620</v>
      </c>
      <c r="M462" s="2" t="s">
        <v>620</v>
      </c>
      <c r="N462" s="2" t="s">
        <v>620</v>
      </c>
      <c r="O462" t="s">
        <v>639</v>
      </c>
      <c r="P462" t="s">
        <v>639</v>
      </c>
      <c r="Q462" t="s">
        <v>639</v>
      </c>
      <c r="R462" t="s">
        <v>639</v>
      </c>
      <c r="S462" t="s">
        <v>639</v>
      </c>
      <c r="T462" t="s">
        <v>620</v>
      </c>
      <c r="U462" t="s">
        <v>620</v>
      </c>
      <c r="V462" s="3" t="str">
        <f>IF(AND(data[[#This Row],[status]]="OK",data[[#This Row],[approach]]="evoavalla"),data[[#This Row],[asm_path]],"")</f>
        <v/>
      </c>
      <c r="W462" s="3" t="str">
        <f>IF(AND(data[[#This Row],[status]]="OK",data[[#This Row],[approach]]="atgt"),data[[#This Row],[asm_path]],"")</f>
        <v/>
      </c>
      <c r="X462" s="3" t="b">
        <f>COUNTIF(W:W,data[[#This Row],[path_ok_status_evoavalla]]) = 1</f>
        <v>0</v>
      </c>
    </row>
    <row r="463" spans="1:24" x14ac:dyDescent="0.25">
      <c r="A463" t="s">
        <v>1181</v>
      </c>
      <c r="B463" t="s">
        <v>1182</v>
      </c>
      <c r="C463" t="s">
        <v>636</v>
      </c>
      <c r="D463" t="s">
        <v>683</v>
      </c>
      <c r="E463" t="s">
        <v>620</v>
      </c>
      <c r="F463" t="s">
        <v>635</v>
      </c>
      <c r="G463" t="s">
        <v>710</v>
      </c>
      <c r="H463" t="s">
        <v>1545</v>
      </c>
      <c r="I463" t="s">
        <v>638</v>
      </c>
      <c r="J463" t="s">
        <v>632</v>
      </c>
      <c r="K463" s="2" t="s">
        <v>620</v>
      </c>
      <c r="L463" s="2" t="s">
        <v>620</v>
      </c>
      <c r="M463" s="2" t="s">
        <v>620</v>
      </c>
      <c r="N463" s="2" t="s">
        <v>620</v>
      </c>
      <c r="O463" t="s">
        <v>639</v>
      </c>
      <c r="P463" t="s">
        <v>639</v>
      </c>
      <c r="Q463" t="s">
        <v>639</v>
      </c>
      <c r="R463" t="s">
        <v>639</v>
      </c>
      <c r="S463" t="s">
        <v>639</v>
      </c>
      <c r="T463" t="s">
        <v>620</v>
      </c>
      <c r="U463" t="s">
        <v>620</v>
      </c>
      <c r="V463" s="3" t="str">
        <f>IF(AND(data[[#This Row],[status]]="OK",data[[#This Row],[approach]]="evoavalla"),data[[#This Row],[asm_path]],"")</f>
        <v/>
      </c>
      <c r="W463" s="3" t="str">
        <f>IF(AND(data[[#This Row],[status]]="OK",data[[#This Row],[approach]]="atgt"),data[[#This Row],[asm_path]],"")</f>
        <v/>
      </c>
      <c r="X463" s="3" t="b">
        <f>COUNTIF(W:W,data[[#This Row],[path_ok_status_evoavalla]]) = 1</f>
        <v>0</v>
      </c>
    </row>
    <row r="464" spans="1:24" x14ac:dyDescent="0.25">
      <c r="A464" t="s">
        <v>1183</v>
      </c>
      <c r="B464" t="s">
        <v>1184</v>
      </c>
      <c r="C464" t="s">
        <v>710</v>
      </c>
      <c r="D464" t="s">
        <v>745</v>
      </c>
      <c r="E464" t="s">
        <v>636</v>
      </c>
      <c r="F464" t="s">
        <v>761</v>
      </c>
      <c r="G464" t="s">
        <v>1185</v>
      </c>
      <c r="H464" t="s">
        <v>1545</v>
      </c>
      <c r="I464" t="s">
        <v>638</v>
      </c>
      <c r="J464" t="s">
        <v>632</v>
      </c>
      <c r="K464" s="2" t="s">
        <v>620</v>
      </c>
      <c r="L464" s="2" t="s">
        <v>620</v>
      </c>
      <c r="M464" s="2" t="s">
        <v>620</v>
      </c>
      <c r="N464" s="2" t="s">
        <v>620</v>
      </c>
      <c r="O464" t="s">
        <v>639</v>
      </c>
      <c r="P464" t="s">
        <v>639</v>
      </c>
      <c r="Q464" t="s">
        <v>639</v>
      </c>
      <c r="R464" t="s">
        <v>639</v>
      </c>
      <c r="S464" t="s">
        <v>639</v>
      </c>
      <c r="T464" t="s">
        <v>620</v>
      </c>
      <c r="U464" t="s">
        <v>620</v>
      </c>
      <c r="V464" s="3" t="str">
        <f>IF(AND(data[[#This Row],[status]]="OK",data[[#This Row],[approach]]="evoavalla"),data[[#This Row],[asm_path]],"")</f>
        <v/>
      </c>
      <c r="W464" s="3" t="str">
        <f>IF(AND(data[[#This Row],[status]]="OK",data[[#This Row],[approach]]="atgt"),data[[#This Row],[asm_path]],"")</f>
        <v/>
      </c>
      <c r="X464" s="3" t="b">
        <f>COUNTIF(W:W,data[[#This Row],[path_ok_status_evoavalla]]) = 1</f>
        <v>0</v>
      </c>
    </row>
    <row r="465" spans="1:24" x14ac:dyDescent="0.25">
      <c r="A465" t="s">
        <v>1186</v>
      </c>
      <c r="B465" t="s">
        <v>892</v>
      </c>
      <c r="C465" t="s">
        <v>636</v>
      </c>
      <c r="D465" t="s">
        <v>620</v>
      </c>
      <c r="E465" t="s">
        <v>620</v>
      </c>
      <c r="F465" t="s">
        <v>620</v>
      </c>
      <c r="G465" t="s">
        <v>636</v>
      </c>
      <c r="H465" t="s">
        <v>1545</v>
      </c>
      <c r="I465" t="s">
        <v>638</v>
      </c>
      <c r="J465" t="s">
        <v>632</v>
      </c>
      <c r="K465" s="2" t="s">
        <v>620</v>
      </c>
      <c r="L465" s="2" t="s">
        <v>620</v>
      </c>
      <c r="M465" s="2" t="s">
        <v>620</v>
      </c>
      <c r="N465" s="2" t="s">
        <v>620</v>
      </c>
      <c r="O465" t="s">
        <v>639</v>
      </c>
      <c r="P465" t="s">
        <v>639</v>
      </c>
      <c r="Q465" t="s">
        <v>639</v>
      </c>
      <c r="R465" t="s">
        <v>639</v>
      </c>
      <c r="S465" t="s">
        <v>639</v>
      </c>
      <c r="T465" t="s">
        <v>620</v>
      </c>
      <c r="U465" t="s">
        <v>620</v>
      </c>
      <c r="V465" s="3" t="str">
        <f>IF(AND(data[[#This Row],[status]]="OK",data[[#This Row],[approach]]="evoavalla"),data[[#This Row],[asm_path]],"")</f>
        <v/>
      </c>
      <c r="W465" s="3" t="str">
        <f>IF(AND(data[[#This Row],[status]]="OK",data[[#This Row],[approach]]="atgt"),data[[#This Row],[asm_path]],"")</f>
        <v/>
      </c>
      <c r="X465" s="3" t="b">
        <f>COUNTIF(W:W,data[[#This Row],[path_ok_status_evoavalla]]) = 1</f>
        <v>0</v>
      </c>
    </row>
    <row r="466" spans="1:24" x14ac:dyDescent="0.25">
      <c r="A466" t="s">
        <v>1187</v>
      </c>
      <c r="B466" t="s">
        <v>1188</v>
      </c>
      <c r="C466" t="s">
        <v>626</v>
      </c>
      <c r="D466" t="s">
        <v>643</v>
      </c>
      <c r="E466" t="s">
        <v>620</v>
      </c>
      <c r="F466" t="s">
        <v>626</v>
      </c>
      <c r="G466" t="s">
        <v>966</v>
      </c>
      <c r="H466" t="s">
        <v>1545</v>
      </c>
      <c r="I466" t="s">
        <v>624</v>
      </c>
      <c r="J466" t="s">
        <v>1615</v>
      </c>
      <c r="K466" s="2" t="s">
        <v>637</v>
      </c>
      <c r="L466" s="2" t="s">
        <v>1291</v>
      </c>
      <c r="M466" s="2" t="s">
        <v>1291</v>
      </c>
      <c r="N466" s="2" t="s">
        <v>817</v>
      </c>
      <c r="O466" t="s">
        <v>630</v>
      </c>
      <c r="P466" t="s">
        <v>630</v>
      </c>
      <c r="Q466" t="s">
        <v>632</v>
      </c>
      <c r="R466" t="s">
        <v>630</v>
      </c>
      <c r="S466" t="s">
        <v>630</v>
      </c>
      <c r="T466" t="s">
        <v>620</v>
      </c>
      <c r="U466" t="s">
        <v>620</v>
      </c>
      <c r="V466" s="3" t="str">
        <f>IF(AND(data[[#This Row],[status]]="OK",data[[#This Row],[approach]]="evoavalla"),data[[#This Row],[asm_path]],"")</f>
        <v/>
      </c>
      <c r="W466" s="3" t="str">
        <f>IF(AND(data[[#This Row],[status]]="OK",data[[#This Row],[approach]]="atgt"),data[[#This Row],[asm_path]],"")</f>
        <v>../../../asm_examples/examples/traffic_light/oneWayTrafficLightOnlyPassedFlat.asm</v>
      </c>
      <c r="X466" s="3" t="b">
        <f>COUNTIF(W:W,data[[#This Row],[path_ok_status_evoavalla]]) = 1</f>
        <v>0</v>
      </c>
    </row>
    <row r="467" spans="1:24" x14ac:dyDescent="0.25">
      <c r="A467" t="s">
        <v>1191</v>
      </c>
      <c r="B467" t="s">
        <v>1192</v>
      </c>
      <c r="C467" t="s">
        <v>682</v>
      </c>
      <c r="D467" t="s">
        <v>635</v>
      </c>
      <c r="E467" t="s">
        <v>620</v>
      </c>
      <c r="F467" t="s">
        <v>636</v>
      </c>
      <c r="G467" t="s">
        <v>683</v>
      </c>
      <c r="H467" t="s">
        <v>1545</v>
      </c>
      <c r="I467" t="s">
        <v>638</v>
      </c>
      <c r="J467" t="s">
        <v>632</v>
      </c>
      <c r="K467" s="2" t="s">
        <v>620</v>
      </c>
      <c r="L467" s="2" t="s">
        <v>620</v>
      </c>
      <c r="M467" s="2" t="s">
        <v>620</v>
      </c>
      <c r="N467" s="2" t="s">
        <v>620</v>
      </c>
      <c r="O467" t="s">
        <v>639</v>
      </c>
      <c r="P467" t="s">
        <v>639</v>
      </c>
      <c r="Q467" t="s">
        <v>639</v>
      </c>
      <c r="R467" t="s">
        <v>639</v>
      </c>
      <c r="S467" t="s">
        <v>639</v>
      </c>
      <c r="T467" t="s">
        <v>620</v>
      </c>
      <c r="U467" t="s">
        <v>620</v>
      </c>
      <c r="V467" s="3" t="str">
        <f>IF(AND(data[[#This Row],[status]]="OK",data[[#This Row],[approach]]="evoavalla"),data[[#This Row],[asm_path]],"")</f>
        <v/>
      </c>
      <c r="W467" s="3" t="str">
        <f>IF(AND(data[[#This Row],[status]]="OK",data[[#This Row],[approach]]="atgt"),data[[#This Row],[asm_path]],"")</f>
        <v/>
      </c>
      <c r="X467" s="3" t="b">
        <f>COUNTIF(W:W,data[[#This Row],[path_ok_status_evoavalla]]) = 1</f>
        <v>0</v>
      </c>
    </row>
    <row r="468" spans="1:24" x14ac:dyDescent="0.25">
      <c r="A468" t="s">
        <v>1193</v>
      </c>
      <c r="B468" t="s">
        <v>1194</v>
      </c>
      <c r="C468" t="s">
        <v>1092</v>
      </c>
      <c r="D468" t="s">
        <v>1195</v>
      </c>
      <c r="E468" t="s">
        <v>620</v>
      </c>
      <c r="F468" t="s">
        <v>1196</v>
      </c>
      <c r="G468" t="s">
        <v>1197</v>
      </c>
      <c r="H468" t="s">
        <v>1545</v>
      </c>
      <c r="I468" t="s">
        <v>638</v>
      </c>
      <c r="J468" t="s">
        <v>632</v>
      </c>
      <c r="K468" s="2" t="s">
        <v>620</v>
      </c>
      <c r="L468" s="2" t="s">
        <v>620</v>
      </c>
      <c r="M468" s="2" t="s">
        <v>620</v>
      </c>
      <c r="N468" s="2" t="s">
        <v>620</v>
      </c>
      <c r="O468" t="s">
        <v>639</v>
      </c>
      <c r="P468" t="s">
        <v>639</v>
      </c>
      <c r="Q468" t="s">
        <v>639</v>
      </c>
      <c r="R468" t="s">
        <v>639</v>
      </c>
      <c r="S468" t="s">
        <v>639</v>
      </c>
      <c r="T468" t="s">
        <v>620</v>
      </c>
      <c r="U468" t="s">
        <v>620</v>
      </c>
      <c r="V468" s="3" t="str">
        <f>IF(AND(data[[#This Row],[status]]="OK",data[[#This Row],[approach]]="evoavalla"),data[[#This Row],[asm_path]],"")</f>
        <v/>
      </c>
      <c r="W468" s="3" t="str">
        <f>IF(AND(data[[#This Row],[status]]="OK",data[[#This Row],[approach]]="atgt"),data[[#This Row],[asm_path]],"")</f>
        <v/>
      </c>
      <c r="X468" s="3" t="b">
        <f>COUNTIF(W:W,data[[#This Row],[path_ok_status_evoavalla]]) = 1</f>
        <v>0</v>
      </c>
    </row>
    <row r="469" spans="1:24" x14ac:dyDescent="0.25">
      <c r="A469" t="s">
        <v>1204</v>
      </c>
      <c r="B469" t="s">
        <v>1205</v>
      </c>
      <c r="C469" t="s">
        <v>664</v>
      </c>
      <c r="D469" t="s">
        <v>683</v>
      </c>
      <c r="E469" t="s">
        <v>636</v>
      </c>
      <c r="F469" t="s">
        <v>716</v>
      </c>
      <c r="G469" t="s">
        <v>745</v>
      </c>
      <c r="H469" t="s">
        <v>1545</v>
      </c>
      <c r="I469" t="s">
        <v>638</v>
      </c>
      <c r="J469" t="s">
        <v>632</v>
      </c>
      <c r="K469" s="2" t="s">
        <v>620</v>
      </c>
      <c r="L469" s="2" t="s">
        <v>620</v>
      </c>
      <c r="M469" s="2" t="s">
        <v>620</v>
      </c>
      <c r="N469" s="2" t="s">
        <v>620</v>
      </c>
      <c r="O469" t="s">
        <v>639</v>
      </c>
      <c r="P469" t="s">
        <v>639</v>
      </c>
      <c r="Q469" t="s">
        <v>639</v>
      </c>
      <c r="R469" t="s">
        <v>639</v>
      </c>
      <c r="S469" t="s">
        <v>639</v>
      </c>
      <c r="T469" t="s">
        <v>620</v>
      </c>
      <c r="U469" t="s">
        <v>620</v>
      </c>
      <c r="V469" s="3" t="str">
        <f>IF(AND(data[[#This Row],[status]]="OK",data[[#This Row],[approach]]="evoavalla"),data[[#This Row],[asm_path]],"")</f>
        <v/>
      </c>
      <c r="W469" s="3" t="str">
        <f>IF(AND(data[[#This Row],[status]]="OK",data[[#This Row],[approach]]="atgt"),data[[#This Row],[asm_path]],"")</f>
        <v/>
      </c>
      <c r="X469" s="3" t="b">
        <f>COUNTIF(W:W,data[[#This Row],[path_ok_status_evoavalla]]) = 1</f>
        <v>0</v>
      </c>
    </row>
    <row r="470" spans="1:24" x14ac:dyDescent="0.25">
      <c r="A470" t="s">
        <v>1206</v>
      </c>
      <c r="B470" t="s">
        <v>1207</v>
      </c>
      <c r="C470" t="s">
        <v>635</v>
      </c>
      <c r="D470" t="s">
        <v>636</v>
      </c>
      <c r="E470" t="s">
        <v>636</v>
      </c>
      <c r="F470" t="s">
        <v>635</v>
      </c>
      <c r="G470" t="s">
        <v>664</v>
      </c>
      <c r="H470" t="s">
        <v>1545</v>
      </c>
      <c r="I470" t="s">
        <v>638</v>
      </c>
      <c r="J470" t="s">
        <v>632</v>
      </c>
      <c r="K470" s="2" t="s">
        <v>620</v>
      </c>
      <c r="L470" s="2" t="s">
        <v>620</v>
      </c>
      <c r="M470" s="2" t="s">
        <v>620</v>
      </c>
      <c r="N470" s="2" t="s">
        <v>620</v>
      </c>
      <c r="O470" t="s">
        <v>639</v>
      </c>
      <c r="P470" t="s">
        <v>639</v>
      </c>
      <c r="Q470" t="s">
        <v>639</v>
      </c>
      <c r="R470" t="s">
        <v>639</v>
      </c>
      <c r="S470" t="s">
        <v>639</v>
      </c>
      <c r="T470" t="s">
        <v>620</v>
      </c>
      <c r="U470" t="s">
        <v>620</v>
      </c>
      <c r="V470" s="3" t="str">
        <f>IF(AND(data[[#This Row],[status]]="OK",data[[#This Row],[approach]]="evoavalla"),data[[#This Row],[asm_path]],"")</f>
        <v/>
      </c>
      <c r="W470" s="3" t="str">
        <f>IF(AND(data[[#This Row],[status]]="OK",data[[#This Row],[approach]]="atgt"),data[[#This Row],[asm_path]],"")</f>
        <v/>
      </c>
      <c r="X470" s="3" t="b">
        <f>COUNTIF(W:W,data[[#This Row],[path_ok_status_evoavalla]]) = 1</f>
        <v>0</v>
      </c>
    </row>
    <row r="471" spans="1:24" x14ac:dyDescent="0.25">
      <c r="A471" t="s">
        <v>1208</v>
      </c>
      <c r="B471" t="s">
        <v>1209</v>
      </c>
      <c r="C471" t="s">
        <v>636</v>
      </c>
      <c r="D471" t="s">
        <v>636</v>
      </c>
      <c r="E471" t="s">
        <v>620</v>
      </c>
      <c r="F471" t="s">
        <v>636</v>
      </c>
      <c r="G471" t="s">
        <v>635</v>
      </c>
      <c r="H471" t="s">
        <v>1545</v>
      </c>
      <c r="I471" t="s">
        <v>638</v>
      </c>
      <c r="J471" t="s">
        <v>632</v>
      </c>
      <c r="K471" s="2" t="s">
        <v>620</v>
      </c>
      <c r="L471" s="2" t="s">
        <v>620</v>
      </c>
      <c r="M471" s="2" t="s">
        <v>620</v>
      </c>
      <c r="N471" s="2" t="s">
        <v>620</v>
      </c>
      <c r="O471" t="s">
        <v>639</v>
      </c>
      <c r="P471" t="s">
        <v>639</v>
      </c>
      <c r="Q471" t="s">
        <v>639</v>
      </c>
      <c r="R471" t="s">
        <v>639</v>
      </c>
      <c r="S471" t="s">
        <v>639</v>
      </c>
      <c r="T471" t="s">
        <v>620</v>
      </c>
      <c r="U471" t="s">
        <v>620</v>
      </c>
      <c r="V471" s="3" t="str">
        <f>IF(AND(data[[#This Row],[status]]="OK",data[[#This Row],[approach]]="evoavalla"),data[[#This Row],[asm_path]],"")</f>
        <v/>
      </c>
      <c r="W471" s="3" t="str">
        <f>IF(AND(data[[#This Row],[status]]="OK",data[[#This Row],[approach]]="atgt"),data[[#This Row],[asm_path]],"")</f>
        <v/>
      </c>
      <c r="X471" s="3" t="b">
        <f>COUNTIF(W:W,data[[#This Row],[path_ok_status_evoavalla]]) = 1</f>
        <v>0</v>
      </c>
    </row>
    <row r="472" spans="1:24" x14ac:dyDescent="0.25">
      <c r="A472" t="s">
        <v>1211</v>
      </c>
      <c r="B472" t="s">
        <v>1212</v>
      </c>
      <c r="C472" t="s">
        <v>798</v>
      </c>
      <c r="D472" t="s">
        <v>1065</v>
      </c>
      <c r="E472" t="s">
        <v>798</v>
      </c>
      <c r="F472" t="s">
        <v>1069</v>
      </c>
      <c r="G472" t="s">
        <v>1213</v>
      </c>
      <c r="H472" t="s">
        <v>1545</v>
      </c>
      <c r="I472" t="s">
        <v>638</v>
      </c>
      <c r="J472" t="s">
        <v>632</v>
      </c>
      <c r="K472" s="2" t="s">
        <v>620</v>
      </c>
      <c r="L472" s="2" t="s">
        <v>620</v>
      </c>
      <c r="M472" s="2" t="s">
        <v>620</v>
      </c>
      <c r="N472" s="2" t="s">
        <v>620</v>
      </c>
      <c r="O472" t="s">
        <v>639</v>
      </c>
      <c r="P472" t="s">
        <v>639</v>
      </c>
      <c r="Q472" t="s">
        <v>639</v>
      </c>
      <c r="R472" t="s">
        <v>639</v>
      </c>
      <c r="S472" t="s">
        <v>639</v>
      </c>
      <c r="T472" t="s">
        <v>620</v>
      </c>
      <c r="U472" t="s">
        <v>620</v>
      </c>
      <c r="V472" s="3" t="str">
        <f>IF(AND(data[[#This Row],[status]]="OK",data[[#This Row],[approach]]="evoavalla"),data[[#This Row],[asm_path]],"")</f>
        <v/>
      </c>
      <c r="W472" s="3" t="str">
        <f>IF(AND(data[[#This Row],[status]]="OK",data[[#This Row],[approach]]="atgt"),data[[#This Row],[asm_path]],"")</f>
        <v/>
      </c>
      <c r="X472" s="3" t="b">
        <f>COUNTIF(W:W,data[[#This Row],[path_ok_status_evoavalla]]) = 1</f>
        <v>0</v>
      </c>
    </row>
    <row r="473" spans="1:24" x14ac:dyDescent="0.25">
      <c r="A473" t="s">
        <v>1214</v>
      </c>
      <c r="B473" t="s">
        <v>1215</v>
      </c>
      <c r="C473" t="s">
        <v>716</v>
      </c>
      <c r="D473" t="s">
        <v>637</v>
      </c>
      <c r="E473" t="s">
        <v>636</v>
      </c>
      <c r="F473" t="s">
        <v>761</v>
      </c>
      <c r="G473" t="s">
        <v>735</v>
      </c>
      <c r="H473" t="s">
        <v>1545</v>
      </c>
      <c r="I473" t="s">
        <v>638</v>
      </c>
      <c r="J473" t="s">
        <v>632</v>
      </c>
      <c r="K473" s="2" t="s">
        <v>620</v>
      </c>
      <c r="L473" s="2" t="s">
        <v>620</v>
      </c>
      <c r="M473" s="2" t="s">
        <v>620</v>
      </c>
      <c r="N473" s="2" t="s">
        <v>620</v>
      </c>
      <c r="O473" t="s">
        <v>639</v>
      </c>
      <c r="P473" t="s">
        <v>639</v>
      </c>
      <c r="Q473" t="s">
        <v>639</v>
      </c>
      <c r="R473" t="s">
        <v>639</v>
      </c>
      <c r="S473" t="s">
        <v>639</v>
      </c>
      <c r="T473" t="s">
        <v>620</v>
      </c>
      <c r="U473" t="s">
        <v>620</v>
      </c>
      <c r="V473" s="3" t="str">
        <f>IF(AND(data[[#This Row],[status]]="OK",data[[#This Row],[approach]]="evoavalla"),data[[#This Row],[asm_path]],"")</f>
        <v/>
      </c>
      <c r="W473" s="3" t="str">
        <f>IF(AND(data[[#This Row],[status]]="OK",data[[#This Row],[approach]]="atgt"),data[[#This Row],[asm_path]],"")</f>
        <v/>
      </c>
      <c r="X473" s="3" t="b">
        <f>COUNTIF(W:W,data[[#This Row],[path_ok_status_evoavalla]]) = 1</f>
        <v>0</v>
      </c>
    </row>
    <row r="474" spans="1:24" x14ac:dyDescent="0.25">
      <c r="A474" t="s">
        <v>1216</v>
      </c>
      <c r="B474" t="s">
        <v>1217</v>
      </c>
      <c r="C474" t="s">
        <v>642</v>
      </c>
      <c r="D474" t="s">
        <v>752</v>
      </c>
      <c r="E474" t="s">
        <v>620</v>
      </c>
      <c r="F474" t="s">
        <v>642</v>
      </c>
      <c r="G474" t="s">
        <v>1218</v>
      </c>
      <c r="H474" t="s">
        <v>1545</v>
      </c>
      <c r="I474" t="s">
        <v>624</v>
      </c>
      <c r="J474" t="s">
        <v>1616</v>
      </c>
      <c r="K474" s="2" t="s">
        <v>675</v>
      </c>
      <c r="L474" s="2" t="s">
        <v>1066</v>
      </c>
      <c r="M474" s="2" t="s">
        <v>1617</v>
      </c>
      <c r="N474" s="2" t="s">
        <v>1618</v>
      </c>
      <c r="O474" t="s">
        <v>630</v>
      </c>
      <c r="P474" t="s">
        <v>630</v>
      </c>
      <c r="Q474" t="s">
        <v>632</v>
      </c>
      <c r="R474" t="s">
        <v>920</v>
      </c>
      <c r="S474" t="s">
        <v>630</v>
      </c>
      <c r="T474" t="s">
        <v>620</v>
      </c>
      <c r="U474" t="s">
        <v>620</v>
      </c>
      <c r="V474" s="3" t="str">
        <f>IF(AND(data[[#This Row],[status]]="OK",data[[#This Row],[approach]]="evoavalla"),data[[#This Row],[asm_path]],"")</f>
        <v/>
      </c>
      <c r="W474" s="3" t="str">
        <f>IF(AND(data[[#This Row],[status]]="OK",data[[#This Row],[approach]]="atgt"),data[[#This Row],[asm_path]],"")</f>
        <v>../../../asm_examples/stereoacuity/certifier_nochoose_noundef.asm</v>
      </c>
      <c r="X474" s="3" t="b">
        <f>COUNTIF(W:W,data[[#This Row],[path_ok_status_evoavalla]]) = 1</f>
        <v>0</v>
      </c>
    </row>
    <row r="475" spans="1:24" x14ac:dyDescent="0.25">
      <c r="A475" t="s">
        <v>1222</v>
      </c>
      <c r="B475" t="s">
        <v>1152</v>
      </c>
      <c r="C475" t="s">
        <v>710</v>
      </c>
      <c r="D475" t="s">
        <v>761</v>
      </c>
      <c r="E475" t="s">
        <v>620</v>
      </c>
      <c r="F475" t="s">
        <v>642</v>
      </c>
      <c r="G475" t="s">
        <v>821</v>
      </c>
      <c r="H475" t="s">
        <v>1545</v>
      </c>
      <c r="I475" t="s">
        <v>624</v>
      </c>
      <c r="J475" t="s">
        <v>1619</v>
      </c>
      <c r="K475" s="2" t="s">
        <v>637</v>
      </c>
      <c r="L475" s="2" t="s">
        <v>821</v>
      </c>
      <c r="M475" s="2" t="s">
        <v>1470</v>
      </c>
      <c r="N475" s="2" t="s">
        <v>1610</v>
      </c>
      <c r="O475" t="s">
        <v>630</v>
      </c>
      <c r="P475" t="s">
        <v>630</v>
      </c>
      <c r="Q475" t="s">
        <v>632</v>
      </c>
      <c r="R475" t="s">
        <v>630</v>
      </c>
      <c r="S475" t="s">
        <v>630</v>
      </c>
      <c r="T475" t="s">
        <v>620</v>
      </c>
      <c r="U475" t="s">
        <v>620</v>
      </c>
      <c r="V475" s="3" t="str">
        <f>IF(AND(data[[#This Row],[status]]="OK",data[[#This Row],[approach]]="evoavalla"),data[[#This Row],[asm_path]],"")</f>
        <v/>
      </c>
      <c r="W475" s="3" t="str">
        <f>IF(AND(data[[#This Row],[status]]="OK",data[[#This Row],[approach]]="atgt"),data[[#This Row],[asm_path]],"")</f>
        <v>../../../asm_examples/examples/TrafficLightYakindu/TrafficLight4/TrafficLight_4.asm</v>
      </c>
      <c r="X475" s="3" t="b">
        <f>COUNTIF(W:W,data[[#This Row],[path_ok_status_evoavalla]]) = 1</f>
        <v>0</v>
      </c>
    </row>
    <row r="476" spans="1:24" x14ac:dyDescent="0.25">
      <c r="A476" t="s">
        <v>1226</v>
      </c>
      <c r="B476" t="s">
        <v>1227</v>
      </c>
      <c r="C476" t="s">
        <v>621</v>
      </c>
      <c r="D476" t="s">
        <v>966</v>
      </c>
      <c r="E476" t="s">
        <v>628</v>
      </c>
      <c r="F476" t="s">
        <v>619</v>
      </c>
      <c r="G476" t="s">
        <v>837</v>
      </c>
      <c r="H476" t="s">
        <v>1545</v>
      </c>
      <c r="I476" t="s">
        <v>638</v>
      </c>
      <c r="J476" t="s">
        <v>632</v>
      </c>
      <c r="K476" s="2" t="s">
        <v>620</v>
      </c>
      <c r="L476" s="2" t="s">
        <v>620</v>
      </c>
      <c r="M476" s="2" t="s">
        <v>620</v>
      </c>
      <c r="N476" s="2" t="s">
        <v>620</v>
      </c>
      <c r="O476" t="s">
        <v>639</v>
      </c>
      <c r="P476" t="s">
        <v>639</v>
      </c>
      <c r="Q476" t="s">
        <v>639</v>
      </c>
      <c r="R476" t="s">
        <v>639</v>
      </c>
      <c r="S476" t="s">
        <v>639</v>
      </c>
      <c r="T476" t="s">
        <v>620</v>
      </c>
      <c r="U476" t="s">
        <v>620</v>
      </c>
      <c r="V476" s="3" t="str">
        <f>IF(AND(data[[#This Row],[status]]="OK",data[[#This Row],[approach]]="evoavalla"),data[[#This Row],[asm_path]],"")</f>
        <v/>
      </c>
      <c r="W476" s="3" t="str">
        <f>IF(AND(data[[#This Row],[status]]="OK",data[[#This Row],[approach]]="atgt"),data[[#This Row],[asm_path]],"")</f>
        <v/>
      </c>
      <c r="X476" s="3" t="b">
        <f>COUNTIF(W:W,data[[#This Row],[path_ok_status_evoavalla]]) = 1</f>
        <v>0</v>
      </c>
    </row>
    <row r="477" spans="1:24" x14ac:dyDescent="0.25">
      <c r="A477" t="s">
        <v>1228</v>
      </c>
      <c r="B477" t="s">
        <v>1229</v>
      </c>
      <c r="C477" t="s">
        <v>621</v>
      </c>
      <c r="D477" t="s">
        <v>619</v>
      </c>
      <c r="E477" t="s">
        <v>620</v>
      </c>
      <c r="F477" t="s">
        <v>761</v>
      </c>
      <c r="G477" t="s">
        <v>697</v>
      </c>
      <c r="H477" t="s">
        <v>1545</v>
      </c>
      <c r="I477" t="s">
        <v>638</v>
      </c>
      <c r="J477" t="s">
        <v>632</v>
      </c>
      <c r="K477" s="2" t="s">
        <v>620</v>
      </c>
      <c r="L477" s="2" t="s">
        <v>620</v>
      </c>
      <c r="M477" s="2" t="s">
        <v>620</v>
      </c>
      <c r="N477" s="2" t="s">
        <v>620</v>
      </c>
      <c r="O477" t="s">
        <v>639</v>
      </c>
      <c r="P477" t="s">
        <v>639</v>
      </c>
      <c r="Q477" t="s">
        <v>639</v>
      </c>
      <c r="R477" t="s">
        <v>639</v>
      </c>
      <c r="S477" t="s">
        <v>639</v>
      </c>
      <c r="T477" t="s">
        <v>620</v>
      </c>
      <c r="U477" t="s">
        <v>620</v>
      </c>
      <c r="V477" s="3" t="str">
        <f>IF(AND(data[[#This Row],[status]]="OK",data[[#This Row],[approach]]="evoavalla"),data[[#This Row],[asm_path]],"")</f>
        <v/>
      </c>
      <c r="W477" s="3" t="str">
        <f>IF(AND(data[[#This Row],[status]]="OK",data[[#This Row],[approach]]="atgt"),data[[#This Row],[asm_path]],"")</f>
        <v/>
      </c>
      <c r="X477" s="3" t="b">
        <f>COUNTIF(W:W,data[[#This Row],[path_ok_status_evoavalla]]) = 1</f>
        <v>0</v>
      </c>
    </row>
    <row r="478" spans="1:24" x14ac:dyDescent="0.25">
      <c r="A478" t="s">
        <v>1233</v>
      </c>
      <c r="B478" t="s">
        <v>1234</v>
      </c>
      <c r="C478" t="s">
        <v>682</v>
      </c>
      <c r="D478" t="s">
        <v>636</v>
      </c>
      <c r="E478" t="s">
        <v>620</v>
      </c>
      <c r="F478" t="s">
        <v>635</v>
      </c>
      <c r="G478" t="s">
        <v>886</v>
      </c>
      <c r="H478" t="s">
        <v>1545</v>
      </c>
      <c r="I478" t="s">
        <v>638</v>
      </c>
      <c r="J478" t="s">
        <v>632</v>
      </c>
      <c r="K478" s="2" t="s">
        <v>620</v>
      </c>
      <c r="L478" s="2" t="s">
        <v>620</v>
      </c>
      <c r="M478" s="2" t="s">
        <v>620</v>
      </c>
      <c r="N478" s="2" t="s">
        <v>620</v>
      </c>
      <c r="O478" t="s">
        <v>639</v>
      </c>
      <c r="P478" t="s">
        <v>639</v>
      </c>
      <c r="Q478" t="s">
        <v>639</v>
      </c>
      <c r="R478" t="s">
        <v>639</v>
      </c>
      <c r="S478" t="s">
        <v>639</v>
      </c>
      <c r="T478" t="s">
        <v>620</v>
      </c>
      <c r="U478" t="s">
        <v>620</v>
      </c>
      <c r="V478" s="3" t="str">
        <f>IF(AND(data[[#This Row],[status]]="OK",data[[#This Row],[approach]]="evoavalla"),data[[#This Row],[asm_path]],"")</f>
        <v/>
      </c>
      <c r="W478" s="3" t="str">
        <f>IF(AND(data[[#This Row],[status]]="OK",data[[#This Row],[approach]]="atgt"),data[[#This Row],[asm_path]],"")</f>
        <v/>
      </c>
      <c r="X478" s="3" t="b">
        <f>COUNTIF(W:W,data[[#This Row],[path_ok_status_evoavalla]]) = 1</f>
        <v>0</v>
      </c>
    </row>
    <row r="479" spans="1:24" x14ac:dyDescent="0.25">
      <c r="A479" t="s">
        <v>1235</v>
      </c>
      <c r="B479" t="s">
        <v>1236</v>
      </c>
      <c r="C479" t="s">
        <v>683</v>
      </c>
      <c r="D479" t="s">
        <v>628</v>
      </c>
      <c r="E479" t="s">
        <v>620</v>
      </c>
      <c r="F479" t="s">
        <v>635</v>
      </c>
      <c r="G479" t="s">
        <v>745</v>
      </c>
      <c r="H479" t="s">
        <v>1545</v>
      </c>
      <c r="I479" t="s">
        <v>638</v>
      </c>
      <c r="J479" t="s">
        <v>632</v>
      </c>
      <c r="K479" s="2" t="s">
        <v>620</v>
      </c>
      <c r="L479" s="2" t="s">
        <v>620</v>
      </c>
      <c r="M479" s="2" t="s">
        <v>620</v>
      </c>
      <c r="N479" s="2" t="s">
        <v>620</v>
      </c>
      <c r="O479" t="s">
        <v>639</v>
      </c>
      <c r="P479" t="s">
        <v>639</v>
      </c>
      <c r="Q479" t="s">
        <v>639</v>
      </c>
      <c r="R479" t="s">
        <v>639</v>
      </c>
      <c r="S479" t="s">
        <v>639</v>
      </c>
      <c r="T479" t="s">
        <v>620</v>
      </c>
      <c r="U479" t="s">
        <v>620</v>
      </c>
      <c r="V479" s="3" t="str">
        <f>IF(AND(data[[#This Row],[status]]="OK",data[[#This Row],[approach]]="evoavalla"),data[[#This Row],[asm_path]],"")</f>
        <v/>
      </c>
      <c r="W479" s="3" t="str">
        <f>IF(AND(data[[#This Row],[status]]="OK",data[[#This Row],[approach]]="atgt"),data[[#This Row],[asm_path]],"")</f>
        <v/>
      </c>
      <c r="X479" s="3" t="b">
        <f>COUNTIF(W:W,data[[#This Row],[path_ok_status_evoavalla]]) = 1</f>
        <v>0</v>
      </c>
    </row>
    <row r="480" spans="1:24" x14ac:dyDescent="0.25">
      <c r="A480" t="s">
        <v>1237</v>
      </c>
      <c r="B480" t="s">
        <v>1238</v>
      </c>
      <c r="C480" t="s">
        <v>682</v>
      </c>
      <c r="D480" t="s">
        <v>626</v>
      </c>
      <c r="E480" t="s">
        <v>620</v>
      </c>
      <c r="F480" t="s">
        <v>682</v>
      </c>
      <c r="G480" t="s">
        <v>761</v>
      </c>
      <c r="H480" t="s">
        <v>1545</v>
      </c>
      <c r="I480" t="s">
        <v>638</v>
      </c>
      <c r="J480" t="s">
        <v>632</v>
      </c>
      <c r="K480" s="2" t="s">
        <v>620</v>
      </c>
      <c r="L480" s="2" t="s">
        <v>620</v>
      </c>
      <c r="M480" s="2" t="s">
        <v>620</v>
      </c>
      <c r="N480" s="2" t="s">
        <v>620</v>
      </c>
      <c r="O480" t="s">
        <v>639</v>
      </c>
      <c r="P480" t="s">
        <v>639</v>
      </c>
      <c r="Q480" t="s">
        <v>639</v>
      </c>
      <c r="R480" t="s">
        <v>639</v>
      </c>
      <c r="S480" t="s">
        <v>639</v>
      </c>
      <c r="T480" t="s">
        <v>620</v>
      </c>
      <c r="U480" t="s">
        <v>620</v>
      </c>
      <c r="V480" s="3" t="str">
        <f>IF(AND(data[[#This Row],[status]]="OK",data[[#This Row],[approach]]="evoavalla"),data[[#This Row],[asm_path]],"")</f>
        <v/>
      </c>
      <c r="W480" s="3" t="str">
        <f>IF(AND(data[[#This Row],[status]]="OK",data[[#This Row],[approach]]="atgt"),data[[#This Row],[asm_path]],"")</f>
        <v/>
      </c>
      <c r="X480" s="3" t="b">
        <f>COUNTIF(W:W,data[[#This Row],[path_ok_status_evoavalla]]) = 1</f>
        <v>0</v>
      </c>
    </row>
    <row r="481" spans="1:24" x14ac:dyDescent="0.25">
      <c r="A481" t="s">
        <v>1240</v>
      </c>
      <c r="B481" t="s">
        <v>1241</v>
      </c>
      <c r="C481" t="s">
        <v>635</v>
      </c>
      <c r="D481" t="s">
        <v>635</v>
      </c>
      <c r="E481" t="s">
        <v>620</v>
      </c>
      <c r="F481" t="s">
        <v>682</v>
      </c>
      <c r="G481" t="s">
        <v>637</v>
      </c>
      <c r="H481" t="s">
        <v>1545</v>
      </c>
      <c r="I481" t="s">
        <v>638</v>
      </c>
      <c r="J481" t="s">
        <v>632</v>
      </c>
      <c r="K481" s="2" t="s">
        <v>620</v>
      </c>
      <c r="L481" s="2" t="s">
        <v>620</v>
      </c>
      <c r="M481" s="2" t="s">
        <v>620</v>
      </c>
      <c r="N481" s="2" t="s">
        <v>620</v>
      </c>
      <c r="O481" t="s">
        <v>639</v>
      </c>
      <c r="P481" t="s">
        <v>639</v>
      </c>
      <c r="Q481" t="s">
        <v>639</v>
      </c>
      <c r="R481" t="s">
        <v>639</v>
      </c>
      <c r="S481" t="s">
        <v>639</v>
      </c>
      <c r="T481" t="s">
        <v>620</v>
      </c>
      <c r="U481" t="s">
        <v>620</v>
      </c>
      <c r="V481" s="3" t="str">
        <f>IF(AND(data[[#This Row],[status]]="OK",data[[#This Row],[approach]]="evoavalla"),data[[#This Row],[asm_path]],"")</f>
        <v/>
      </c>
      <c r="W481" s="3" t="str">
        <f>IF(AND(data[[#This Row],[status]]="OK",data[[#This Row],[approach]]="atgt"),data[[#This Row],[asm_path]],"")</f>
        <v/>
      </c>
      <c r="X481" s="3" t="b">
        <f>COUNTIF(W:W,data[[#This Row],[path_ok_status_evoavalla]]) = 1</f>
        <v>0</v>
      </c>
    </row>
    <row r="482" spans="1:24" x14ac:dyDescent="0.25">
      <c r="A482" t="s">
        <v>1242</v>
      </c>
      <c r="B482" t="s">
        <v>1243</v>
      </c>
      <c r="C482" t="s">
        <v>886</v>
      </c>
      <c r="D482" t="s">
        <v>826</v>
      </c>
      <c r="E482" t="s">
        <v>621</v>
      </c>
      <c r="F482" t="s">
        <v>696</v>
      </c>
      <c r="G482" t="s">
        <v>1244</v>
      </c>
      <c r="H482" t="s">
        <v>1545</v>
      </c>
      <c r="I482" t="s">
        <v>638</v>
      </c>
      <c r="J482" t="s">
        <v>632</v>
      </c>
      <c r="K482" s="2" t="s">
        <v>620</v>
      </c>
      <c r="L482" s="2" t="s">
        <v>620</v>
      </c>
      <c r="M482" s="2" t="s">
        <v>620</v>
      </c>
      <c r="N482" s="2" t="s">
        <v>620</v>
      </c>
      <c r="O482" t="s">
        <v>639</v>
      </c>
      <c r="P482" t="s">
        <v>639</v>
      </c>
      <c r="Q482" t="s">
        <v>639</v>
      </c>
      <c r="R482" t="s">
        <v>639</v>
      </c>
      <c r="S482" t="s">
        <v>639</v>
      </c>
      <c r="T482" t="s">
        <v>620</v>
      </c>
      <c r="U482" t="s">
        <v>620</v>
      </c>
      <c r="V482" s="3" t="str">
        <f>IF(AND(data[[#This Row],[status]]="OK",data[[#This Row],[approach]]="evoavalla"),data[[#This Row],[asm_path]],"")</f>
        <v/>
      </c>
      <c r="W482" s="3" t="str">
        <f>IF(AND(data[[#This Row],[status]]="OK",data[[#This Row],[approach]]="atgt"),data[[#This Row],[asm_path]],"")</f>
        <v/>
      </c>
      <c r="X482" s="3" t="b">
        <f>COUNTIF(W:W,data[[#This Row],[path_ok_status_evoavalla]]) = 1</f>
        <v>0</v>
      </c>
    </row>
    <row r="483" spans="1:24" x14ac:dyDescent="0.25">
      <c r="A483" t="s">
        <v>1245</v>
      </c>
      <c r="B483" t="s">
        <v>634</v>
      </c>
      <c r="C483" t="s">
        <v>635</v>
      </c>
      <c r="D483" t="s">
        <v>635</v>
      </c>
      <c r="E483" t="s">
        <v>636</v>
      </c>
      <c r="F483" t="s">
        <v>626</v>
      </c>
      <c r="G483" t="s">
        <v>761</v>
      </c>
      <c r="H483" t="s">
        <v>1545</v>
      </c>
      <c r="I483" t="s">
        <v>638</v>
      </c>
      <c r="J483" t="s">
        <v>632</v>
      </c>
      <c r="K483" s="2" t="s">
        <v>620</v>
      </c>
      <c r="L483" s="2" t="s">
        <v>620</v>
      </c>
      <c r="M483" s="2" t="s">
        <v>620</v>
      </c>
      <c r="N483" s="2" t="s">
        <v>620</v>
      </c>
      <c r="O483" t="s">
        <v>639</v>
      </c>
      <c r="P483" t="s">
        <v>639</v>
      </c>
      <c r="Q483" t="s">
        <v>639</v>
      </c>
      <c r="R483" t="s">
        <v>639</v>
      </c>
      <c r="S483" t="s">
        <v>639</v>
      </c>
      <c r="T483" t="s">
        <v>620</v>
      </c>
      <c r="U483" t="s">
        <v>620</v>
      </c>
      <c r="V483" s="3" t="str">
        <f>IF(AND(data[[#This Row],[status]]="OK",data[[#This Row],[approach]]="evoavalla"),data[[#This Row],[asm_path]],"")</f>
        <v/>
      </c>
      <c r="W483" s="3" t="str">
        <f>IF(AND(data[[#This Row],[status]]="OK",data[[#This Row],[approach]]="atgt"),data[[#This Row],[asm_path]],"")</f>
        <v/>
      </c>
      <c r="X483" s="3" t="b">
        <f>COUNTIF(W:W,data[[#This Row],[path_ok_status_evoavalla]]) = 1</f>
        <v>0</v>
      </c>
    </row>
    <row r="484" spans="1:24" x14ac:dyDescent="0.25">
      <c r="A484" t="s">
        <v>1246</v>
      </c>
      <c r="B484" t="s">
        <v>1247</v>
      </c>
      <c r="C484" t="s">
        <v>635</v>
      </c>
      <c r="D484" t="s">
        <v>636</v>
      </c>
      <c r="E484" t="s">
        <v>636</v>
      </c>
      <c r="F484" t="s">
        <v>635</v>
      </c>
      <c r="G484" t="s">
        <v>664</v>
      </c>
      <c r="H484" t="s">
        <v>1545</v>
      </c>
      <c r="I484" t="s">
        <v>638</v>
      </c>
      <c r="J484" t="s">
        <v>632</v>
      </c>
      <c r="K484" s="2" t="s">
        <v>620</v>
      </c>
      <c r="L484" s="2" t="s">
        <v>620</v>
      </c>
      <c r="M484" s="2" t="s">
        <v>620</v>
      </c>
      <c r="N484" s="2" t="s">
        <v>620</v>
      </c>
      <c r="O484" t="s">
        <v>639</v>
      </c>
      <c r="P484" t="s">
        <v>639</v>
      </c>
      <c r="Q484" t="s">
        <v>639</v>
      </c>
      <c r="R484" t="s">
        <v>639</v>
      </c>
      <c r="S484" t="s">
        <v>639</v>
      </c>
      <c r="T484" t="s">
        <v>620</v>
      </c>
      <c r="U484" t="s">
        <v>620</v>
      </c>
      <c r="V484" s="3" t="str">
        <f>IF(AND(data[[#This Row],[status]]="OK",data[[#This Row],[approach]]="evoavalla"),data[[#This Row],[asm_path]],"")</f>
        <v/>
      </c>
      <c r="W484" s="3" t="str">
        <f>IF(AND(data[[#This Row],[status]]="OK",data[[#This Row],[approach]]="atgt"),data[[#This Row],[asm_path]],"")</f>
        <v/>
      </c>
      <c r="X484" s="3" t="b">
        <f>COUNTIF(W:W,data[[#This Row],[path_ok_status_evoavalla]]) = 1</f>
        <v>0</v>
      </c>
    </row>
    <row r="485" spans="1:24" x14ac:dyDescent="0.25">
      <c r="A485" t="s">
        <v>1248</v>
      </c>
      <c r="B485" t="s">
        <v>1249</v>
      </c>
      <c r="C485" t="s">
        <v>710</v>
      </c>
      <c r="D485" t="s">
        <v>627</v>
      </c>
      <c r="E485" t="s">
        <v>636</v>
      </c>
      <c r="F485" t="s">
        <v>710</v>
      </c>
      <c r="G485" t="s">
        <v>1250</v>
      </c>
      <c r="H485" t="s">
        <v>1545</v>
      </c>
      <c r="I485" t="s">
        <v>638</v>
      </c>
      <c r="J485" t="s">
        <v>632</v>
      </c>
      <c r="K485" s="2" t="s">
        <v>620</v>
      </c>
      <c r="L485" s="2" t="s">
        <v>620</v>
      </c>
      <c r="M485" s="2" t="s">
        <v>620</v>
      </c>
      <c r="N485" s="2" t="s">
        <v>620</v>
      </c>
      <c r="O485" t="s">
        <v>639</v>
      </c>
      <c r="P485" t="s">
        <v>639</v>
      </c>
      <c r="Q485" t="s">
        <v>639</v>
      </c>
      <c r="R485" t="s">
        <v>639</v>
      </c>
      <c r="S485" t="s">
        <v>639</v>
      </c>
      <c r="T485" t="s">
        <v>620</v>
      </c>
      <c r="U485" t="s">
        <v>620</v>
      </c>
      <c r="V485" s="3" t="str">
        <f>IF(AND(data[[#This Row],[status]]="OK",data[[#This Row],[approach]]="evoavalla"),data[[#This Row],[asm_path]],"")</f>
        <v/>
      </c>
      <c r="W485" s="3" t="str">
        <f>IF(AND(data[[#This Row],[status]]="OK",data[[#This Row],[approach]]="atgt"),data[[#This Row],[asm_path]],"")</f>
        <v/>
      </c>
      <c r="X485" s="3" t="b">
        <f>COUNTIF(W:W,data[[#This Row],[path_ok_status_evoavalla]]) = 1</f>
        <v>0</v>
      </c>
    </row>
    <row r="486" spans="1:24" x14ac:dyDescent="0.25">
      <c r="A486" t="s">
        <v>1251</v>
      </c>
      <c r="B486" t="s">
        <v>1252</v>
      </c>
      <c r="C486" t="s">
        <v>677</v>
      </c>
      <c r="D486" t="s">
        <v>1253</v>
      </c>
      <c r="E486" t="s">
        <v>886</v>
      </c>
      <c r="F486" t="s">
        <v>753</v>
      </c>
      <c r="G486" t="s">
        <v>858</v>
      </c>
      <c r="H486" t="s">
        <v>1545</v>
      </c>
      <c r="I486" t="s">
        <v>638</v>
      </c>
      <c r="J486" t="s">
        <v>632</v>
      </c>
      <c r="K486" s="2" t="s">
        <v>620</v>
      </c>
      <c r="L486" s="2" t="s">
        <v>620</v>
      </c>
      <c r="M486" s="2" t="s">
        <v>620</v>
      </c>
      <c r="N486" s="2" t="s">
        <v>620</v>
      </c>
      <c r="O486" t="s">
        <v>639</v>
      </c>
      <c r="P486" t="s">
        <v>639</v>
      </c>
      <c r="Q486" t="s">
        <v>639</v>
      </c>
      <c r="R486" t="s">
        <v>639</v>
      </c>
      <c r="S486" t="s">
        <v>639</v>
      </c>
      <c r="T486" t="s">
        <v>620</v>
      </c>
      <c r="U486" t="s">
        <v>620</v>
      </c>
      <c r="V486" s="3" t="str">
        <f>IF(AND(data[[#This Row],[status]]="OK",data[[#This Row],[approach]]="evoavalla"),data[[#This Row],[asm_path]],"")</f>
        <v/>
      </c>
      <c r="W486" s="3" t="str">
        <f>IF(AND(data[[#This Row],[status]]="OK",data[[#This Row],[approach]]="atgt"),data[[#This Row],[asm_path]],"")</f>
        <v/>
      </c>
      <c r="X486" s="3" t="b">
        <f>COUNTIF(W:W,data[[#This Row],[path_ok_status_evoavalla]]) = 1</f>
        <v>0</v>
      </c>
    </row>
    <row r="487" spans="1:24" x14ac:dyDescent="0.25">
      <c r="A487" t="s">
        <v>1254</v>
      </c>
      <c r="B487" t="s">
        <v>979</v>
      </c>
      <c r="C487" t="s">
        <v>683</v>
      </c>
      <c r="D487" t="s">
        <v>626</v>
      </c>
      <c r="E487" t="s">
        <v>620</v>
      </c>
      <c r="F487" t="s">
        <v>716</v>
      </c>
      <c r="G487" t="s">
        <v>750</v>
      </c>
      <c r="H487" t="s">
        <v>1545</v>
      </c>
      <c r="I487" t="s">
        <v>638</v>
      </c>
      <c r="J487" t="s">
        <v>632</v>
      </c>
      <c r="K487" s="2" t="s">
        <v>620</v>
      </c>
      <c r="L487" s="2" t="s">
        <v>620</v>
      </c>
      <c r="M487" s="2" t="s">
        <v>620</v>
      </c>
      <c r="N487" s="2" t="s">
        <v>620</v>
      </c>
      <c r="O487" t="s">
        <v>639</v>
      </c>
      <c r="P487" t="s">
        <v>639</v>
      </c>
      <c r="Q487" t="s">
        <v>639</v>
      </c>
      <c r="R487" t="s">
        <v>639</v>
      </c>
      <c r="S487" t="s">
        <v>639</v>
      </c>
      <c r="T487" t="s">
        <v>620</v>
      </c>
      <c r="U487" t="s">
        <v>620</v>
      </c>
      <c r="V487" s="3" t="str">
        <f>IF(AND(data[[#This Row],[status]]="OK",data[[#This Row],[approach]]="evoavalla"),data[[#This Row],[asm_path]],"")</f>
        <v/>
      </c>
      <c r="W487" s="3" t="str">
        <f>IF(AND(data[[#This Row],[status]]="OK",data[[#This Row],[approach]]="atgt"),data[[#This Row],[asm_path]],"")</f>
        <v/>
      </c>
      <c r="X487" s="3" t="b">
        <f>COUNTIF(W:W,data[[#This Row],[path_ok_status_evoavalla]]) = 1</f>
        <v>0</v>
      </c>
    </row>
    <row r="488" spans="1:24" x14ac:dyDescent="0.25">
      <c r="A488" t="s">
        <v>1255</v>
      </c>
      <c r="B488" t="s">
        <v>1256</v>
      </c>
      <c r="C488" t="s">
        <v>664</v>
      </c>
      <c r="D488" t="s">
        <v>980</v>
      </c>
      <c r="E488" t="s">
        <v>620</v>
      </c>
      <c r="F488" t="s">
        <v>682</v>
      </c>
      <c r="G488" t="s">
        <v>821</v>
      </c>
      <c r="H488" t="s">
        <v>1545</v>
      </c>
      <c r="I488" t="s">
        <v>624</v>
      </c>
      <c r="J488" t="s">
        <v>1620</v>
      </c>
      <c r="K488" s="2" t="s">
        <v>643</v>
      </c>
      <c r="L488" s="2" t="s">
        <v>1591</v>
      </c>
      <c r="M488" s="2" t="s">
        <v>1591</v>
      </c>
      <c r="N488" s="2" t="s">
        <v>1592</v>
      </c>
      <c r="O488" t="s">
        <v>630</v>
      </c>
      <c r="P488" t="s">
        <v>630</v>
      </c>
      <c r="Q488" t="s">
        <v>632</v>
      </c>
      <c r="R488" t="s">
        <v>630</v>
      </c>
      <c r="S488" t="s">
        <v>630</v>
      </c>
      <c r="T488" t="s">
        <v>620</v>
      </c>
      <c r="U488" t="s">
        <v>620</v>
      </c>
      <c r="V488" s="3" t="str">
        <f>IF(AND(data[[#This Row],[status]]="OK",data[[#This Row],[approach]]="evoavalla"),data[[#This Row],[asm_path]],"")</f>
        <v/>
      </c>
      <c r="W488" s="3" t="str">
        <f>IF(AND(data[[#This Row],[status]]="OK",data[[#This Row],[approach]]="atgt"),data[[#This Row],[asm_path]],"")</f>
        <v>../../../asm_examples/examples/landingGearSystem/LGS_EV.asm</v>
      </c>
      <c r="X488" s="3" t="b">
        <f>COUNTIF(W:W,data[[#This Row],[path_ok_status_evoavalla]]) = 1</f>
        <v>0</v>
      </c>
    </row>
    <row r="489" spans="1:24" x14ac:dyDescent="0.25">
      <c r="A489" t="s">
        <v>1259</v>
      </c>
      <c r="B489" t="s">
        <v>1260</v>
      </c>
      <c r="C489" t="s">
        <v>635</v>
      </c>
      <c r="D489" t="s">
        <v>635</v>
      </c>
      <c r="E489" t="s">
        <v>636</v>
      </c>
      <c r="F489" t="s">
        <v>626</v>
      </c>
      <c r="G489" t="s">
        <v>621</v>
      </c>
      <c r="H489" t="s">
        <v>1545</v>
      </c>
      <c r="I489" t="s">
        <v>638</v>
      </c>
      <c r="J489" t="s">
        <v>632</v>
      </c>
      <c r="K489" s="2" t="s">
        <v>620</v>
      </c>
      <c r="L489" s="2" t="s">
        <v>620</v>
      </c>
      <c r="M489" s="2" t="s">
        <v>620</v>
      </c>
      <c r="N489" s="2" t="s">
        <v>620</v>
      </c>
      <c r="O489" t="s">
        <v>639</v>
      </c>
      <c r="P489" t="s">
        <v>639</v>
      </c>
      <c r="Q489" t="s">
        <v>639</v>
      </c>
      <c r="R489" t="s">
        <v>639</v>
      </c>
      <c r="S489" t="s">
        <v>639</v>
      </c>
      <c r="T489" t="s">
        <v>620</v>
      </c>
      <c r="U489" t="s">
        <v>620</v>
      </c>
      <c r="V489" s="3" t="str">
        <f>IF(AND(data[[#This Row],[status]]="OK",data[[#This Row],[approach]]="evoavalla"),data[[#This Row],[asm_path]],"")</f>
        <v/>
      </c>
      <c r="W489" s="3" t="str">
        <f>IF(AND(data[[#This Row],[status]]="OK",data[[#This Row],[approach]]="atgt"),data[[#This Row],[asm_path]],"")</f>
        <v/>
      </c>
      <c r="X489" s="3" t="b">
        <f>COUNTIF(W:W,data[[#This Row],[path_ok_status_evoavalla]]) = 1</f>
        <v>0</v>
      </c>
    </row>
    <row r="490" spans="1:24" x14ac:dyDescent="0.25">
      <c r="A490" t="s">
        <v>1261</v>
      </c>
      <c r="B490" t="s">
        <v>1262</v>
      </c>
      <c r="C490" t="s">
        <v>669</v>
      </c>
      <c r="D490" t="s">
        <v>752</v>
      </c>
      <c r="E490" t="s">
        <v>628</v>
      </c>
      <c r="F490" t="s">
        <v>886</v>
      </c>
      <c r="G490" t="s">
        <v>1263</v>
      </c>
      <c r="H490" t="s">
        <v>1545</v>
      </c>
      <c r="I490" t="s">
        <v>638</v>
      </c>
      <c r="J490" t="s">
        <v>632</v>
      </c>
      <c r="K490" s="2" t="s">
        <v>620</v>
      </c>
      <c r="L490" s="2" t="s">
        <v>620</v>
      </c>
      <c r="M490" s="2" t="s">
        <v>620</v>
      </c>
      <c r="N490" s="2" t="s">
        <v>620</v>
      </c>
      <c r="O490" t="s">
        <v>639</v>
      </c>
      <c r="P490" t="s">
        <v>639</v>
      </c>
      <c r="Q490" t="s">
        <v>639</v>
      </c>
      <c r="R490" t="s">
        <v>639</v>
      </c>
      <c r="S490" t="s">
        <v>639</v>
      </c>
      <c r="T490" t="s">
        <v>620</v>
      </c>
      <c r="U490" t="s">
        <v>620</v>
      </c>
      <c r="V490" s="3" t="str">
        <f>IF(AND(data[[#This Row],[status]]="OK",data[[#This Row],[approach]]="evoavalla"),data[[#This Row],[asm_path]],"")</f>
        <v/>
      </c>
      <c r="W490" s="3" t="str">
        <f>IF(AND(data[[#This Row],[status]]="OK",data[[#This Row],[approach]]="atgt"),data[[#This Row],[asm_path]],"")</f>
        <v/>
      </c>
      <c r="X490" s="3" t="b">
        <f>COUNTIF(W:W,data[[#This Row],[path_ok_status_evoavalla]]) = 1</f>
        <v>0</v>
      </c>
    </row>
    <row r="491" spans="1:24" x14ac:dyDescent="0.25">
      <c r="A491" t="s">
        <v>1264</v>
      </c>
      <c r="B491" t="s">
        <v>1265</v>
      </c>
      <c r="C491" t="s">
        <v>682</v>
      </c>
      <c r="D491" t="s">
        <v>683</v>
      </c>
      <c r="E491" t="s">
        <v>620</v>
      </c>
      <c r="F491" t="s">
        <v>664</v>
      </c>
      <c r="G491" t="s">
        <v>690</v>
      </c>
      <c r="H491" t="s">
        <v>1545</v>
      </c>
      <c r="I491" t="s">
        <v>638</v>
      </c>
      <c r="J491" t="s">
        <v>632</v>
      </c>
      <c r="K491" s="2" t="s">
        <v>620</v>
      </c>
      <c r="L491" s="2" t="s">
        <v>620</v>
      </c>
      <c r="M491" s="2" t="s">
        <v>620</v>
      </c>
      <c r="N491" s="2" t="s">
        <v>620</v>
      </c>
      <c r="O491" t="s">
        <v>639</v>
      </c>
      <c r="P491" t="s">
        <v>639</v>
      </c>
      <c r="Q491" t="s">
        <v>639</v>
      </c>
      <c r="R491" t="s">
        <v>639</v>
      </c>
      <c r="S491" t="s">
        <v>639</v>
      </c>
      <c r="T491" t="s">
        <v>620</v>
      </c>
      <c r="U491" t="s">
        <v>620</v>
      </c>
      <c r="V491" s="3" t="str">
        <f>IF(AND(data[[#This Row],[status]]="OK",data[[#This Row],[approach]]="evoavalla"),data[[#This Row],[asm_path]],"")</f>
        <v/>
      </c>
      <c r="W491" s="3" t="str">
        <f>IF(AND(data[[#This Row],[status]]="OK",data[[#This Row],[approach]]="atgt"),data[[#This Row],[asm_path]],"")</f>
        <v/>
      </c>
      <c r="X491" s="3" t="b">
        <f>COUNTIF(W:W,data[[#This Row],[path_ok_status_evoavalla]]) = 1</f>
        <v>0</v>
      </c>
    </row>
    <row r="492" spans="1:24" x14ac:dyDescent="0.25">
      <c r="A492" t="s">
        <v>1266</v>
      </c>
      <c r="B492" t="s">
        <v>1267</v>
      </c>
      <c r="C492" t="s">
        <v>635</v>
      </c>
      <c r="D492" t="s">
        <v>635</v>
      </c>
      <c r="E492" t="s">
        <v>636</v>
      </c>
      <c r="F492" t="s">
        <v>626</v>
      </c>
      <c r="G492" t="s">
        <v>637</v>
      </c>
      <c r="H492" t="s">
        <v>1545</v>
      </c>
      <c r="I492" t="s">
        <v>638</v>
      </c>
      <c r="J492" t="s">
        <v>632</v>
      </c>
      <c r="K492" s="2" t="s">
        <v>620</v>
      </c>
      <c r="L492" s="2" t="s">
        <v>620</v>
      </c>
      <c r="M492" s="2" t="s">
        <v>620</v>
      </c>
      <c r="N492" s="2" t="s">
        <v>620</v>
      </c>
      <c r="O492" t="s">
        <v>639</v>
      </c>
      <c r="P492" t="s">
        <v>639</v>
      </c>
      <c r="Q492" t="s">
        <v>639</v>
      </c>
      <c r="R492" t="s">
        <v>639</v>
      </c>
      <c r="S492" t="s">
        <v>639</v>
      </c>
      <c r="T492" t="s">
        <v>620</v>
      </c>
      <c r="U492" t="s">
        <v>620</v>
      </c>
      <c r="V492" s="3" t="str">
        <f>IF(AND(data[[#This Row],[status]]="OK",data[[#This Row],[approach]]="evoavalla"),data[[#This Row],[asm_path]],"")</f>
        <v/>
      </c>
      <c r="W492" s="3" t="str">
        <f>IF(AND(data[[#This Row],[status]]="OK",data[[#This Row],[approach]]="atgt"),data[[#This Row],[asm_path]],"")</f>
        <v/>
      </c>
      <c r="X492" s="3" t="b">
        <f>COUNTIF(W:W,data[[#This Row],[path_ok_status_evoavalla]]) = 1</f>
        <v>0</v>
      </c>
    </row>
    <row r="493" spans="1:24" x14ac:dyDescent="0.25">
      <c r="A493" t="s">
        <v>1268</v>
      </c>
      <c r="B493" t="s">
        <v>1269</v>
      </c>
      <c r="C493" t="s">
        <v>717</v>
      </c>
      <c r="D493" t="s">
        <v>815</v>
      </c>
      <c r="E493" t="s">
        <v>816</v>
      </c>
      <c r="F493" t="s">
        <v>817</v>
      </c>
      <c r="G493" t="s">
        <v>818</v>
      </c>
      <c r="H493" t="s">
        <v>1545</v>
      </c>
      <c r="I493" t="s">
        <v>638</v>
      </c>
      <c r="J493" t="s">
        <v>632</v>
      </c>
      <c r="K493" s="2" t="s">
        <v>620</v>
      </c>
      <c r="L493" s="2" t="s">
        <v>620</v>
      </c>
      <c r="M493" s="2" t="s">
        <v>620</v>
      </c>
      <c r="N493" s="2" t="s">
        <v>620</v>
      </c>
      <c r="O493" t="s">
        <v>639</v>
      </c>
      <c r="P493" t="s">
        <v>639</v>
      </c>
      <c r="Q493" t="s">
        <v>639</v>
      </c>
      <c r="R493" t="s">
        <v>639</v>
      </c>
      <c r="S493" t="s">
        <v>639</v>
      </c>
      <c r="T493" t="s">
        <v>620</v>
      </c>
      <c r="U493" t="s">
        <v>620</v>
      </c>
      <c r="V493" s="3" t="str">
        <f>IF(AND(data[[#This Row],[status]]="OK",data[[#This Row],[approach]]="evoavalla"),data[[#This Row],[asm_path]],"")</f>
        <v/>
      </c>
      <c r="W493" s="3" t="str">
        <f>IF(AND(data[[#This Row],[status]]="OK",data[[#This Row],[approach]]="atgt"),data[[#This Row],[asm_path]],"")</f>
        <v/>
      </c>
      <c r="X493" s="3" t="b">
        <f>COUNTIF(W:W,data[[#This Row],[path_ok_status_evoavalla]]) = 1</f>
        <v>0</v>
      </c>
    </row>
    <row r="494" spans="1:24" x14ac:dyDescent="0.25">
      <c r="A494" t="s">
        <v>1270</v>
      </c>
      <c r="B494" t="s">
        <v>1271</v>
      </c>
      <c r="C494" t="s">
        <v>682</v>
      </c>
      <c r="D494" t="s">
        <v>636</v>
      </c>
      <c r="E494" t="s">
        <v>620</v>
      </c>
      <c r="F494" t="s">
        <v>635</v>
      </c>
      <c r="G494" t="s">
        <v>969</v>
      </c>
      <c r="H494" t="s">
        <v>1545</v>
      </c>
      <c r="I494" t="s">
        <v>638</v>
      </c>
      <c r="J494" t="s">
        <v>632</v>
      </c>
      <c r="K494" s="2" t="s">
        <v>620</v>
      </c>
      <c r="L494" s="2" t="s">
        <v>620</v>
      </c>
      <c r="M494" s="2" t="s">
        <v>620</v>
      </c>
      <c r="N494" s="2" t="s">
        <v>620</v>
      </c>
      <c r="O494" t="s">
        <v>639</v>
      </c>
      <c r="P494" t="s">
        <v>639</v>
      </c>
      <c r="Q494" t="s">
        <v>639</v>
      </c>
      <c r="R494" t="s">
        <v>639</v>
      </c>
      <c r="S494" t="s">
        <v>639</v>
      </c>
      <c r="T494" t="s">
        <v>620</v>
      </c>
      <c r="U494" t="s">
        <v>620</v>
      </c>
      <c r="V494" s="3" t="str">
        <f>IF(AND(data[[#This Row],[status]]="OK",data[[#This Row],[approach]]="evoavalla"),data[[#This Row],[asm_path]],"")</f>
        <v/>
      </c>
      <c r="W494" s="3" t="str">
        <f>IF(AND(data[[#This Row],[status]]="OK",data[[#This Row],[approach]]="atgt"),data[[#This Row],[asm_path]],"")</f>
        <v/>
      </c>
      <c r="X494" s="3" t="b">
        <f>COUNTIF(W:W,data[[#This Row],[path_ok_status_evoavalla]]) = 1</f>
        <v>0</v>
      </c>
    </row>
    <row r="495" spans="1:24" x14ac:dyDescent="0.25">
      <c r="A495" t="s">
        <v>1272</v>
      </c>
      <c r="B495" t="s">
        <v>1273</v>
      </c>
      <c r="C495" t="s">
        <v>626</v>
      </c>
      <c r="D495" t="s">
        <v>664</v>
      </c>
      <c r="E495" t="s">
        <v>620</v>
      </c>
      <c r="F495" t="s">
        <v>664</v>
      </c>
      <c r="G495" t="s">
        <v>618</v>
      </c>
      <c r="H495" t="s">
        <v>1545</v>
      </c>
      <c r="I495" t="s">
        <v>638</v>
      </c>
      <c r="J495" t="s">
        <v>632</v>
      </c>
      <c r="K495" s="2" t="s">
        <v>620</v>
      </c>
      <c r="L495" s="2" t="s">
        <v>620</v>
      </c>
      <c r="M495" s="2" t="s">
        <v>620</v>
      </c>
      <c r="N495" s="2" t="s">
        <v>620</v>
      </c>
      <c r="O495" t="s">
        <v>639</v>
      </c>
      <c r="P495" t="s">
        <v>639</v>
      </c>
      <c r="Q495" t="s">
        <v>639</v>
      </c>
      <c r="R495" t="s">
        <v>639</v>
      </c>
      <c r="S495" t="s">
        <v>639</v>
      </c>
      <c r="T495" t="s">
        <v>620</v>
      </c>
      <c r="U495" t="s">
        <v>620</v>
      </c>
      <c r="V495" s="3" t="str">
        <f>IF(AND(data[[#This Row],[status]]="OK",data[[#This Row],[approach]]="evoavalla"),data[[#This Row],[asm_path]],"")</f>
        <v/>
      </c>
      <c r="W495" s="3" t="str">
        <f>IF(AND(data[[#This Row],[status]]="OK",data[[#This Row],[approach]]="atgt"),data[[#This Row],[asm_path]],"")</f>
        <v/>
      </c>
      <c r="X495" s="3" t="b">
        <f>COUNTIF(W:W,data[[#This Row],[path_ok_status_evoavalla]]) = 1</f>
        <v>0</v>
      </c>
    </row>
    <row r="496" spans="1:24" x14ac:dyDescent="0.25">
      <c r="A496" t="s">
        <v>1274</v>
      </c>
      <c r="B496" t="s">
        <v>1275</v>
      </c>
      <c r="C496" t="s">
        <v>664</v>
      </c>
      <c r="D496" t="s">
        <v>980</v>
      </c>
      <c r="E496" t="s">
        <v>620</v>
      </c>
      <c r="F496" t="s">
        <v>637</v>
      </c>
      <c r="G496" t="s">
        <v>837</v>
      </c>
      <c r="H496" t="s">
        <v>1545</v>
      </c>
      <c r="I496" t="s">
        <v>624</v>
      </c>
      <c r="J496" t="s">
        <v>1621</v>
      </c>
      <c r="K496" s="2" t="s">
        <v>798</v>
      </c>
      <c r="L496" s="2" t="s">
        <v>1594</v>
      </c>
      <c r="M496" s="2" t="s">
        <v>1595</v>
      </c>
      <c r="N496" s="2" t="s">
        <v>1596</v>
      </c>
      <c r="O496" t="s">
        <v>630</v>
      </c>
      <c r="P496" t="s">
        <v>630</v>
      </c>
      <c r="Q496" t="s">
        <v>632</v>
      </c>
      <c r="R496" t="s">
        <v>630</v>
      </c>
      <c r="S496" t="s">
        <v>630</v>
      </c>
      <c r="T496" t="s">
        <v>620</v>
      </c>
      <c r="U496" t="s">
        <v>620</v>
      </c>
      <c r="V496" s="3" t="str">
        <f>IF(AND(data[[#This Row],[status]]="OK",data[[#This Row],[approach]]="evoavalla"),data[[#This Row],[asm_path]],"")</f>
        <v/>
      </c>
      <c r="W496" s="3" t="str">
        <f>IF(AND(data[[#This Row],[status]]="OK",data[[#This Row],[approach]]="atgt"),data[[#This Row],[asm_path]],"")</f>
        <v>../../../asm_examples/examples/landingGearSystem/LGS_SE_v2.asm</v>
      </c>
      <c r="X496" s="3" t="b">
        <f>COUNTIF(W:W,data[[#This Row],[path_ok_status_evoavalla]]) = 1</f>
        <v>0</v>
      </c>
    </row>
    <row r="497" spans="1:24" x14ac:dyDescent="0.25">
      <c r="A497" t="s">
        <v>1277</v>
      </c>
      <c r="B497" t="s">
        <v>1278</v>
      </c>
      <c r="C497" t="s">
        <v>1279</v>
      </c>
      <c r="D497" t="s">
        <v>1084</v>
      </c>
      <c r="E497" t="s">
        <v>620</v>
      </c>
      <c r="F497" t="s">
        <v>1280</v>
      </c>
      <c r="G497" t="s">
        <v>1281</v>
      </c>
      <c r="H497" t="s">
        <v>1545</v>
      </c>
      <c r="I497" t="s">
        <v>638</v>
      </c>
      <c r="J497" t="s">
        <v>632</v>
      </c>
      <c r="K497" s="2" t="s">
        <v>620</v>
      </c>
      <c r="L497" s="2" t="s">
        <v>620</v>
      </c>
      <c r="M497" s="2" t="s">
        <v>620</v>
      </c>
      <c r="N497" s="2" t="s">
        <v>620</v>
      </c>
      <c r="O497" t="s">
        <v>639</v>
      </c>
      <c r="P497" t="s">
        <v>639</v>
      </c>
      <c r="Q497" t="s">
        <v>639</v>
      </c>
      <c r="R497" t="s">
        <v>639</v>
      </c>
      <c r="S497" t="s">
        <v>639</v>
      </c>
      <c r="T497" t="s">
        <v>620</v>
      </c>
      <c r="U497" t="s">
        <v>620</v>
      </c>
      <c r="V497" s="3" t="str">
        <f>IF(AND(data[[#This Row],[status]]="OK",data[[#This Row],[approach]]="evoavalla"),data[[#This Row],[asm_path]],"")</f>
        <v/>
      </c>
      <c r="W497" s="3" t="str">
        <f>IF(AND(data[[#This Row],[status]]="OK",data[[#This Row],[approach]]="atgt"),data[[#This Row],[asm_path]],"")</f>
        <v/>
      </c>
      <c r="X497" s="3" t="b">
        <f>COUNTIF(W:W,data[[#This Row],[path_ok_status_evoavalla]]) = 1</f>
        <v>0</v>
      </c>
    </row>
    <row r="498" spans="1:24" x14ac:dyDescent="0.25">
      <c r="A498" t="s">
        <v>1287</v>
      </c>
      <c r="B498" t="s">
        <v>1288</v>
      </c>
      <c r="C498" t="s">
        <v>886</v>
      </c>
      <c r="D498" t="s">
        <v>826</v>
      </c>
      <c r="E498" t="s">
        <v>621</v>
      </c>
      <c r="F498" t="s">
        <v>696</v>
      </c>
      <c r="G498" t="s">
        <v>1244</v>
      </c>
      <c r="H498" t="s">
        <v>1545</v>
      </c>
      <c r="I498" t="s">
        <v>638</v>
      </c>
      <c r="J498" t="s">
        <v>632</v>
      </c>
      <c r="K498" s="2" t="s">
        <v>620</v>
      </c>
      <c r="L498" s="2" t="s">
        <v>620</v>
      </c>
      <c r="M498" s="2" t="s">
        <v>620</v>
      </c>
      <c r="N498" s="2" t="s">
        <v>620</v>
      </c>
      <c r="O498" t="s">
        <v>639</v>
      </c>
      <c r="P498" t="s">
        <v>639</v>
      </c>
      <c r="Q498" t="s">
        <v>639</v>
      </c>
      <c r="R498" t="s">
        <v>639</v>
      </c>
      <c r="S498" t="s">
        <v>639</v>
      </c>
      <c r="T498" t="s">
        <v>620</v>
      </c>
      <c r="U498" t="s">
        <v>620</v>
      </c>
      <c r="V498" s="3" t="str">
        <f>IF(AND(data[[#This Row],[status]]="OK",data[[#This Row],[approach]]="evoavalla"),data[[#This Row],[asm_path]],"")</f>
        <v/>
      </c>
      <c r="W498" s="3" t="str">
        <f>IF(AND(data[[#This Row],[status]]="OK",data[[#This Row],[approach]]="atgt"),data[[#This Row],[asm_path]],"")</f>
        <v/>
      </c>
      <c r="X498" s="3" t="b">
        <f>COUNTIF(W:W,data[[#This Row],[path_ok_status_evoavalla]]) = 1</f>
        <v>0</v>
      </c>
    </row>
    <row r="499" spans="1:24" x14ac:dyDescent="0.25">
      <c r="A499" t="s">
        <v>1289</v>
      </c>
      <c r="B499" t="s">
        <v>1290</v>
      </c>
      <c r="C499" t="s">
        <v>683</v>
      </c>
      <c r="D499" t="s">
        <v>761</v>
      </c>
      <c r="E499" t="s">
        <v>635</v>
      </c>
      <c r="F499" t="s">
        <v>637</v>
      </c>
      <c r="G499" t="s">
        <v>1291</v>
      </c>
      <c r="H499" t="s">
        <v>1545</v>
      </c>
      <c r="I499" t="s">
        <v>638</v>
      </c>
      <c r="J499" t="s">
        <v>632</v>
      </c>
      <c r="K499" s="2" t="s">
        <v>620</v>
      </c>
      <c r="L499" s="2" t="s">
        <v>620</v>
      </c>
      <c r="M499" s="2" t="s">
        <v>620</v>
      </c>
      <c r="N499" s="2" t="s">
        <v>620</v>
      </c>
      <c r="O499" t="s">
        <v>639</v>
      </c>
      <c r="P499" t="s">
        <v>639</v>
      </c>
      <c r="Q499" t="s">
        <v>639</v>
      </c>
      <c r="R499" t="s">
        <v>639</v>
      </c>
      <c r="S499" t="s">
        <v>639</v>
      </c>
      <c r="T499" t="s">
        <v>620</v>
      </c>
      <c r="U499" t="s">
        <v>620</v>
      </c>
      <c r="V499" s="3" t="str">
        <f>IF(AND(data[[#This Row],[status]]="OK",data[[#This Row],[approach]]="evoavalla"),data[[#This Row],[asm_path]],"")</f>
        <v/>
      </c>
      <c r="W499" s="3" t="str">
        <f>IF(AND(data[[#This Row],[status]]="OK",data[[#This Row],[approach]]="atgt"),data[[#This Row],[asm_path]],"")</f>
        <v/>
      </c>
      <c r="X499" s="3" t="b">
        <f>COUNTIF(W:W,data[[#This Row],[path_ok_status_evoavalla]]) = 1</f>
        <v>0</v>
      </c>
    </row>
    <row r="500" spans="1:24" x14ac:dyDescent="0.25">
      <c r="A500" t="s">
        <v>1292</v>
      </c>
      <c r="B500" t="s">
        <v>1293</v>
      </c>
      <c r="C500" t="s">
        <v>637</v>
      </c>
      <c r="D500" t="s">
        <v>761</v>
      </c>
      <c r="E500" t="s">
        <v>664</v>
      </c>
      <c r="F500" t="s">
        <v>716</v>
      </c>
      <c r="G500" t="s">
        <v>903</v>
      </c>
      <c r="H500" t="s">
        <v>1545</v>
      </c>
      <c r="I500" t="s">
        <v>638</v>
      </c>
      <c r="J500" t="s">
        <v>632</v>
      </c>
      <c r="K500" s="2" t="s">
        <v>620</v>
      </c>
      <c r="L500" s="2" t="s">
        <v>620</v>
      </c>
      <c r="M500" s="2" t="s">
        <v>620</v>
      </c>
      <c r="N500" s="2" t="s">
        <v>620</v>
      </c>
      <c r="O500" t="s">
        <v>639</v>
      </c>
      <c r="P500" t="s">
        <v>639</v>
      </c>
      <c r="Q500" t="s">
        <v>639</v>
      </c>
      <c r="R500" t="s">
        <v>639</v>
      </c>
      <c r="S500" t="s">
        <v>639</v>
      </c>
      <c r="T500" t="s">
        <v>620</v>
      </c>
      <c r="U500" t="s">
        <v>620</v>
      </c>
      <c r="V500" s="3" t="str">
        <f>IF(AND(data[[#This Row],[status]]="OK",data[[#This Row],[approach]]="evoavalla"),data[[#This Row],[asm_path]],"")</f>
        <v/>
      </c>
      <c r="W500" s="3" t="str">
        <f>IF(AND(data[[#This Row],[status]]="OK",data[[#This Row],[approach]]="atgt"),data[[#This Row],[asm_path]],"")</f>
        <v/>
      </c>
      <c r="X500" s="3" t="b">
        <f>COUNTIF(W:W,data[[#This Row],[path_ok_status_evoavalla]]) = 1</f>
        <v>0</v>
      </c>
    </row>
    <row r="501" spans="1:24" x14ac:dyDescent="0.25">
      <c r="A501" t="s">
        <v>1294</v>
      </c>
      <c r="B501" t="s">
        <v>1295</v>
      </c>
      <c r="C501" t="s">
        <v>635</v>
      </c>
      <c r="D501" t="s">
        <v>636</v>
      </c>
      <c r="E501" t="s">
        <v>636</v>
      </c>
      <c r="F501" t="s">
        <v>635</v>
      </c>
      <c r="G501" t="s">
        <v>664</v>
      </c>
      <c r="H501" t="s">
        <v>1545</v>
      </c>
      <c r="I501" t="s">
        <v>638</v>
      </c>
      <c r="J501" t="s">
        <v>632</v>
      </c>
      <c r="K501" s="2" t="s">
        <v>620</v>
      </c>
      <c r="L501" s="2" t="s">
        <v>620</v>
      </c>
      <c r="M501" s="2" t="s">
        <v>620</v>
      </c>
      <c r="N501" s="2" t="s">
        <v>620</v>
      </c>
      <c r="O501" t="s">
        <v>639</v>
      </c>
      <c r="P501" t="s">
        <v>639</v>
      </c>
      <c r="Q501" t="s">
        <v>639</v>
      </c>
      <c r="R501" t="s">
        <v>639</v>
      </c>
      <c r="S501" t="s">
        <v>639</v>
      </c>
      <c r="T501" t="s">
        <v>620</v>
      </c>
      <c r="U501" t="s">
        <v>620</v>
      </c>
      <c r="V501" s="3" t="str">
        <f>IF(AND(data[[#This Row],[status]]="OK",data[[#This Row],[approach]]="evoavalla"),data[[#This Row],[asm_path]],"")</f>
        <v/>
      </c>
      <c r="W501" s="3" t="str">
        <f>IF(AND(data[[#This Row],[status]]="OK",data[[#This Row],[approach]]="atgt"),data[[#This Row],[asm_path]],"")</f>
        <v/>
      </c>
      <c r="X501" s="3" t="b">
        <f>COUNTIF(W:W,data[[#This Row],[path_ok_status_evoavalla]]) = 1</f>
        <v>0</v>
      </c>
    </row>
    <row r="502" spans="1:24" x14ac:dyDescent="0.25">
      <c r="A502" t="s">
        <v>1296</v>
      </c>
      <c r="B502" t="s">
        <v>1297</v>
      </c>
      <c r="C502" t="s">
        <v>664</v>
      </c>
      <c r="D502" t="s">
        <v>690</v>
      </c>
      <c r="E502" t="s">
        <v>620</v>
      </c>
      <c r="F502" t="s">
        <v>682</v>
      </c>
      <c r="G502" t="s">
        <v>669</v>
      </c>
      <c r="H502" t="s">
        <v>1545</v>
      </c>
      <c r="I502" t="s">
        <v>624</v>
      </c>
      <c r="J502" t="s">
        <v>1622</v>
      </c>
      <c r="K502" s="2" t="s">
        <v>643</v>
      </c>
      <c r="L502" s="2" t="s">
        <v>1591</v>
      </c>
      <c r="M502" s="2" t="s">
        <v>1591</v>
      </c>
      <c r="N502" s="2" t="s">
        <v>1591</v>
      </c>
      <c r="O502" t="s">
        <v>630</v>
      </c>
      <c r="P502" t="s">
        <v>630</v>
      </c>
      <c r="Q502" t="s">
        <v>632</v>
      </c>
      <c r="R502" t="s">
        <v>630</v>
      </c>
      <c r="S502" t="s">
        <v>630</v>
      </c>
      <c r="T502" t="s">
        <v>620</v>
      </c>
      <c r="U502" t="s">
        <v>620</v>
      </c>
      <c r="V502" s="3" t="str">
        <f>IF(AND(data[[#This Row],[status]]="OK",data[[#This Row],[approach]]="evoavalla"),data[[#This Row],[asm_path]],"")</f>
        <v/>
      </c>
      <c r="W502" s="3" t="str">
        <f>IF(AND(data[[#This Row],[status]]="OK",data[[#This Row],[approach]]="atgt"),data[[#This Row],[asm_path]],"")</f>
        <v>../../../asm_examples/examples/landingGearSystem/LGS_GM.asm</v>
      </c>
      <c r="X502" s="3" t="b">
        <f>COUNTIF(W:W,data[[#This Row],[path_ok_status_evoavalla]]) = 1</f>
        <v>0</v>
      </c>
    </row>
    <row r="503" spans="1:24" x14ac:dyDescent="0.25">
      <c r="A503" t="s">
        <v>1299</v>
      </c>
      <c r="B503" t="s">
        <v>1300</v>
      </c>
      <c r="C503" t="s">
        <v>636</v>
      </c>
      <c r="D503" t="s">
        <v>682</v>
      </c>
      <c r="E503" t="s">
        <v>620</v>
      </c>
      <c r="F503" t="s">
        <v>635</v>
      </c>
      <c r="G503" t="s">
        <v>628</v>
      </c>
      <c r="H503" t="s">
        <v>1545</v>
      </c>
      <c r="I503" t="s">
        <v>638</v>
      </c>
      <c r="J503" t="s">
        <v>632</v>
      </c>
      <c r="K503" s="2" t="s">
        <v>620</v>
      </c>
      <c r="L503" s="2" t="s">
        <v>620</v>
      </c>
      <c r="M503" s="2" t="s">
        <v>620</v>
      </c>
      <c r="N503" s="2" t="s">
        <v>620</v>
      </c>
      <c r="O503" t="s">
        <v>639</v>
      </c>
      <c r="P503" t="s">
        <v>639</v>
      </c>
      <c r="Q503" t="s">
        <v>639</v>
      </c>
      <c r="R503" t="s">
        <v>639</v>
      </c>
      <c r="S503" t="s">
        <v>639</v>
      </c>
      <c r="T503" t="s">
        <v>620</v>
      </c>
      <c r="U503" t="s">
        <v>620</v>
      </c>
      <c r="V503" s="3" t="str">
        <f>IF(AND(data[[#This Row],[status]]="OK",data[[#This Row],[approach]]="evoavalla"),data[[#This Row],[asm_path]],"")</f>
        <v/>
      </c>
      <c r="W503" s="3" t="str">
        <f>IF(AND(data[[#This Row],[status]]="OK",data[[#This Row],[approach]]="atgt"),data[[#This Row],[asm_path]],"")</f>
        <v/>
      </c>
      <c r="X503" s="3" t="b">
        <f>COUNTIF(W:W,data[[#This Row],[path_ok_status_evoavalla]]) = 1</f>
        <v>0</v>
      </c>
    </row>
    <row r="504" spans="1:24" x14ac:dyDescent="0.25">
      <c r="A504" t="s">
        <v>1301</v>
      </c>
      <c r="B504" t="s">
        <v>1302</v>
      </c>
      <c r="C504" t="s">
        <v>682</v>
      </c>
      <c r="D504" t="s">
        <v>636</v>
      </c>
      <c r="E504" t="s">
        <v>620</v>
      </c>
      <c r="F504" t="s">
        <v>636</v>
      </c>
      <c r="G504" t="s">
        <v>683</v>
      </c>
      <c r="H504" t="s">
        <v>1545</v>
      </c>
      <c r="I504" t="s">
        <v>638</v>
      </c>
      <c r="J504" t="s">
        <v>632</v>
      </c>
      <c r="K504" s="2" t="s">
        <v>620</v>
      </c>
      <c r="L504" s="2" t="s">
        <v>620</v>
      </c>
      <c r="M504" s="2" t="s">
        <v>620</v>
      </c>
      <c r="N504" s="2" t="s">
        <v>620</v>
      </c>
      <c r="O504" t="s">
        <v>639</v>
      </c>
      <c r="P504" t="s">
        <v>639</v>
      </c>
      <c r="Q504" t="s">
        <v>639</v>
      </c>
      <c r="R504" t="s">
        <v>639</v>
      </c>
      <c r="S504" t="s">
        <v>639</v>
      </c>
      <c r="T504" t="s">
        <v>620</v>
      </c>
      <c r="U504" t="s">
        <v>620</v>
      </c>
      <c r="V504" s="3" t="str">
        <f>IF(AND(data[[#This Row],[status]]="OK",data[[#This Row],[approach]]="evoavalla"),data[[#This Row],[asm_path]],"")</f>
        <v/>
      </c>
      <c r="W504" s="3" t="str">
        <f>IF(AND(data[[#This Row],[status]]="OK",data[[#This Row],[approach]]="atgt"),data[[#This Row],[asm_path]],"")</f>
        <v/>
      </c>
      <c r="X504" s="3" t="b">
        <f>COUNTIF(W:W,data[[#This Row],[path_ok_status_evoavalla]]) = 1</f>
        <v>0</v>
      </c>
    </row>
    <row r="505" spans="1:24" x14ac:dyDescent="0.25">
      <c r="A505" t="s">
        <v>1303</v>
      </c>
      <c r="B505" t="s">
        <v>1304</v>
      </c>
      <c r="C505" t="s">
        <v>716</v>
      </c>
      <c r="D505" t="s">
        <v>637</v>
      </c>
      <c r="E505" t="s">
        <v>636</v>
      </c>
      <c r="F505" t="s">
        <v>761</v>
      </c>
      <c r="G505" t="s">
        <v>735</v>
      </c>
      <c r="H505" t="s">
        <v>1545</v>
      </c>
      <c r="I505" t="s">
        <v>638</v>
      </c>
      <c r="J505" t="s">
        <v>632</v>
      </c>
      <c r="K505" s="2" t="s">
        <v>620</v>
      </c>
      <c r="L505" s="2" t="s">
        <v>620</v>
      </c>
      <c r="M505" s="2" t="s">
        <v>620</v>
      </c>
      <c r="N505" s="2" t="s">
        <v>620</v>
      </c>
      <c r="O505" t="s">
        <v>639</v>
      </c>
      <c r="P505" t="s">
        <v>639</v>
      </c>
      <c r="Q505" t="s">
        <v>639</v>
      </c>
      <c r="R505" t="s">
        <v>639</v>
      </c>
      <c r="S505" t="s">
        <v>639</v>
      </c>
      <c r="T505" t="s">
        <v>620</v>
      </c>
      <c r="U505" t="s">
        <v>620</v>
      </c>
      <c r="V505" s="3" t="str">
        <f>IF(AND(data[[#This Row],[status]]="OK",data[[#This Row],[approach]]="evoavalla"),data[[#This Row],[asm_path]],"")</f>
        <v/>
      </c>
      <c r="W505" s="3" t="str">
        <f>IF(AND(data[[#This Row],[status]]="OK",data[[#This Row],[approach]]="atgt"),data[[#This Row],[asm_path]],"")</f>
        <v/>
      </c>
      <c r="X505" s="3" t="b">
        <f>COUNTIF(W:W,data[[#This Row],[path_ok_status_evoavalla]]) = 1</f>
        <v>0</v>
      </c>
    </row>
    <row r="506" spans="1:24" x14ac:dyDescent="0.25">
      <c r="A506" t="s">
        <v>1305</v>
      </c>
      <c r="B506" t="s">
        <v>1306</v>
      </c>
      <c r="C506" t="s">
        <v>636</v>
      </c>
      <c r="D506" t="s">
        <v>635</v>
      </c>
      <c r="E506" t="s">
        <v>620</v>
      </c>
      <c r="F506" t="s">
        <v>635</v>
      </c>
      <c r="G506" t="s">
        <v>664</v>
      </c>
      <c r="H506" t="s">
        <v>1545</v>
      </c>
      <c r="I506" t="s">
        <v>638</v>
      </c>
      <c r="J506" t="s">
        <v>632</v>
      </c>
      <c r="K506" s="2" t="s">
        <v>620</v>
      </c>
      <c r="L506" s="2" t="s">
        <v>620</v>
      </c>
      <c r="M506" s="2" t="s">
        <v>620</v>
      </c>
      <c r="N506" s="2" t="s">
        <v>620</v>
      </c>
      <c r="O506" t="s">
        <v>639</v>
      </c>
      <c r="P506" t="s">
        <v>639</v>
      </c>
      <c r="Q506" t="s">
        <v>639</v>
      </c>
      <c r="R506" t="s">
        <v>639</v>
      </c>
      <c r="S506" t="s">
        <v>639</v>
      </c>
      <c r="T506" t="s">
        <v>620</v>
      </c>
      <c r="U506" t="s">
        <v>620</v>
      </c>
      <c r="V506" s="3" t="str">
        <f>IF(AND(data[[#This Row],[status]]="OK",data[[#This Row],[approach]]="evoavalla"),data[[#This Row],[asm_path]],"")</f>
        <v/>
      </c>
      <c r="W506" s="3" t="str">
        <f>IF(AND(data[[#This Row],[status]]="OK",data[[#This Row],[approach]]="atgt"),data[[#This Row],[asm_path]],"")</f>
        <v/>
      </c>
      <c r="X506" s="3" t="b">
        <f>COUNTIF(W:W,data[[#This Row],[path_ok_status_evoavalla]]) = 1</f>
        <v>0</v>
      </c>
    </row>
    <row r="507" spans="1:24" x14ac:dyDescent="0.25">
      <c r="A507" t="s">
        <v>1308</v>
      </c>
      <c r="B507" t="s">
        <v>1309</v>
      </c>
      <c r="C507" t="s">
        <v>636</v>
      </c>
      <c r="D507" t="s">
        <v>620</v>
      </c>
      <c r="E507" t="s">
        <v>620</v>
      </c>
      <c r="F507" t="s">
        <v>620</v>
      </c>
      <c r="G507" t="s">
        <v>636</v>
      </c>
      <c r="H507" t="s">
        <v>1545</v>
      </c>
      <c r="I507" t="s">
        <v>638</v>
      </c>
      <c r="J507" t="s">
        <v>632</v>
      </c>
      <c r="K507" s="2" t="s">
        <v>620</v>
      </c>
      <c r="L507" s="2" t="s">
        <v>620</v>
      </c>
      <c r="M507" s="2" t="s">
        <v>620</v>
      </c>
      <c r="N507" s="2" t="s">
        <v>620</v>
      </c>
      <c r="O507" t="s">
        <v>639</v>
      </c>
      <c r="P507" t="s">
        <v>639</v>
      </c>
      <c r="Q507" t="s">
        <v>639</v>
      </c>
      <c r="R507" t="s">
        <v>639</v>
      </c>
      <c r="S507" t="s">
        <v>639</v>
      </c>
      <c r="T507" t="s">
        <v>620</v>
      </c>
      <c r="U507" t="s">
        <v>620</v>
      </c>
      <c r="V507" s="3" t="str">
        <f>IF(AND(data[[#This Row],[status]]="OK",data[[#This Row],[approach]]="evoavalla"),data[[#This Row],[asm_path]],"")</f>
        <v/>
      </c>
      <c r="W507" s="3" t="str">
        <f>IF(AND(data[[#This Row],[status]]="OK",data[[#This Row],[approach]]="atgt"),data[[#This Row],[asm_path]],"")</f>
        <v/>
      </c>
      <c r="X507" s="3" t="b">
        <f>COUNTIF(W:W,data[[#This Row],[path_ok_status_evoavalla]]) = 1</f>
        <v>0</v>
      </c>
    </row>
    <row r="508" spans="1:24" x14ac:dyDescent="0.25">
      <c r="A508" t="s">
        <v>1310</v>
      </c>
      <c r="B508" t="s">
        <v>1311</v>
      </c>
      <c r="C508" t="s">
        <v>716</v>
      </c>
      <c r="D508" t="s">
        <v>675</v>
      </c>
      <c r="E508" t="s">
        <v>620</v>
      </c>
      <c r="F508" t="s">
        <v>745</v>
      </c>
      <c r="G508" t="s">
        <v>837</v>
      </c>
      <c r="H508" t="s">
        <v>1545</v>
      </c>
      <c r="I508" t="s">
        <v>638</v>
      </c>
      <c r="J508" t="s">
        <v>632</v>
      </c>
      <c r="K508" s="2" t="s">
        <v>620</v>
      </c>
      <c r="L508" s="2" t="s">
        <v>620</v>
      </c>
      <c r="M508" s="2" t="s">
        <v>620</v>
      </c>
      <c r="N508" s="2" t="s">
        <v>620</v>
      </c>
      <c r="O508" t="s">
        <v>639</v>
      </c>
      <c r="P508" t="s">
        <v>639</v>
      </c>
      <c r="Q508" t="s">
        <v>639</v>
      </c>
      <c r="R508" t="s">
        <v>639</v>
      </c>
      <c r="S508" t="s">
        <v>639</v>
      </c>
      <c r="T508" t="s">
        <v>620</v>
      </c>
      <c r="U508" t="s">
        <v>620</v>
      </c>
      <c r="V508" s="3" t="str">
        <f>IF(AND(data[[#This Row],[status]]="OK",data[[#This Row],[approach]]="evoavalla"),data[[#This Row],[asm_path]],"")</f>
        <v/>
      </c>
      <c r="W508" s="3" t="str">
        <f>IF(AND(data[[#This Row],[status]]="OK",data[[#This Row],[approach]]="atgt"),data[[#This Row],[asm_path]],"")</f>
        <v/>
      </c>
      <c r="X508" s="3" t="b">
        <f>COUNTIF(W:W,data[[#This Row],[path_ok_status_evoavalla]]) = 1</f>
        <v>0</v>
      </c>
    </row>
    <row r="509" spans="1:24" x14ac:dyDescent="0.25">
      <c r="A509" t="s">
        <v>1313</v>
      </c>
      <c r="B509" t="s">
        <v>1314</v>
      </c>
      <c r="C509" t="s">
        <v>746</v>
      </c>
      <c r="D509" t="s">
        <v>741</v>
      </c>
      <c r="E509" t="s">
        <v>620</v>
      </c>
      <c r="F509" t="s">
        <v>1315</v>
      </c>
      <c r="G509" t="s">
        <v>1316</v>
      </c>
      <c r="H509" t="s">
        <v>1545</v>
      </c>
      <c r="I509" t="s">
        <v>638</v>
      </c>
      <c r="J509" t="s">
        <v>632</v>
      </c>
      <c r="K509" s="2" t="s">
        <v>620</v>
      </c>
      <c r="L509" s="2" t="s">
        <v>620</v>
      </c>
      <c r="M509" s="2" t="s">
        <v>620</v>
      </c>
      <c r="N509" s="2" t="s">
        <v>620</v>
      </c>
      <c r="O509" t="s">
        <v>639</v>
      </c>
      <c r="P509" t="s">
        <v>639</v>
      </c>
      <c r="Q509" t="s">
        <v>639</v>
      </c>
      <c r="R509" t="s">
        <v>639</v>
      </c>
      <c r="S509" t="s">
        <v>639</v>
      </c>
      <c r="T509" t="s">
        <v>620</v>
      </c>
      <c r="U509" t="s">
        <v>620</v>
      </c>
      <c r="V509" s="3" t="str">
        <f>IF(AND(data[[#This Row],[status]]="OK",data[[#This Row],[approach]]="evoavalla"),data[[#This Row],[asm_path]],"")</f>
        <v/>
      </c>
      <c r="W509" s="3" t="str">
        <f>IF(AND(data[[#This Row],[status]]="OK",data[[#This Row],[approach]]="atgt"),data[[#This Row],[asm_path]],"")</f>
        <v/>
      </c>
      <c r="X509" s="3" t="b">
        <f>COUNTIF(W:W,data[[#This Row],[path_ok_status_evoavalla]]) = 1</f>
        <v>0</v>
      </c>
    </row>
    <row r="510" spans="1:24" x14ac:dyDescent="0.25">
      <c r="A510" t="s">
        <v>1323</v>
      </c>
      <c r="B510" t="s">
        <v>974</v>
      </c>
      <c r="C510" t="s">
        <v>636</v>
      </c>
      <c r="D510" t="s">
        <v>635</v>
      </c>
      <c r="E510" t="s">
        <v>620</v>
      </c>
      <c r="F510" t="s">
        <v>635</v>
      </c>
      <c r="G510" t="s">
        <v>637</v>
      </c>
      <c r="H510" t="s">
        <v>1545</v>
      </c>
      <c r="I510" t="s">
        <v>638</v>
      </c>
      <c r="J510" t="s">
        <v>632</v>
      </c>
      <c r="K510" s="2" t="s">
        <v>620</v>
      </c>
      <c r="L510" s="2" t="s">
        <v>620</v>
      </c>
      <c r="M510" s="2" t="s">
        <v>620</v>
      </c>
      <c r="N510" s="2" t="s">
        <v>620</v>
      </c>
      <c r="O510" t="s">
        <v>639</v>
      </c>
      <c r="P510" t="s">
        <v>639</v>
      </c>
      <c r="Q510" t="s">
        <v>639</v>
      </c>
      <c r="R510" t="s">
        <v>639</v>
      </c>
      <c r="S510" t="s">
        <v>639</v>
      </c>
      <c r="T510" t="s">
        <v>620</v>
      </c>
      <c r="U510" t="s">
        <v>620</v>
      </c>
      <c r="V510" s="3" t="str">
        <f>IF(AND(data[[#This Row],[status]]="OK",data[[#This Row],[approach]]="evoavalla"),data[[#This Row],[asm_path]],"")</f>
        <v/>
      </c>
      <c r="W510" s="3" t="str">
        <f>IF(AND(data[[#This Row],[status]]="OK",data[[#This Row],[approach]]="atgt"),data[[#This Row],[asm_path]],"")</f>
        <v/>
      </c>
      <c r="X510" s="3" t="b">
        <f>COUNTIF(W:W,data[[#This Row],[path_ok_status_evoavalla]]) = 1</f>
        <v>0</v>
      </c>
    </row>
    <row r="511" spans="1:24" x14ac:dyDescent="0.25">
      <c r="A511" t="s">
        <v>1324</v>
      </c>
      <c r="B511" t="s">
        <v>1325</v>
      </c>
      <c r="C511" t="s">
        <v>626</v>
      </c>
      <c r="D511" t="s">
        <v>1250</v>
      </c>
      <c r="E511" t="s">
        <v>620</v>
      </c>
      <c r="F511" t="s">
        <v>664</v>
      </c>
      <c r="G511" t="s">
        <v>741</v>
      </c>
      <c r="H511" t="s">
        <v>1545</v>
      </c>
      <c r="I511" t="s">
        <v>638</v>
      </c>
      <c r="J511" t="s">
        <v>632</v>
      </c>
      <c r="K511" s="2" t="s">
        <v>620</v>
      </c>
      <c r="L511" s="2" t="s">
        <v>620</v>
      </c>
      <c r="M511" s="2" t="s">
        <v>620</v>
      </c>
      <c r="N511" s="2" t="s">
        <v>620</v>
      </c>
      <c r="O511" t="s">
        <v>639</v>
      </c>
      <c r="P511" t="s">
        <v>639</v>
      </c>
      <c r="Q511" t="s">
        <v>639</v>
      </c>
      <c r="R511" t="s">
        <v>639</v>
      </c>
      <c r="S511" t="s">
        <v>639</v>
      </c>
      <c r="T511" t="s">
        <v>620</v>
      </c>
      <c r="U511" t="s">
        <v>620</v>
      </c>
      <c r="V511" s="3" t="str">
        <f>IF(AND(data[[#This Row],[status]]="OK",data[[#This Row],[approach]]="evoavalla"),data[[#This Row],[asm_path]],"")</f>
        <v/>
      </c>
      <c r="W511" s="3" t="str">
        <f>IF(AND(data[[#This Row],[status]]="OK",data[[#This Row],[approach]]="atgt"),data[[#This Row],[asm_path]],"")</f>
        <v/>
      </c>
      <c r="X511" s="3" t="b">
        <f>COUNTIF(W:W,data[[#This Row],[path_ok_status_evoavalla]]) = 1</f>
        <v>0</v>
      </c>
    </row>
    <row r="512" spans="1:24" x14ac:dyDescent="0.25">
      <c r="A512" t="s">
        <v>1326</v>
      </c>
      <c r="B512" t="s">
        <v>715</v>
      </c>
      <c r="C512" t="s">
        <v>664</v>
      </c>
      <c r="D512" t="s">
        <v>637</v>
      </c>
      <c r="E512" t="s">
        <v>620</v>
      </c>
      <c r="F512" t="s">
        <v>716</v>
      </c>
      <c r="G512" t="s">
        <v>752</v>
      </c>
      <c r="H512" t="s">
        <v>1545</v>
      </c>
      <c r="I512" t="s">
        <v>638</v>
      </c>
      <c r="J512" t="s">
        <v>632</v>
      </c>
      <c r="K512" s="2" t="s">
        <v>620</v>
      </c>
      <c r="L512" s="2" t="s">
        <v>620</v>
      </c>
      <c r="M512" s="2" t="s">
        <v>620</v>
      </c>
      <c r="N512" s="2" t="s">
        <v>620</v>
      </c>
      <c r="O512" t="s">
        <v>639</v>
      </c>
      <c r="P512" t="s">
        <v>639</v>
      </c>
      <c r="Q512" t="s">
        <v>639</v>
      </c>
      <c r="R512" t="s">
        <v>639</v>
      </c>
      <c r="S512" t="s">
        <v>639</v>
      </c>
      <c r="T512" t="s">
        <v>620</v>
      </c>
      <c r="U512" t="s">
        <v>620</v>
      </c>
      <c r="V512" s="3" t="str">
        <f>IF(AND(data[[#This Row],[status]]="OK",data[[#This Row],[approach]]="evoavalla"),data[[#This Row],[asm_path]],"")</f>
        <v/>
      </c>
      <c r="W512" s="3" t="str">
        <f>IF(AND(data[[#This Row],[status]]="OK",data[[#This Row],[approach]]="atgt"),data[[#This Row],[asm_path]],"")</f>
        <v/>
      </c>
      <c r="X512" s="3" t="b">
        <f>COUNTIF(W:W,data[[#This Row],[path_ok_status_evoavalla]]) = 1</f>
        <v>0</v>
      </c>
    </row>
    <row r="513" spans="1:24" x14ac:dyDescent="0.25">
      <c r="A513" t="s">
        <v>1328</v>
      </c>
      <c r="B513" t="s">
        <v>1329</v>
      </c>
      <c r="C513" t="s">
        <v>682</v>
      </c>
      <c r="D513" t="s">
        <v>635</v>
      </c>
      <c r="E513" t="s">
        <v>636</v>
      </c>
      <c r="F513" t="s">
        <v>635</v>
      </c>
      <c r="G513" t="s">
        <v>716</v>
      </c>
      <c r="H513" t="s">
        <v>1545</v>
      </c>
      <c r="I513" t="s">
        <v>638</v>
      </c>
      <c r="J513" t="s">
        <v>632</v>
      </c>
      <c r="K513" s="2" t="s">
        <v>620</v>
      </c>
      <c r="L513" s="2" t="s">
        <v>620</v>
      </c>
      <c r="M513" s="2" t="s">
        <v>620</v>
      </c>
      <c r="N513" s="2" t="s">
        <v>620</v>
      </c>
      <c r="O513" t="s">
        <v>639</v>
      </c>
      <c r="P513" t="s">
        <v>639</v>
      </c>
      <c r="Q513" t="s">
        <v>639</v>
      </c>
      <c r="R513" t="s">
        <v>639</v>
      </c>
      <c r="S513" t="s">
        <v>639</v>
      </c>
      <c r="T513" t="s">
        <v>620</v>
      </c>
      <c r="U513" t="s">
        <v>620</v>
      </c>
      <c r="V513" s="3" t="str">
        <f>IF(AND(data[[#This Row],[status]]="OK",data[[#This Row],[approach]]="evoavalla"),data[[#This Row],[asm_path]],"")</f>
        <v/>
      </c>
      <c r="W513" s="3" t="str">
        <f>IF(AND(data[[#This Row],[status]]="OK",data[[#This Row],[approach]]="atgt"),data[[#This Row],[asm_path]],"")</f>
        <v/>
      </c>
      <c r="X513" s="3" t="b">
        <f>COUNTIF(W:W,data[[#This Row],[path_ok_status_evoavalla]]) = 1</f>
        <v>0</v>
      </c>
    </row>
    <row r="514" spans="1:24" x14ac:dyDescent="0.25">
      <c r="A514" t="s">
        <v>1330</v>
      </c>
      <c r="B514" t="s">
        <v>1331</v>
      </c>
      <c r="C514" t="s">
        <v>635</v>
      </c>
      <c r="D514" t="s">
        <v>635</v>
      </c>
      <c r="E514" t="s">
        <v>635</v>
      </c>
      <c r="F514" t="s">
        <v>682</v>
      </c>
      <c r="G514" t="s">
        <v>683</v>
      </c>
      <c r="H514" t="s">
        <v>1545</v>
      </c>
      <c r="I514" t="s">
        <v>638</v>
      </c>
      <c r="J514" t="s">
        <v>632</v>
      </c>
      <c r="K514" s="2" t="s">
        <v>620</v>
      </c>
      <c r="L514" s="2" t="s">
        <v>620</v>
      </c>
      <c r="M514" s="2" t="s">
        <v>620</v>
      </c>
      <c r="N514" s="2" t="s">
        <v>620</v>
      </c>
      <c r="O514" t="s">
        <v>639</v>
      </c>
      <c r="P514" t="s">
        <v>639</v>
      </c>
      <c r="Q514" t="s">
        <v>639</v>
      </c>
      <c r="R514" t="s">
        <v>639</v>
      </c>
      <c r="S514" t="s">
        <v>639</v>
      </c>
      <c r="T514" t="s">
        <v>620</v>
      </c>
      <c r="U514" t="s">
        <v>620</v>
      </c>
      <c r="V514" s="3" t="str">
        <f>IF(AND(data[[#This Row],[status]]="OK",data[[#This Row],[approach]]="evoavalla"),data[[#This Row],[asm_path]],"")</f>
        <v/>
      </c>
      <c r="W514" s="3" t="str">
        <f>IF(AND(data[[#This Row],[status]]="OK",data[[#This Row],[approach]]="atgt"),data[[#This Row],[asm_path]],"")</f>
        <v/>
      </c>
      <c r="X514" s="3" t="b">
        <f>COUNTIF(W:W,data[[#This Row],[path_ok_status_evoavalla]]) = 1</f>
        <v>0</v>
      </c>
    </row>
    <row r="515" spans="1:24" x14ac:dyDescent="0.25">
      <c r="A515" t="s">
        <v>1332</v>
      </c>
      <c r="B515" t="s">
        <v>1333</v>
      </c>
      <c r="C515" t="s">
        <v>635</v>
      </c>
      <c r="D515" t="s">
        <v>635</v>
      </c>
      <c r="E515" t="s">
        <v>636</v>
      </c>
      <c r="F515" t="s">
        <v>626</v>
      </c>
      <c r="G515" t="s">
        <v>637</v>
      </c>
      <c r="H515" t="s">
        <v>1545</v>
      </c>
      <c r="I515" t="s">
        <v>638</v>
      </c>
      <c r="J515" t="s">
        <v>632</v>
      </c>
      <c r="K515" s="2" t="s">
        <v>620</v>
      </c>
      <c r="L515" s="2" t="s">
        <v>620</v>
      </c>
      <c r="M515" s="2" t="s">
        <v>620</v>
      </c>
      <c r="N515" s="2" t="s">
        <v>620</v>
      </c>
      <c r="O515" t="s">
        <v>639</v>
      </c>
      <c r="P515" t="s">
        <v>639</v>
      </c>
      <c r="Q515" t="s">
        <v>639</v>
      </c>
      <c r="R515" t="s">
        <v>639</v>
      </c>
      <c r="S515" t="s">
        <v>639</v>
      </c>
      <c r="T515" t="s">
        <v>620</v>
      </c>
      <c r="U515" t="s">
        <v>620</v>
      </c>
      <c r="V515" s="3" t="str">
        <f>IF(AND(data[[#This Row],[status]]="OK",data[[#This Row],[approach]]="evoavalla"),data[[#This Row],[asm_path]],"")</f>
        <v/>
      </c>
      <c r="W515" s="3" t="str">
        <f>IF(AND(data[[#This Row],[status]]="OK",data[[#This Row],[approach]]="atgt"),data[[#This Row],[asm_path]],"")</f>
        <v/>
      </c>
      <c r="X515" s="3" t="b">
        <f>COUNTIF(W:W,data[[#This Row],[path_ok_status_evoavalla]]) = 1</f>
        <v>0</v>
      </c>
    </row>
    <row r="516" spans="1:24" x14ac:dyDescent="0.25">
      <c r="A516" t="s">
        <v>1334</v>
      </c>
      <c r="B516" t="s">
        <v>1335</v>
      </c>
      <c r="C516" t="s">
        <v>682</v>
      </c>
      <c r="D516" t="s">
        <v>636</v>
      </c>
      <c r="E516" t="s">
        <v>620</v>
      </c>
      <c r="F516" t="s">
        <v>635</v>
      </c>
      <c r="G516" t="s">
        <v>697</v>
      </c>
      <c r="H516" t="s">
        <v>1545</v>
      </c>
      <c r="I516" t="s">
        <v>638</v>
      </c>
      <c r="J516" t="s">
        <v>632</v>
      </c>
      <c r="K516" s="2" t="s">
        <v>620</v>
      </c>
      <c r="L516" s="2" t="s">
        <v>620</v>
      </c>
      <c r="M516" s="2" t="s">
        <v>620</v>
      </c>
      <c r="N516" s="2" t="s">
        <v>620</v>
      </c>
      <c r="O516" t="s">
        <v>639</v>
      </c>
      <c r="P516" t="s">
        <v>639</v>
      </c>
      <c r="Q516" t="s">
        <v>639</v>
      </c>
      <c r="R516" t="s">
        <v>639</v>
      </c>
      <c r="S516" t="s">
        <v>639</v>
      </c>
      <c r="T516" t="s">
        <v>620</v>
      </c>
      <c r="U516" t="s">
        <v>620</v>
      </c>
      <c r="V516" s="3" t="str">
        <f>IF(AND(data[[#This Row],[status]]="OK",data[[#This Row],[approach]]="evoavalla"),data[[#This Row],[asm_path]],"")</f>
        <v/>
      </c>
      <c r="W516" s="3" t="str">
        <f>IF(AND(data[[#This Row],[status]]="OK",data[[#This Row],[approach]]="atgt"),data[[#This Row],[asm_path]],"")</f>
        <v/>
      </c>
      <c r="X516" s="3" t="b">
        <f>COUNTIF(W:W,data[[#This Row],[path_ok_status_evoavalla]]) = 1</f>
        <v>0</v>
      </c>
    </row>
    <row r="517" spans="1:24" x14ac:dyDescent="0.25">
      <c r="A517" t="s">
        <v>1336</v>
      </c>
      <c r="B517" t="s">
        <v>1337</v>
      </c>
      <c r="C517" t="s">
        <v>1338</v>
      </c>
      <c r="D517" t="s">
        <v>629</v>
      </c>
      <c r="E517" t="s">
        <v>636</v>
      </c>
      <c r="F517" t="s">
        <v>1339</v>
      </c>
      <c r="G517" t="s">
        <v>1340</v>
      </c>
      <c r="H517" t="s">
        <v>1545</v>
      </c>
      <c r="I517" t="s">
        <v>638</v>
      </c>
      <c r="J517" t="s">
        <v>632</v>
      </c>
      <c r="K517" s="2" t="s">
        <v>620</v>
      </c>
      <c r="L517" s="2" t="s">
        <v>620</v>
      </c>
      <c r="M517" s="2" t="s">
        <v>620</v>
      </c>
      <c r="N517" s="2" t="s">
        <v>620</v>
      </c>
      <c r="O517" t="s">
        <v>639</v>
      </c>
      <c r="P517" t="s">
        <v>639</v>
      </c>
      <c r="Q517" t="s">
        <v>639</v>
      </c>
      <c r="R517" t="s">
        <v>639</v>
      </c>
      <c r="S517" t="s">
        <v>639</v>
      </c>
      <c r="T517" t="s">
        <v>620</v>
      </c>
      <c r="U517" t="s">
        <v>620</v>
      </c>
      <c r="V517" s="3" t="str">
        <f>IF(AND(data[[#This Row],[status]]="OK",data[[#This Row],[approach]]="evoavalla"),data[[#This Row],[asm_path]],"")</f>
        <v/>
      </c>
      <c r="W517" s="3" t="str">
        <f>IF(AND(data[[#This Row],[status]]="OK",data[[#This Row],[approach]]="atgt"),data[[#This Row],[asm_path]],"")</f>
        <v/>
      </c>
      <c r="X517" s="3" t="b">
        <f>COUNTIF(W:W,data[[#This Row],[path_ok_status_evoavalla]]) = 1</f>
        <v>0</v>
      </c>
    </row>
    <row r="518" spans="1:24" x14ac:dyDescent="0.25">
      <c r="A518" t="s">
        <v>1347</v>
      </c>
      <c r="B518" t="s">
        <v>1348</v>
      </c>
      <c r="C518" t="s">
        <v>636</v>
      </c>
      <c r="D518" t="s">
        <v>635</v>
      </c>
      <c r="E518" t="s">
        <v>620</v>
      </c>
      <c r="F518" t="s">
        <v>636</v>
      </c>
      <c r="G518" t="s">
        <v>682</v>
      </c>
      <c r="H518" t="s">
        <v>1545</v>
      </c>
      <c r="I518" t="s">
        <v>638</v>
      </c>
      <c r="J518" t="s">
        <v>632</v>
      </c>
      <c r="K518" s="2" t="s">
        <v>620</v>
      </c>
      <c r="L518" s="2" t="s">
        <v>620</v>
      </c>
      <c r="M518" s="2" t="s">
        <v>620</v>
      </c>
      <c r="N518" s="2" t="s">
        <v>620</v>
      </c>
      <c r="O518" t="s">
        <v>639</v>
      </c>
      <c r="P518" t="s">
        <v>639</v>
      </c>
      <c r="Q518" t="s">
        <v>639</v>
      </c>
      <c r="R518" t="s">
        <v>639</v>
      </c>
      <c r="S518" t="s">
        <v>639</v>
      </c>
      <c r="T518" t="s">
        <v>620</v>
      </c>
      <c r="U518" t="s">
        <v>620</v>
      </c>
      <c r="V518" s="3" t="str">
        <f>IF(AND(data[[#This Row],[status]]="OK",data[[#This Row],[approach]]="evoavalla"),data[[#This Row],[asm_path]],"")</f>
        <v/>
      </c>
      <c r="W518" s="3" t="str">
        <f>IF(AND(data[[#This Row],[status]]="OK",data[[#This Row],[approach]]="atgt"),data[[#This Row],[asm_path]],"")</f>
        <v/>
      </c>
      <c r="X518" s="3" t="b">
        <f>COUNTIF(W:W,data[[#This Row],[path_ok_status_evoavalla]]) = 1</f>
        <v>0</v>
      </c>
    </row>
    <row r="519" spans="1:24" x14ac:dyDescent="0.25">
      <c r="A519" t="s">
        <v>1349</v>
      </c>
      <c r="B519" t="s">
        <v>1350</v>
      </c>
      <c r="C519" t="s">
        <v>664</v>
      </c>
      <c r="D519" t="s">
        <v>965</v>
      </c>
      <c r="E519" t="s">
        <v>620</v>
      </c>
      <c r="F519" t="s">
        <v>682</v>
      </c>
      <c r="G519" t="s">
        <v>809</v>
      </c>
      <c r="H519" t="s">
        <v>1545</v>
      </c>
      <c r="I519" t="s">
        <v>624</v>
      </c>
      <c r="J519" t="s">
        <v>1623</v>
      </c>
      <c r="K519" s="2" t="s">
        <v>816</v>
      </c>
      <c r="L519" s="2" t="s">
        <v>676</v>
      </c>
      <c r="M519" s="2" t="s">
        <v>676</v>
      </c>
      <c r="N519" s="2" t="s">
        <v>703</v>
      </c>
      <c r="O519" t="s">
        <v>630</v>
      </c>
      <c r="P519" t="s">
        <v>970</v>
      </c>
      <c r="Q519" t="s">
        <v>632</v>
      </c>
      <c r="R519" t="s">
        <v>630</v>
      </c>
      <c r="S519" t="s">
        <v>630</v>
      </c>
      <c r="T519" t="s">
        <v>620</v>
      </c>
      <c r="U519" t="s">
        <v>620</v>
      </c>
      <c r="V519" s="3" t="str">
        <f>IF(AND(data[[#This Row],[status]]="OK",data[[#This Row],[approach]]="evoavalla"),data[[#This Row],[asm_path]],"")</f>
        <v/>
      </c>
      <c r="W519" s="3" t="str">
        <f>IF(AND(data[[#This Row],[status]]="OK",data[[#This Row],[approach]]="atgt"),data[[#This Row],[asm_path]],"")</f>
        <v>../../../asm_examples/PHD/phd_master_flat2_v1.asm</v>
      </c>
      <c r="X519" s="3" t="b">
        <f>COUNTIF(W:W,data[[#This Row],[path_ok_status_evoavalla]]) = 1</f>
        <v>0</v>
      </c>
    </row>
    <row r="520" spans="1:24" x14ac:dyDescent="0.25">
      <c r="A520" t="s">
        <v>1352</v>
      </c>
      <c r="B520" t="s">
        <v>1353</v>
      </c>
      <c r="C520" t="s">
        <v>683</v>
      </c>
      <c r="D520" t="s">
        <v>740</v>
      </c>
      <c r="E520" t="s">
        <v>620</v>
      </c>
      <c r="F520" t="s">
        <v>621</v>
      </c>
      <c r="G520" t="s">
        <v>644</v>
      </c>
      <c r="H520" t="s">
        <v>1545</v>
      </c>
      <c r="I520" t="s">
        <v>624</v>
      </c>
      <c r="J520" t="s">
        <v>1624</v>
      </c>
      <c r="K520" s="2" t="s">
        <v>637</v>
      </c>
      <c r="L520" s="2" t="s">
        <v>698</v>
      </c>
      <c r="M520" s="2" t="s">
        <v>1376</v>
      </c>
      <c r="N520" s="2" t="s">
        <v>1625</v>
      </c>
      <c r="O520" t="s">
        <v>630</v>
      </c>
      <c r="P520" t="s">
        <v>630</v>
      </c>
      <c r="Q520" t="s">
        <v>632</v>
      </c>
      <c r="R520" t="s">
        <v>1190</v>
      </c>
      <c r="S520" t="s">
        <v>630</v>
      </c>
      <c r="T520" t="s">
        <v>620</v>
      </c>
      <c r="U520" t="s">
        <v>620</v>
      </c>
      <c r="V520" s="3" t="str">
        <f>IF(AND(data[[#This Row],[status]]="OK",data[[#This Row],[approach]]="evoavalla"),data[[#This Row],[asm_path]],"")</f>
        <v/>
      </c>
      <c r="W520" s="3" t="str">
        <f>IF(AND(data[[#This Row],[status]]="OK",data[[#This Row],[approach]]="atgt"),data[[#This Row],[asm_path]],"")</f>
        <v>../../../asm_examples/PillBox/Level1/pillbox_1_elia.asm</v>
      </c>
      <c r="X520" s="3" t="b">
        <f>COUNTIF(W:W,data[[#This Row],[path_ok_status_evoavalla]]) = 1</f>
        <v>0</v>
      </c>
    </row>
    <row r="521" spans="1:24" x14ac:dyDescent="0.25">
      <c r="A521" t="s">
        <v>1354</v>
      </c>
      <c r="B521" t="s">
        <v>1355</v>
      </c>
      <c r="C521" t="s">
        <v>664</v>
      </c>
      <c r="D521" t="s">
        <v>690</v>
      </c>
      <c r="E521" t="s">
        <v>636</v>
      </c>
      <c r="F521" t="s">
        <v>716</v>
      </c>
      <c r="G521" t="s">
        <v>816</v>
      </c>
      <c r="H521" t="s">
        <v>1545</v>
      </c>
      <c r="I521" t="s">
        <v>638</v>
      </c>
      <c r="J521" t="s">
        <v>632</v>
      </c>
      <c r="K521" s="2" t="s">
        <v>620</v>
      </c>
      <c r="L521" s="2" t="s">
        <v>620</v>
      </c>
      <c r="M521" s="2" t="s">
        <v>620</v>
      </c>
      <c r="N521" s="2" t="s">
        <v>620</v>
      </c>
      <c r="O521" t="s">
        <v>639</v>
      </c>
      <c r="P521" t="s">
        <v>639</v>
      </c>
      <c r="Q521" t="s">
        <v>639</v>
      </c>
      <c r="R521" t="s">
        <v>639</v>
      </c>
      <c r="S521" t="s">
        <v>639</v>
      </c>
      <c r="T521" t="s">
        <v>620</v>
      </c>
      <c r="U521" t="s">
        <v>620</v>
      </c>
      <c r="V521" s="3" t="str">
        <f>IF(AND(data[[#This Row],[status]]="OK",data[[#This Row],[approach]]="evoavalla"),data[[#This Row],[asm_path]],"")</f>
        <v/>
      </c>
      <c r="W521" s="3" t="str">
        <f>IF(AND(data[[#This Row],[status]]="OK",data[[#This Row],[approach]]="atgt"),data[[#This Row],[asm_path]],"")</f>
        <v/>
      </c>
      <c r="X521" s="3" t="b">
        <f>COUNTIF(W:W,data[[#This Row],[path_ok_status_evoavalla]]) = 1</f>
        <v>0</v>
      </c>
    </row>
    <row r="522" spans="1:24" x14ac:dyDescent="0.25">
      <c r="A522" t="s">
        <v>1356</v>
      </c>
      <c r="B522" t="s">
        <v>1357</v>
      </c>
      <c r="C522" t="s">
        <v>664</v>
      </c>
      <c r="D522" t="s">
        <v>683</v>
      </c>
      <c r="E522" t="s">
        <v>636</v>
      </c>
      <c r="F522" t="s">
        <v>716</v>
      </c>
      <c r="G522" t="s">
        <v>745</v>
      </c>
      <c r="H522" t="s">
        <v>1545</v>
      </c>
      <c r="I522" t="s">
        <v>638</v>
      </c>
      <c r="J522" t="s">
        <v>632</v>
      </c>
      <c r="K522" s="2" t="s">
        <v>620</v>
      </c>
      <c r="L522" s="2" t="s">
        <v>620</v>
      </c>
      <c r="M522" s="2" t="s">
        <v>620</v>
      </c>
      <c r="N522" s="2" t="s">
        <v>620</v>
      </c>
      <c r="O522" t="s">
        <v>639</v>
      </c>
      <c r="P522" t="s">
        <v>639</v>
      </c>
      <c r="Q522" t="s">
        <v>639</v>
      </c>
      <c r="R522" t="s">
        <v>639</v>
      </c>
      <c r="S522" t="s">
        <v>639</v>
      </c>
      <c r="T522" t="s">
        <v>620</v>
      </c>
      <c r="U522" t="s">
        <v>620</v>
      </c>
      <c r="V522" s="3" t="str">
        <f>IF(AND(data[[#This Row],[status]]="OK",data[[#This Row],[approach]]="evoavalla"),data[[#This Row],[asm_path]],"")</f>
        <v/>
      </c>
      <c r="W522" s="3" t="str">
        <f>IF(AND(data[[#This Row],[status]]="OK",data[[#This Row],[approach]]="atgt"),data[[#This Row],[asm_path]],"")</f>
        <v/>
      </c>
      <c r="X522" s="3" t="b">
        <f>COUNTIF(W:W,data[[#This Row],[path_ok_status_evoavalla]]) = 1</f>
        <v>0</v>
      </c>
    </row>
    <row r="523" spans="1:24" x14ac:dyDescent="0.25">
      <c r="A523" t="s">
        <v>1358</v>
      </c>
      <c r="B523" t="s">
        <v>1359</v>
      </c>
      <c r="C523" t="s">
        <v>636</v>
      </c>
      <c r="D523" t="s">
        <v>636</v>
      </c>
      <c r="E523" t="s">
        <v>620</v>
      </c>
      <c r="F523" t="s">
        <v>620</v>
      </c>
      <c r="G523" t="s">
        <v>636</v>
      </c>
      <c r="H523" t="s">
        <v>1545</v>
      </c>
      <c r="I523" t="s">
        <v>638</v>
      </c>
      <c r="J523" t="s">
        <v>632</v>
      </c>
      <c r="K523" s="2" t="s">
        <v>620</v>
      </c>
      <c r="L523" s="2" t="s">
        <v>620</v>
      </c>
      <c r="M523" s="2" t="s">
        <v>620</v>
      </c>
      <c r="N523" s="2" t="s">
        <v>620</v>
      </c>
      <c r="O523" t="s">
        <v>639</v>
      </c>
      <c r="P523" t="s">
        <v>639</v>
      </c>
      <c r="Q523" t="s">
        <v>639</v>
      </c>
      <c r="R523" t="s">
        <v>639</v>
      </c>
      <c r="S523" t="s">
        <v>639</v>
      </c>
      <c r="T523" t="s">
        <v>620</v>
      </c>
      <c r="U523" t="s">
        <v>620</v>
      </c>
      <c r="V523" s="3" t="str">
        <f>IF(AND(data[[#This Row],[status]]="OK",data[[#This Row],[approach]]="evoavalla"),data[[#This Row],[asm_path]],"")</f>
        <v/>
      </c>
      <c r="W523" s="3" t="str">
        <f>IF(AND(data[[#This Row],[status]]="OK",data[[#This Row],[approach]]="atgt"),data[[#This Row],[asm_path]],"")</f>
        <v/>
      </c>
      <c r="X523" s="3" t="b">
        <f>COUNTIF(W:W,data[[#This Row],[path_ok_status_evoavalla]]) = 1</f>
        <v>0</v>
      </c>
    </row>
    <row r="524" spans="1:24" x14ac:dyDescent="0.25">
      <c r="A524" t="s">
        <v>1360</v>
      </c>
      <c r="B524" t="s">
        <v>1361</v>
      </c>
      <c r="C524" t="s">
        <v>635</v>
      </c>
      <c r="D524" t="s">
        <v>635</v>
      </c>
      <c r="E524" t="s">
        <v>620</v>
      </c>
      <c r="F524" t="s">
        <v>620</v>
      </c>
      <c r="G524" t="s">
        <v>621</v>
      </c>
      <c r="H524" t="s">
        <v>1545</v>
      </c>
      <c r="I524" t="s">
        <v>638</v>
      </c>
      <c r="J524" t="s">
        <v>632</v>
      </c>
      <c r="K524" s="2" t="s">
        <v>620</v>
      </c>
      <c r="L524" s="2" t="s">
        <v>620</v>
      </c>
      <c r="M524" s="2" t="s">
        <v>620</v>
      </c>
      <c r="N524" s="2" t="s">
        <v>620</v>
      </c>
      <c r="O524" t="s">
        <v>639</v>
      </c>
      <c r="P524" t="s">
        <v>639</v>
      </c>
      <c r="Q524" t="s">
        <v>639</v>
      </c>
      <c r="R524" t="s">
        <v>639</v>
      </c>
      <c r="S524" t="s">
        <v>639</v>
      </c>
      <c r="T524" t="s">
        <v>620</v>
      </c>
      <c r="U524" t="s">
        <v>620</v>
      </c>
      <c r="V524" s="3" t="str">
        <f>IF(AND(data[[#This Row],[status]]="OK",data[[#This Row],[approach]]="evoavalla"),data[[#This Row],[asm_path]],"")</f>
        <v/>
      </c>
      <c r="W524" s="3" t="str">
        <f>IF(AND(data[[#This Row],[status]]="OK",data[[#This Row],[approach]]="atgt"),data[[#This Row],[asm_path]],"")</f>
        <v/>
      </c>
      <c r="X524" s="3" t="b">
        <f>COUNTIF(W:W,data[[#This Row],[path_ok_status_evoavalla]]) = 1</f>
        <v>0</v>
      </c>
    </row>
    <row r="525" spans="1:24" x14ac:dyDescent="0.25">
      <c r="A525" t="s">
        <v>1362</v>
      </c>
      <c r="B525" t="s">
        <v>1363</v>
      </c>
      <c r="C525" t="s">
        <v>643</v>
      </c>
      <c r="D525" t="s">
        <v>643</v>
      </c>
      <c r="E525" t="s">
        <v>620</v>
      </c>
      <c r="F525" t="s">
        <v>683</v>
      </c>
      <c r="G525" t="s">
        <v>781</v>
      </c>
      <c r="H525" t="s">
        <v>1545</v>
      </c>
      <c r="I525" t="s">
        <v>624</v>
      </c>
      <c r="J525" t="s">
        <v>1626</v>
      </c>
      <c r="K525" s="2" t="s">
        <v>682</v>
      </c>
      <c r="L525" s="2" t="s">
        <v>621</v>
      </c>
      <c r="M525" s="2" t="s">
        <v>628</v>
      </c>
      <c r="N525" s="2" t="s">
        <v>752</v>
      </c>
      <c r="O525" t="s">
        <v>630</v>
      </c>
      <c r="P525" t="s">
        <v>1365</v>
      </c>
      <c r="Q525" t="s">
        <v>632</v>
      </c>
      <c r="R525" t="s">
        <v>1572</v>
      </c>
      <c r="S525" t="s">
        <v>1547</v>
      </c>
      <c r="T525" t="s">
        <v>620</v>
      </c>
      <c r="U525" t="s">
        <v>620</v>
      </c>
      <c r="V525" s="3" t="str">
        <f>IF(AND(data[[#This Row],[status]]="OK",data[[#This Row],[approach]]="evoavalla"),data[[#This Row],[asm_path]],"")</f>
        <v/>
      </c>
      <c r="W525" s="3" t="str">
        <f>IF(AND(data[[#This Row],[status]]="OK",data[[#This Row],[approach]]="atgt"),data[[#This Row],[asm_path]],"")</f>
        <v>../../../asm_examples/stereoacuity/certifierGround.asm</v>
      </c>
      <c r="X525" s="3" t="b">
        <f>COUNTIF(W:W,data[[#This Row],[path_ok_status_evoavalla]]) = 1</f>
        <v>0</v>
      </c>
    </row>
    <row r="526" spans="1:24" x14ac:dyDescent="0.25">
      <c r="A526" t="s">
        <v>1366</v>
      </c>
      <c r="B526" t="s">
        <v>1367</v>
      </c>
      <c r="C526" t="s">
        <v>664</v>
      </c>
      <c r="D526" t="s">
        <v>628</v>
      </c>
      <c r="E526" t="s">
        <v>620</v>
      </c>
      <c r="F526" t="s">
        <v>626</v>
      </c>
      <c r="G526" t="s">
        <v>642</v>
      </c>
      <c r="H526" t="s">
        <v>1545</v>
      </c>
      <c r="I526" t="s">
        <v>638</v>
      </c>
      <c r="J526" t="s">
        <v>632</v>
      </c>
      <c r="K526" s="2" t="s">
        <v>620</v>
      </c>
      <c r="L526" s="2" t="s">
        <v>620</v>
      </c>
      <c r="M526" s="2" t="s">
        <v>620</v>
      </c>
      <c r="N526" s="2" t="s">
        <v>620</v>
      </c>
      <c r="O526" t="s">
        <v>639</v>
      </c>
      <c r="P526" t="s">
        <v>639</v>
      </c>
      <c r="Q526" t="s">
        <v>639</v>
      </c>
      <c r="R526" t="s">
        <v>639</v>
      </c>
      <c r="S526" t="s">
        <v>639</v>
      </c>
      <c r="T526" t="s">
        <v>620</v>
      </c>
      <c r="U526" t="s">
        <v>620</v>
      </c>
      <c r="V526" s="3" t="str">
        <f>IF(AND(data[[#This Row],[status]]="OK",data[[#This Row],[approach]]="evoavalla"),data[[#This Row],[asm_path]],"")</f>
        <v/>
      </c>
      <c r="W526" s="3" t="str">
        <f>IF(AND(data[[#This Row],[status]]="OK",data[[#This Row],[approach]]="atgt"),data[[#This Row],[asm_path]],"")</f>
        <v/>
      </c>
      <c r="X526" s="3" t="b">
        <f>COUNTIF(W:W,data[[#This Row],[path_ok_status_evoavalla]]) = 1</f>
        <v>0</v>
      </c>
    </row>
    <row r="527" spans="1:24" x14ac:dyDescent="0.25">
      <c r="A527" t="s">
        <v>1368</v>
      </c>
      <c r="B527" t="s">
        <v>1369</v>
      </c>
      <c r="C527" t="s">
        <v>626</v>
      </c>
      <c r="D527" t="s">
        <v>643</v>
      </c>
      <c r="E527" t="s">
        <v>620</v>
      </c>
      <c r="F527" t="s">
        <v>716</v>
      </c>
      <c r="G527" t="s">
        <v>750</v>
      </c>
      <c r="H527" t="s">
        <v>1545</v>
      </c>
      <c r="I527" t="s">
        <v>624</v>
      </c>
      <c r="J527" t="s">
        <v>1627</v>
      </c>
      <c r="K527" s="2" t="s">
        <v>643</v>
      </c>
      <c r="L527" s="2" t="s">
        <v>1250</v>
      </c>
      <c r="M527" s="2" t="s">
        <v>1250</v>
      </c>
      <c r="N527" s="2" t="s">
        <v>1628</v>
      </c>
      <c r="O527" t="s">
        <v>630</v>
      </c>
      <c r="P527" t="s">
        <v>630</v>
      </c>
      <c r="Q527" t="s">
        <v>632</v>
      </c>
      <c r="R527" t="s">
        <v>630</v>
      </c>
      <c r="S527" t="s">
        <v>630</v>
      </c>
      <c r="T527" t="s">
        <v>620</v>
      </c>
      <c r="U527" t="s">
        <v>620</v>
      </c>
      <c r="V527" s="3" t="str">
        <f>IF(AND(data[[#This Row],[status]]="OK",data[[#This Row],[approach]]="evoavalla"),data[[#This Row],[asm_path]],"")</f>
        <v/>
      </c>
      <c r="W527" s="3" t="str">
        <f>IF(AND(data[[#This Row],[status]]="OK",data[[#This Row],[approach]]="atgt"),data[[#This Row],[asm_path]],"")</f>
        <v>../../../asm_examples/examples/traffic_light/oneWayTrafficLightUsingEnumFlat.asm</v>
      </c>
      <c r="X527" s="3" t="b">
        <f>COUNTIF(W:W,data[[#This Row],[path_ok_status_evoavalla]]) = 1</f>
        <v>0</v>
      </c>
    </row>
    <row r="528" spans="1:24" x14ac:dyDescent="0.25">
      <c r="A528" t="s">
        <v>1371</v>
      </c>
      <c r="B528" t="s">
        <v>1372</v>
      </c>
      <c r="C528" t="s">
        <v>636</v>
      </c>
      <c r="D528" t="s">
        <v>635</v>
      </c>
      <c r="E528" t="s">
        <v>620</v>
      </c>
      <c r="F528" t="s">
        <v>635</v>
      </c>
      <c r="G528" t="s">
        <v>664</v>
      </c>
      <c r="H528" t="s">
        <v>1545</v>
      </c>
      <c r="I528" t="s">
        <v>638</v>
      </c>
      <c r="J528" t="s">
        <v>632</v>
      </c>
      <c r="K528" s="2" t="s">
        <v>620</v>
      </c>
      <c r="L528" s="2" t="s">
        <v>620</v>
      </c>
      <c r="M528" s="2" t="s">
        <v>620</v>
      </c>
      <c r="N528" s="2" t="s">
        <v>620</v>
      </c>
      <c r="O528" t="s">
        <v>639</v>
      </c>
      <c r="P528" t="s">
        <v>639</v>
      </c>
      <c r="Q528" t="s">
        <v>639</v>
      </c>
      <c r="R528" t="s">
        <v>639</v>
      </c>
      <c r="S528" t="s">
        <v>639</v>
      </c>
      <c r="T528" t="s">
        <v>620</v>
      </c>
      <c r="U528" t="s">
        <v>620</v>
      </c>
      <c r="V528" s="3" t="str">
        <f>IF(AND(data[[#This Row],[status]]="OK",data[[#This Row],[approach]]="evoavalla"),data[[#This Row],[asm_path]],"")</f>
        <v/>
      </c>
      <c r="W528" s="3" t="str">
        <f>IF(AND(data[[#This Row],[status]]="OK",data[[#This Row],[approach]]="atgt"),data[[#This Row],[asm_path]],"")</f>
        <v/>
      </c>
      <c r="X528" s="3" t="b">
        <f>COUNTIF(W:W,data[[#This Row],[path_ok_status_evoavalla]]) = 1</f>
        <v>0</v>
      </c>
    </row>
    <row r="529" spans="1:24" x14ac:dyDescent="0.25">
      <c r="A529" t="s">
        <v>1374</v>
      </c>
      <c r="B529" t="s">
        <v>1375</v>
      </c>
      <c r="C529" t="s">
        <v>1376</v>
      </c>
      <c r="D529" t="s">
        <v>1084</v>
      </c>
      <c r="E529" t="s">
        <v>620</v>
      </c>
      <c r="F529" t="s">
        <v>817</v>
      </c>
      <c r="G529" t="s">
        <v>1377</v>
      </c>
      <c r="H529" t="s">
        <v>1545</v>
      </c>
      <c r="I529" t="s">
        <v>638</v>
      </c>
      <c r="J529" t="s">
        <v>632</v>
      </c>
      <c r="K529" s="2" t="s">
        <v>620</v>
      </c>
      <c r="L529" s="2" t="s">
        <v>620</v>
      </c>
      <c r="M529" s="2" t="s">
        <v>620</v>
      </c>
      <c r="N529" s="2" t="s">
        <v>620</v>
      </c>
      <c r="O529" t="s">
        <v>639</v>
      </c>
      <c r="P529" t="s">
        <v>639</v>
      </c>
      <c r="Q529" t="s">
        <v>639</v>
      </c>
      <c r="R529" t="s">
        <v>639</v>
      </c>
      <c r="S529" t="s">
        <v>639</v>
      </c>
      <c r="T529" t="s">
        <v>620</v>
      </c>
      <c r="U529" t="s">
        <v>620</v>
      </c>
      <c r="V529" s="3" t="str">
        <f>IF(AND(data[[#This Row],[status]]="OK",data[[#This Row],[approach]]="evoavalla"),data[[#This Row],[asm_path]],"")</f>
        <v/>
      </c>
      <c r="W529" s="3" t="str">
        <f>IF(AND(data[[#This Row],[status]]="OK",data[[#This Row],[approach]]="atgt"),data[[#This Row],[asm_path]],"")</f>
        <v/>
      </c>
      <c r="X529" s="3" t="b">
        <f>COUNTIF(W:W,data[[#This Row],[path_ok_status_evoavalla]]) = 1</f>
        <v>0</v>
      </c>
    </row>
    <row r="530" spans="1:24" x14ac:dyDescent="0.25">
      <c r="A530" t="s">
        <v>1382</v>
      </c>
      <c r="B530" t="s">
        <v>1383</v>
      </c>
      <c r="C530" t="s">
        <v>664</v>
      </c>
      <c r="D530" t="s">
        <v>683</v>
      </c>
      <c r="E530" t="s">
        <v>636</v>
      </c>
      <c r="F530" t="s">
        <v>716</v>
      </c>
      <c r="G530" t="s">
        <v>745</v>
      </c>
      <c r="H530" t="s">
        <v>1545</v>
      </c>
      <c r="I530" t="s">
        <v>638</v>
      </c>
      <c r="J530" t="s">
        <v>632</v>
      </c>
      <c r="K530" s="2" t="s">
        <v>620</v>
      </c>
      <c r="L530" s="2" t="s">
        <v>620</v>
      </c>
      <c r="M530" s="2" t="s">
        <v>620</v>
      </c>
      <c r="N530" s="2" t="s">
        <v>620</v>
      </c>
      <c r="O530" t="s">
        <v>639</v>
      </c>
      <c r="P530" t="s">
        <v>639</v>
      </c>
      <c r="Q530" t="s">
        <v>639</v>
      </c>
      <c r="R530" t="s">
        <v>639</v>
      </c>
      <c r="S530" t="s">
        <v>639</v>
      </c>
      <c r="T530" t="s">
        <v>620</v>
      </c>
      <c r="U530" t="s">
        <v>620</v>
      </c>
      <c r="V530" s="3" t="str">
        <f>IF(AND(data[[#This Row],[status]]="OK",data[[#This Row],[approach]]="evoavalla"),data[[#This Row],[asm_path]],"")</f>
        <v/>
      </c>
      <c r="W530" s="3" t="str">
        <f>IF(AND(data[[#This Row],[status]]="OK",data[[#This Row],[approach]]="atgt"),data[[#This Row],[asm_path]],"")</f>
        <v/>
      </c>
      <c r="X530" s="3" t="b">
        <f>COUNTIF(W:W,data[[#This Row],[path_ok_status_evoavalla]]) = 1</f>
        <v>0</v>
      </c>
    </row>
    <row r="531" spans="1:24" x14ac:dyDescent="0.25">
      <c r="A531" t="s">
        <v>1384</v>
      </c>
      <c r="B531" t="s">
        <v>1385</v>
      </c>
      <c r="C531" t="s">
        <v>664</v>
      </c>
      <c r="D531" t="s">
        <v>683</v>
      </c>
      <c r="E531" t="s">
        <v>636</v>
      </c>
      <c r="F531" t="s">
        <v>716</v>
      </c>
      <c r="G531" t="s">
        <v>740</v>
      </c>
      <c r="H531" t="s">
        <v>1545</v>
      </c>
      <c r="I531" t="s">
        <v>638</v>
      </c>
      <c r="J531" t="s">
        <v>632</v>
      </c>
      <c r="K531" s="2" t="s">
        <v>620</v>
      </c>
      <c r="L531" s="2" t="s">
        <v>620</v>
      </c>
      <c r="M531" s="2" t="s">
        <v>620</v>
      </c>
      <c r="N531" s="2" t="s">
        <v>620</v>
      </c>
      <c r="O531" t="s">
        <v>639</v>
      </c>
      <c r="P531" t="s">
        <v>639</v>
      </c>
      <c r="Q531" t="s">
        <v>639</v>
      </c>
      <c r="R531" t="s">
        <v>639</v>
      </c>
      <c r="S531" t="s">
        <v>639</v>
      </c>
      <c r="T531" t="s">
        <v>620</v>
      </c>
      <c r="U531" t="s">
        <v>620</v>
      </c>
      <c r="V531" s="3" t="str">
        <f>IF(AND(data[[#This Row],[status]]="OK",data[[#This Row],[approach]]="evoavalla"),data[[#This Row],[asm_path]],"")</f>
        <v/>
      </c>
      <c r="W531" s="3" t="str">
        <f>IF(AND(data[[#This Row],[status]]="OK",data[[#This Row],[approach]]="atgt"),data[[#This Row],[asm_path]],"")</f>
        <v/>
      </c>
      <c r="X531" s="3" t="b">
        <f>COUNTIF(W:W,data[[#This Row],[path_ok_status_evoavalla]]) = 1</f>
        <v>0</v>
      </c>
    </row>
    <row r="532" spans="1:24" x14ac:dyDescent="0.25">
      <c r="A532" t="s">
        <v>1386</v>
      </c>
      <c r="B532" t="s">
        <v>1387</v>
      </c>
      <c r="C532" t="s">
        <v>682</v>
      </c>
      <c r="D532" t="s">
        <v>664</v>
      </c>
      <c r="E532" t="s">
        <v>636</v>
      </c>
      <c r="F532" t="s">
        <v>682</v>
      </c>
      <c r="G532" t="s">
        <v>761</v>
      </c>
      <c r="H532" t="s">
        <v>1545</v>
      </c>
      <c r="I532" t="s">
        <v>638</v>
      </c>
      <c r="J532" t="s">
        <v>632</v>
      </c>
      <c r="K532" s="2" t="s">
        <v>620</v>
      </c>
      <c r="L532" s="2" t="s">
        <v>620</v>
      </c>
      <c r="M532" s="2" t="s">
        <v>620</v>
      </c>
      <c r="N532" s="2" t="s">
        <v>620</v>
      </c>
      <c r="O532" t="s">
        <v>639</v>
      </c>
      <c r="P532" t="s">
        <v>639</v>
      </c>
      <c r="Q532" t="s">
        <v>639</v>
      </c>
      <c r="R532" t="s">
        <v>639</v>
      </c>
      <c r="S532" t="s">
        <v>639</v>
      </c>
      <c r="T532" t="s">
        <v>620</v>
      </c>
      <c r="U532" t="s">
        <v>620</v>
      </c>
      <c r="V532" s="3" t="str">
        <f>IF(AND(data[[#This Row],[status]]="OK",data[[#This Row],[approach]]="evoavalla"),data[[#This Row],[asm_path]],"")</f>
        <v/>
      </c>
      <c r="W532" s="3" t="str">
        <f>IF(AND(data[[#This Row],[status]]="OK",data[[#This Row],[approach]]="atgt"),data[[#This Row],[asm_path]],"")</f>
        <v/>
      </c>
      <c r="X532" s="3" t="b">
        <f>COUNTIF(W:W,data[[#This Row],[path_ok_status_evoavalla]]) = 1</f>
        <v>0</v>
      </c>
    </row>
    <row r="533" spans="1:24" x14ac:dyDescent="0.25">
      <c r="A533" t="s">
        <v>1388</v>
      </c>
      <c r="B533" t="s">
        <v>1389</v>
      </c>
      <c r="C533" t="s">
        <v>636</v>
      </c>
      <c r="D533" t="s">
        <v>635</v>
      </c>
      <c r="E533" t="s">
        <v>620</v>
      </c>
      <c r="F533" t="s">
        <v>635</v>
      </c>
      <c r="G533" t="s">
        <v>626</v>
      </c>
      <c r="H533" t="s">
        <v>1545</v>
      </c>
      <c r="I533" t="s">
        <v>638</v>
      </c>
      <c r="J533" t="s">
        <v>632</v>
      </c>
      <c r="K533" s="2" t="s">
        <v>620</v>
      </c>
      <c r="L533" s="2" t="s">
        <v>620</v>
      </c>
      <c r="M533" s="2" t="s">
        <v>620</v>
      </c>
      <c r="N533" s="2" t="s">
        <v>620</v>
      </c>
      <c r="O533" t="s">
        <v>639</v>
      </c>
      <c r="P533" t="s">
        <v>639</v>
      </c>
      <c r="Q533" t="s">
        <v>639</v>
      </c>
      <c r="R533" t="s">
        <v>639</v>
      </c>
      <c r="S533" t="s">
        <v>639</v>
      </c>
      <c r="T533" t="s">
        <v>620</v>
      </c>
      <c r="U533" t="s">
        <v>620</v>
      </c>
      <c r="V533" s="3" t="str">
        <f>IF(AND(data[[#This Row],[status]]="OK",data[[#This Row],[approach]]="evoavalla"),data[[#This Row],[asm_path]],"")</f>
        <v/>
      </c>
      <c r="W533" s="3" t="str">
        <f>IF(AND(data[[#This Row],[status]]="OK",data[[#This Row],[approach]]="atgt"),data[[#This Row],[asm_path]],"")</f>
        <v/>
      </c>
      <c r="X533" s="3" t="b">
        <f>COUNTIF(W:W,data[[#This Row],[path_ok_status_evoavalla]]) = 1</f>
        <v>0</v>
      </c>
    </row>
    <row r="534" spans="1:24" x14ac:dyDescent="0.25">
      <c r="A534" t="s">
        <v>1390</v>
      </c>
      <c r="B534" t="s">
        <v>1391</v>
      </c>
      <c r="C534" t="s">
        <v>664</v>
      </c>
      <c r="D534" t="s">
        <v>635</v>
      </c>
      <c r="E534" t="s">
        <v>620</v>
      </c>
      <c r="F534" t="s">
        <v>620</v>
      </c>
      <c r="G534" t="s">
        <v>626</v>
      </c>
      <c r="H534" t="s">
        <v>1545</v>
      </c>
      <c r="I534" t="s">
        <v>638</v>
      </c>
      <c r="J534" t="s">
        <v>632</v>
      </c>
      <c r="K534" s="2" t="s">
        <v>620</v>
      </c>
      <c r="L534" s="2" t="s">
        <v>620</v>
      </c>
      <c r="M534" s="2" t="s">
        <v>620</v>
      </c>
      <c r="N534" s="2" t="s">
        <v>620</v>
      </c>
      <c r="O534" t="s">
        <v>639</v>
      </c>
      <c r="P534" t="s">
        <v>639</v>
      </c>
      <c r="Q534" t="s">
        <v>639</v>
      </c>
      <c r="R534" t="s">
        <v>639</v>
      </c>
      <c r="S534" t="s">
        <v>639</v>
      </c>
      <c r="T534" t="s">
        <v>620</v>
      </c>
      <c r="U534" t="s">
        <v>620</v>
      </c>
      <c r="V534" s="3" t="str">
        <f>IF(AND(data[[#This Row],[status]]="OK",data[[#This Row],[approach]]="evoavalla"),data[[#This Row],[asm_path]],"")</f>
        <v/>
      </c>
      <c r="W534" s="3" t="str">
        <f>IF(AND(data[[#This Row],[status]]="OK",data[[#This Row],[approach]]="atgt"),data[[#This Row],[asm_path]],"")</f>
        <v/>
      </c>
      <c r="X534" s="3" t="b">
        <f>COUNTIF(W:W,data[[#This Row],[path_ok_status_evoavalla]]) = 1</f>
        <v>0</v>
      </c>
    </row>
    <row r="535" spans="1:24" x14ac:dyDescent="0.25">
      <c r="A535" t="s">
        <v>1392</v>
      </c>
      <c r="B535" t="s">
        <v>892</v>
      </c>
      <c r="C535" t="s">
        <v>636</v>
      </c>
      <c r="D535" t="s">
        <v>620</v>
      </c>
      <c r="E535" t="s">
        <v>620</v>
      </c>
      <c r="F535" t="s">
        <v>620</v>
      </c>
      <c r="G535" t="s">
        <v>636</v>
      </c>
      <c r="H535" t="s">
        <v>1545</v>
      </c>
      <c r="I535" t="s">
        <v>638</v>
      </c>
      <c r="J535" t="s">
        <v>632</v>
      </c>
      <c r="K535" s="2" t="s">
        <v>620</v>
      </c>
      <c r="L535" s="2" t="s">
        <v>620</v>
      </c>
      <c r="M535" s="2" t="s">
        <v>620</v>
      </c>
      <c r="N535" s="2" t="s">
        <v>620</v>
      </c>
      <c r="O535" t="s">
        <v>639</v>
      </c>
      <c r="P535" t="s">
        <v>639</v>
      </c>
      <c r="Q535" t="s">
        <v>639</v>
      </c>
      <c r="R535" t="s">
        <v>639</v>
      </c>
      <c r="S535" t="s">
        <v>639</v>
      </c>
      <c r="T535" t="s">
        <v>620</v>
      </c>
      <c r="U535" t="s">
        <v>620</v>
      </c>
      <c r="V535" s="3" t="str">
        <f>IF(AND(data[[#This Row],[status]]="OK",data[[#This Row],[approach]]="evoavalla"),data[[#This Row],[asm_path]],"")</f>
        <v/>
      </c>
      <c r="W535" s="3" t="str">
        <f>IF(AND(data[[#This Row],[status]]="OK",data[[#This Row],[approach]]="atgt"),data[[#This Row],[asm_path]],"")</f>
        <v/>
      </c>
      <c r="X535" s="3" t="b">
        <f>COUNTIF(W:W,data[[#This Row],[path_ok_status_evoavalla]]) = 1</f>
        <v>0</v>
      </c>
    </row>
    <row r="536" spans="1:24" x14ac:dyDescent="0.25">
      <c r="A536" t="s">
        <v>1393</v>
      </c>
      <c r="B536" t="s">
        <v>1394</v>
      </c>
      <c r="C536" t="s">
        <v>635</v>
      </c>
      <c r="D536" t="s">
        <v>635</v>
      </c>
      <c r="E536" t="s">
        <v>620</v>
      </c>
      <c r="F536" t="s">
        <v>620</v>
      </c>
      <c r="G536" t="s">
        <v>761</v>
      </c>
      <c r="H536" t="s">
        <v>1545</v>
      </c>
      <c r="I536" t="s">
        <v>638</v>
      </c>
      <c r="J536" t="s">
        <v>632</v>
      </c>
      <c r="K536" s="2" t="s">
        <v>620</v>
      </c>
      <c r="L536" s="2" t="s">
        <v>620</v>
      </c>
      <c r="M536" s="2" t="s">
        <v>620</v>
      </c>
      <c r="N536" s="2" t="s">
        <v>620</v>
      </c>
      <c r="O536" t="s">
        <v>639</v>
      </c>
      <c r="P536" t="s">
        <v>639</v>
      </c>
      <c r="Q536" t="s">
        <v>639</v>
      </c>
      <c r="R536" t="s">
        <v>639</v>
      </c>
      <c r="S536" t="s">
        <v>639</v>
      </c>
      <c r="T536" t="s">
        <v>620</v>
      </c>
      <c r="U536" t="s">
        <v>620</v>
      </c>
      <c r="V536" s="3" t="str">
        <f>IF(AND(data[[#This Row],[status]]="OK",data[[#This Row],[approach]]="evoavalla"),data[[#This Row],[asm_path]],"")</f>
        <v/>
      </c>
      <c r="W536" s="3" t="str">
        <f>IF(AND(data[[#This Row],[status]]="OK",data[[#This Row],[approach]]="atgt"),data[[#This Row],[asm_path]],"")</f>
        <v/>
      </c>
      <c r="X536" s="3" t="b">
        <f>COUNTIF(W:W,data[[#This Row],[path_ok_status_evoavalla]]) = 1</f>
        <v>0</v>
      </c>
    </row>
    <row r="537" spans="1:24" x14ac:dyDescent="0.25">
      <c r="A537" t="s">
        <v>1395</v>
      </c>
      <c r="B537" t="s">
        <v>1396</v>
      </c>
      <c r="C537" t="s">
        <v>635</v>
      </c>
      <c r="D537" t="s">
        <v>635</v>
      </c>
      <c r="E537" t="s">
        <v>635</v>
      </c>
      <c r="F537" t="s">
        <v>682</v>
      </c>
      <c r="G537" t="s">
        <v>683</v>
      </c>
      <c r="H537" t="s">
        <v>1545</v>
      </c>
      <c r="I537" t="s">
        <v>638</v>
      </c>
      <c r="J537" t="s">
        <v>632</v>
      </c>
      <c r="K537" s="2" t="s">
        <v>620</v>
      </c>
      <c r="L537" s="2" t="s">
        <v>620</v>
      </c>
      <c r="M537" s="2" t="s">
        <v>620</v>
      </c>
      <c r="N537" s="2" t="s">
        <v>620</v>
      </c>
      <c r="O537" t="s">
        <v>639</v>
      </c>
      <c r="P537" t="s">
        <v>639</v>
      </c>
      <c r="Q537" t="s">
        <v>639</v>
      </c>
      <c r="R537" t="s">
        <v>639</v>
      </c>
      <c r="S537" t="s">
        <v>639</v>
      </c>
      <c r="T537" t="s">
        <v>620</v>
      </c>
      <c r="U537" t="s">
        <v>620</v>
      </c>
      <c r="V537" s="3" t="str">
        <f>IF(AND(data[[#This Row],[status]]="OK",data[[#This Row],[approach]]="evoavalla"),data[[#This Row],[asm_path]],"")</f>
        <v/>
      </c>
      <c r="W537" s="3" t="str">
        <f>IF(AND(data[[#This Row],[status]]="OK",data[[#This Row],[approach]]="atgt"),data[[#This Row],[asm_path]],"")</f>
        <v/>
      </c>
      <c r="X537" s="3" t="b">
        <f>COUNTIF(W:W,data[[#This Row],[path_ok_status_evoavalla]]) = 1</f>
        <v>0</v>
      </c>
    </row>
    <row r="538" spans="1:24" x14ac:dyDescent="0.25">
      <c r="A538" t="s">
        <v>1397</v>
      </c>
      <c r="B538" t="s">
        <v>1398</v>
      </c>
      <c r="C538" t="s">
        <v>717</v>
      </c>
      <c r="D538" t="s">
        <v>815</v>
      </c>
      <c r="E538" t="s">
        <v>816</v>
      </c>
      <c r="F538" t="s">
        <v>817</v>
      </c>
      <c r="G538" t="s">
        <v>818</v>
      </c>
      <c r="H538" t="s">
        <v>1545</v>
      </c>
      <c r="I538" t="s">
        <v>638</v>
      </c>
      <c r="J538" t="s">
        <v>632</v>
      </c>
      <c r="K538" s="2" t="s">
        <v>620</v>
      </c>
      <c r="L538" s="2" t="s">
        <v>620</v>
      </c>
      <c r="M538" s="2" t="s">
        <v>620</v>
      </c>
      <c r="N538" s="2" t="s">
        <v>620</v>
      </c>
      <c r="O538" t="s">
        <v>639</v>
      </c>
      <c r="P538" t="s">
        <v>639</v>
      </c>
      <c r="Q538" t="s">
        <v>639</v>
      </c>
      <c r="R538" t="s">
        <v>639</v>
      </c>
      <c r="S538" t="s">
        <v>639</v>
      </c>
      <c r="T538" t="s">
        <v>620</v>
      </c>
      <c r="U538" t="s">
        <v>620</v>
      </c>
      <c r="V538" s="3" t="str">
        <f>IF(AND(data[[#This Row],[status]]="OK",data[[#This Row],[approach]]="evoavalla"),data[[#This Row],[asm_path]],"")</f>
        <v/>
      </c>
      <c r="W538" s="3" t="str">
        <f>IF(AND(data[[#This Row],[status]]="OK",data[[#This Row],[approach]]="atgt"),data[[#This Row],[asm_path]],"")</f>
        <v/>
      </c>
      <c r="X538" s="3" t="b">
        <f>COUNTIF(W:W,data[[#This Row],[path_ok_status_evoavalla]]) = 1</f>
        <v>0</v>
      </c>
    </row>
    <row r="539" spans="1:24" x14ac:dyDescent="0.25">
      <c r="A539" t="s">
        <v>1399</v>
      </c>
      <c r="B539" t="s">
        <v>1400</v>
      </c>
      <c r="C539" t="s">
        <v>761</v>
      </c>
      <c r="D539" t="s">
        <v>750</v>
      </c>
      <c r="E539" t="s">
        <v>635</v>
      </c>
      <c r="F539" t="s">
        <v>745</v>
      </c>
      <c r="G539" t="s">
        <v>842</v>
      </c>
      <c r="H539" t="s">
        <v>1545</v>
      </c>
      <c r="I539" t="s">
        <v>638</v>
      </c>
      <c r="J539" t="s">
        <v>632</v>
      </c>
      <c r="K539" s="2" t="s">
        <v>620</v>
      </c>
      <c r="L539" s="2" t="s">
        <v>620</v>
      </c>
      <c r="M539" s="2" t="s">
        <v>620</v>
      </c>
      <c r="N539" s="2" t="s">
        <v>620</v>
      </c>
      <c r="O539" t="s">
        <v>639</v>
      </c>
      <c r="P539" t="s">
        <v>639</v>
      </c>
      <c r="Q539" t="s">
        <v>639</v>
      </c>
      <c r="R539" t="s">
        <v>639</v>
      </c>
      <c r="S539" t="s">
        <v>639</v>
      </c>
      <c r="T539" t="s">
        <v>620</v>
      </c>
      <c r="U539" t="s">
        <v>620</v>
      </c>
      <c r="V539" s="3" t="str">
        <f>IF(AND(data[[#This Row],[status]]="OK",data[[#This Row],[approach]]="evoavalla"),data[[#This Row],[asm_path]],"")</f>
        <v/>
      </c>
      <c r="W539" s="3" t="str">
        <f>IF(AND(data[[#This Row],[status]]="OK",data[[#This Row],[approach]]="atgt"),data[[#This Row],[asm_path]],"")</f>
        <v/>
      </c>
      <c r="X539" s="3" t="b">
        <f>COUNTIF(W:W,data[[#This Row],[path_ok_status_evoavalla]]) = 1</f>
        <v>0</v>
      </c>
    </row>
    <row r="540" spans="1:24" x14ac:dyDescent="0.25">
      <c r="A540" t="s">
        <v>1401</v>
      </c>
      <c r="B540" t="s">
        <v>1402</v>
      </c>
      <c r="C540" t="s">
        <v>682</v>
      </c>
      <c r="D540" t="s">
        <v>683</v>
      </c>
      <c r="E540" t="s">
        <v>636</v>
      </c>
      <c r="F540" t="s">
        <v>716</v>
      </c>
      <c r="G540" t="s">
        <v>745</v>
      </c>
      <c r="H540" t="s">
        <v>1545</v>
      </c>
      <c r="I540" t="s">
        <v>638</v>
      </c>
      <c r="J540" t="s">
        <v>632</v>
      </c>
      <c r="K540" s="2" t="s">
        <v>620</v>
      </c>
      <c r="L540" s="2" t="s">
        <v>620</v>
      </c>
      <c r="M540" s="2" t="s">
        <v>620</v>
      </c>
      <c r="N540" s="2" t="s">
        <v>620</v>
      </c>
      <c r="O540" t="s">
        <v>639</v>
      </c>
      <c r="P540" t="s">
        <v>639</v>
      </c>
      <c r="Q540" t="s">
        <v>639</v>
      </c>
      <c r="R540" t="s">
        <v>639</v>
      </c>
      <c r="S540" t="s">
        <v>639</v>
      </c>
      <c r="T540" t="s">
        <v>620</v>
      </c>
      <c r="U540" t="s">
        <v>620</v>
      </c>
      <c r="V540" s="3" t="str">
        <f>IF(AND(data[[#This Row],[status]]="OK",data[[#This Row],[approach]]="evoavalla"),data[[#This Row],[asm_path]],"")</f>
        <v/>
      </c>
      <c r="W540" s="3" t="str">
        <f>IF(AND(data[[#This Row],[status]]="OK",data[[#This Row],[approach]]="atgt"),data[[#This Row],[asm_path]],"")</f>
        <v/>
      </c>
      <c r="X540" s="3" t="b">
        <f>COUNTIF(W:W,data[[#This Row],[path_ok_status_evoavalla]]) = 1</f>
        <v>0</v>
      </c>
    </row>
    <row r="541" spans="1:24" x14ac:dyDescent="0.25">
      <c r="A541" t="s">
        <v>1403</v>
      </c>
      <c r="B541" t="s">
        <v>1404</v>
      </c>
      <c r="C541" t="s">
        <v>682</v>
      </c>
      <c r="D541" t="s">
        <v>635</v>
      </c>
      <c r="E541" t="s">
        <v>620</v>
      </c>
      <c r="F541" t="s">
        <v>636</v>
      </c>
      <c r="G541" t="s">
        <v>683</v>
      </c>
      <c r="H541" t="s">
        <v>1545</v>
      </c>
      <c r="I541" t="s">
        <v>638</v>
      </c>
      <c r="J541" t="s">
        <v>632</v>
      </c>
      <c r="K541" s="2" t="s">
        <v>620</v>
      </c>
      <c r="L541" s="2" t="s">
        <v>620</v>
      </c>
      <c r="M541" s="2" t="s">
        <v>620</v>
      </c>
      <c r="N541" s="2" t="s">
        <v>620</v>
      </c>
      <c r="O541" t="s">
        <v>639</v>
      </c>
      <c r="P541" t="s">
        <v>639</v>
      </c>
      <c r="Q541" t="s">
        <v>639</v>
      </c>
      <c r="R541" t="s">
        <v>639</v>
      </c>
      <c r="S541" t="s">
        <v>639</v>
      </c>
      <c r="T541" t="s">
        <v>620</v>
      </c>
      <c r="U541" t="s">
        <v>620</v>
      </c>
      <c r="V541" s="3" t="str">
        <f>IF(AND(data[[#This Row],[status]]="OK",data[[#This Row],[approach]]="evoavalla"),data[[#This Row],[asm_path]],"")</f>
        <v/>
      </c>
      <c r="W541" s="3" t="str">
        <f>IF(AND(data[[#This Row],[status]]="OK",data[[#This Row],[approach]]="atgt"),data[[#This Row],[asm_path]],"")</f>
        <v/>
      </c>
      <c r="X541" s="3" t="b">
        <f>COUNTIF(W:W,data[[#This Row],[path_ok_status_evoavalla]]) = 1</f>
        <v>0</v>
      </c>
    </row>
    <row r="542" spans="1:24" x14ac:dyDescent="0.25">
      <c r="A542" t="s">
        <v>1405</v>
      </c>
      <c r="B542" t="s">
        <v>1406</v>
      </c>
      <c r="C542" t="s">
        <v>635</v>
      </c>
      <c r="D542" t="s">
        <v>664</v>
      </c>
      <c r="E542" t="s">
        <v>620</v>
      </c>
      <c r="F542" t="s">
        <v>620</v>
      </c>
      <c r="G542" t="s">
        <v>798</v>
      </c>
      <c r="H542" t="s">
        <v>1545</v>
      </c>
      <c r="I542" t="s">
        <v>638</v>
      </c>
      <c r="J542" t="s">
        <v>632</v>
      </c>
      <c r="K542" s="2" t="s">
        <v>620</v>
      </c>
      <c r="L542" s="2" t="s">
        <v>620</v>
      </c>
      <c r="M542" s="2" t="s">
        <v>620</v>
      </c>
      <c r="N542" s="2" t="s">
        <v>620</v>
      </c>
      <c r="O542" t="s">
        <v>639</v>
      </c>
      <c r="P542" t="s">
        <v>639</v>
      </c>
      <c r="Q542" t="s">
        <v>639</v>
      </c>
      <c r="R542" t="s">
        <v>639</v>
      </c>
      <c r="S542" t="s">
        <v>639</v>
      </c>
      <c r="T542" t="s">
        <v>620</v>
      </c>
      <c r="U542" t="s">
        <v>620</v>
      </c>
      <c r="V542" s="3" t="str">
        <f>IF(AND(data[[#This Row],[status]]="OK",data[[#This Row],[approach]]="evoavalla"),data[[#This Row],[asm_path]],"")</f>
        <v/>
      </c>
      <c r="W542" s="3" t="str">
        <f>IF(AND(data[[#This Row],[status]]="OK",data[[#This Row],[approach]]="atgt"),data[[#This Row],[asm_path]],"")</f>
        <v/>
      </c>
      <c r="X542" s="3" t="b">
        <f>COUNTIF(W:W,data[[#This Row],[path_ok_status_evoavalla]]) = 1</f>
        <v>0</v>
      </c>
    </row>
    <row r="543" spans="1:24" x14ac:dyDescent="0.25">
      <c r="A543" t="s">
        <v>1407</v>
      </c>
      <c r="B543" t="s">
        <v>1408</v>
      </c>
      <c r="C543" t="s">
        <v>636</v>
      </c>
      <c r="D543" t="s">
        <v>620</v>
      </c>
      <c r="E543" t="s">
        <v>620</v>
      </c>
      <c r="F543" t="s">
        <v>620</v>
      </c>
      <c r="G543" t="s">
        <v>636</v>
      </c>
      <c r="H543" t="s">
        <v>1545</v>
      </c>
      <c r="I543" t="s">
        <v>638</v>
      </c>
      <c r="J543" t="s">
        <v>632</v>
      </c>
      <c r="K543" s="2" t="s">
        <v>620</v>
      </c>
      <c r="L543" s="2" t="s">
        <v>620</v>
      </c>
      <c r="M543" s="2" t="s">
        <v>620</v>
      </c>
      <c r="N543" s="2" t="s">
        <v>620</v>
      </c>
      <c r="O543" t="s">
        <v>639</v>
      </c>
      <c r="P543" t="s">
        <v>639</v>
      </c>
      <c r="Q543" t="s">
        <v>639</v>
      </c>
      <c r="R543" t="s">
        <v>639</v>
      </c>
      <c r="S543" t="s">
        <v>639</v>
      </c>
      <c r="T543" t="s">
        <v>620</v>
      </c>
      <c r="U543" t="s">
        <v>620</v>
      </c>
      <c r="V543" s="3" t="str">
        <f>IF(AND(data[[#This Row],[status]]="OK",data[[#This Row],[approach]]="evoavalla"),data[[#This Row],[asm_path]],"")</f>
        <v/>
      </c>
      <c r="W543" s="3" t="str">
        <f>IF(AND(data[[#This Row],[status]]="OK",data[[#This Row],[approach]]="atgt"),data[[#This Row],[asm_path]],"")</f>
        <v/>
      </c>
      <c r="X543" s="3" t="b">
        <f>COUNTIF(W:W,data[[#This Row],[path_ok_status_evoavalla]]) = 1</f>
        <v>0</v>
      </c>
    </row>
    <row r="544" spans="1:24" x14ac:dyDescent="0.25">
      <c r="A544" t="s">
        <v>1410</v>
      </c>
      <c r="B544" t="s">
        <v>1411</v>
      </c>
      <c r="C544" t="s">
        <v>710</v>
      </c>
      <c r="D544" t="s">
        <v>716</v>
      </c>
      <c r="E544" t="s">
        <v>636</v>
      </c>
      <c r="F544" t="s">
        <v>761</v>
      </c>
      <c r="G544" t="s">
        <v>622</v>
      </c>
      <c r="H544" t="s">
        <v>1545</v>
      </c>
      <c r="I544" t="s">
        <v>638</v>
      </c>
      <c r="J544" t="s">
        <v>632</v>
      </c>
      <c r="K544" s="2" t="s">
        <v>620</v>
      </c>
      <c r="L544" s="2" t="s">
        <v>620</v>
      </c>
      <c r="M544" s="2" t="s">
        <v>620</v>
      </c>
      <c r="N544" s="2" t="s">
        <v>620</v>
      </c>
      <c r="O544" t="s">
        <v>639</v>
      </c>
      <c r="P544" t="s">
        <v>639</v>
      </c>
      <c r="Q544" t="s">
        <v>639</v>
      </c>
      <c r="R544" t="s">
        <v>639</v>
      </c>
      <c r="S544" t="s">
        <v>639</v>
      </c>
      <c r="T544" t="s">
        <v>620</v>
      </c>
      <c r="U544" t="s">
        <v>620</v>
      </c>
      <c r="V544" s="3" t="str">
        <f>IF(AND(data[[#This Row],[status]]="OK",data[[#This Row],[approach]]="evoavalla"),data[[#This Row],[asm_path]],"")</f>
        <v/>
      </c>
      <c r="W544" s="3" t="str">
        <f>IF(AND(data[[#This Row],[status]]="OK",data[[#This Row],[approach]]="atgt"),data[[#This Row],[asm_path]],"")</f>
        <v/>
      </c>
      <c r="X544" s="3" t="b">
        <f>COUNTIF(W:W,data[[#This Row],[path_ok_status_evoavalla]]) = 1</f>
        <v>0</v>
      </c>
    </row>
    <row r="545" spans="1:24" x14ac:dyDescent="0.25">
      <c r="A545" t="s">
        <v>1412</v>
      </c>
      <c r="B545" t="s">
        <v>1413</v>
      </c>
      <c r="C545" t="s">
        <v>626</v>
      </c>
      <c r="D545" t="s">
        <v>1250</v>
      </c>
      <c r="E545" t="s">
        <v>620</v>
      </c>
      <c r="F545" t="s">
        <v>619</v>
      </c>
      <c r="G545" t="s">
        <v>1414</v>
      </c>
      <c r="H545" t="s">
        <v>1545</v>
      </c>
      <c r="I545" t="s">
        <v>638</v>
      </c>
      <c r="J545" t="s">
        <v>632</v>
      </c>
      <c r="K545" s="2" t="s">
        <v>620</v>
      </c>
      <c r="L545" s="2" t="s">
        <v>620</v>
      </c>
      <c r="M545" s="2" t="s">
        <v>620</v>
      </c>
      <c r="N545" s="2" t="s">
        <v>620</v>
      </c>
      <c r="O545" t="s">
        <v>639</v>
      </c>
      <c r="P545" t="s">
        <v>639</v>
      </c>
      <c r="Q545" t="s">
        <v>639</v>
      </c>
      <c r="R545" t="s">
        <v>639</v>
      </c>
      <c r="S545" t="s">
        <v>639</v>
      </c>
      <c r="T545" t="s">
        <v>620</v>
      </c>
      <c r="U545" t="s">
        <v>620</v>
      </c>
      <c r="V545" s="3" t="str">
        <f>IF(AND(data[[#This Row],[status]]="OK",data[[#This Row],[approach]]="evoavalla"),data[[#This Row],[asm_path]],"")</f>
        <v/>
      </c>
      <c r="W545" s="3" t="str">
        <f>IF(AND(data[[#This Row],[status]]="OK",data[[#This Row],[approach]]="atgt"),data[[#This Row],[asm_path]],"")</f>
        <v/>
      </c>
      <c r="X545" s="3" t="b">
        <f>COUNTIF(W:W,data[[#This Row],[path_ok_status_evoavalla]]) = 1</f>
        <v>0</v>
      </c>
    </row>
    <row r="546" spans="1:24" x14ac:dyDescent="0.25">
      <c r="A546" t="s">
        <v>1416</v>
      </c>
      <c r="B546" t="s">
        <v>1417</v>
      </c>
      <c r="C546" t="s">
        <v>683</v>
      </c>
      <c r="D546" t="s">
        <v>677</v>
      </c>
      <c r="E546" t="s">
        <v>636</v>
      </c>
      <c r="F546" t="s">
        <v>745</v>
      </c>
      <c r="G546" t="s">
        <v>837</v>
      </c>
      <c r="H546" t="s">
        <v>1545</v>
      </c>
      <c r="I546" t="s">
        <v>638</v>
      </c>
      <c r="J546" t="s">
        <v>632</v>
      </c>
      <c r="K546" s="2" t="s">
        <v>620</v>
      </c>
      <c r="L546" s="2" t="s">
        <v>620</v>
      </c>
      <c r="M546" s="2" t="s">
        <v>620</v>
      </c>
      <c r="N546" s="2" t="s">
        <v>620</v>
      </c>
      <c r="O546" t="s">
        <v>639</v>
      </c>
      <c r="P546" t="s">
        <v>639</v>
      </c>
      <c r="Q546" t="s">
        <v>639</v>
      </c>
      <c r="R546" t="s">
        <v>639</v>
      </c>
      <c r="S546" t="s">
        <v>639</v>
      </c>
      <c r="T546" t="s">
        <v>620</v>
      </c>
      <c r="U546" t="s">
        <v>620</v>
      </c>
      <c r="V546" s="3" t="str">
        <f>IF(AND(data[[#This Row],[status]]="OK",data[[#This Row],[approach]]="evoavalla"),data[[#This Row],[asm_path]],"")</f>
        <v/>
      </c>
      <c r="W546" s="3" t="str">
        <f>IF(AND(data[[#This Row],[status]]="OK",data[[#This Row],[approach]]="atgt"),data[[#This Row],[asm_path]],"")</f>
        <v/>
      </c>
      <c r="X546" s="3" t="b">
        <f>COUNTIF(W:W,data[[#This Row],[path_ok_status_evoavalla]]) = 1</f>
        <v>0</v>
      </c>
    </row>
    <row r="547" spans="1:24" x14ac:dyDescent="0.25">
      <c r="A547" t="s">
        <v>1418</v>
      </c>
      <c r="B547" t="s">
        <v>1419</v>
      </c>
      <c r="C547" t="s">
        <v>618</v>
      </c>
      <c r="D547" t="s">
        <v>745</v>
      </c>
      <c r="E547" t="s">
        <v>620</v>
      </c>
      <c r="F547" t="s">
        <v>761</v>
      </c>
      <c r="G547" t="s">
        <v>831</v>
      </c>
      <c r="H547" t="s">
        <v>1545</v>
      </c>
      <c r="I547" t="s">
        <v>624</v>
      </c>
      <c r="J547" t="s">
        <v>1629</v>
      </c>
      <c r="K547" s="2" t="s">
        <v>635</v>
      </c>
      <c r="L547" s="2" t="s">
        <v>683</v>
      </c>
      <c r="M547" s="2" t="s">
        <v>683</v>
      </c>
      <c r="N547" s="2" t="s">
        <v>966</v>
      </c>
      <c r="O547" t="s">
        <v>630</v>
      </c>
      <c r="P547" t="s">
        <v>1630</v>
      </c>
      <c r="Q547" t="s">
        <v>632</v>
      </c>
      <c r="R547" t="s">
        <v>1556</v>
      </c>
      <c r="S547" t="s">
        <v>1557</v>
      </c>
      <c r="T547" t="s">
        <v>664</v>
      </c>
      <c r="U547" t="s">
        <v>620</v>
      </c>
      <c r="V547" s="3" t="str">
        <f>IF(AND(data[[#This Row],[status]]="OK",data[[#This Row],[approach]]="evoavalla"),data[[#This Row],[asm_path]],"")</f>
        <v/>
      </c>
      <c r="W547" s="3" t="str">
        <f>IF(AND(data[[#This Row],[status]]="OK",data[[#This Row],[approach]]="atgt"),data[[#This Row],[asm_path]],"")</f>
        <v>../../../asm_examples/stereoacuity/certifierRaff5.asm</v>
      </c>
      <c r="X547" s="3" t="b">
        <f>COUNTIF(W:W,data[[#This Row],[path_ok_status_evoavalla]]) = 1</f>
        <v>0</v>
      </c>
    </row>
    <row r="548" spans="1:24" x14ac:dyDescent="0.25">
      <c r="A548" t="s">
        <v>1421</v>
      </c>
      <c r="B548" t="s">
        <v>1422</v>
      </c>
      <c r="C548" t="s">
        <v>636</v>
      </c>
      <c r="D548" t="s">
        <v>628</v>
      </c>
      <c r="E548" t="s">
        <v>620</v>
      </c>
      <c r="F548" t="s">
        <v>636</v>
      </c>
      <c r="G548" t="s">
        <v>621</v>
      </c>
      <c r="H548" t="s">
        <v>1545</v>
      </c>
      <c r="I548" t="s">
        <v>638</v>
      </c>
      <c r="J548" t="s">
        <v>632</v>
      </c>
      <c r="K548" s="2" t="s">
        <v>620</v>
      </c>
      <c r="L548" s="2" t="s">
        <v>620</v>
      </c>
      <c r="M548" s="2" t="s">
        <v>620</v>
      </c>
      <c r="N548" s="2" t="s">
        <v>620</v>
      </c>
      <c r="O548" t="s">
        <v>639</v>
      </c>
      <c r="P548" t="s">
        <v>639</v>
      </c>
      <c r="Q548" t="s">
        <v>639</v>
      </c>
      <c r="R548" t="s">
        <v>639</v>
      </c>
      <c r="S548" t="s">
        <v>639</v>
      </c>
      <c r="T548" t="s">
        <v>620</v>
      </c>
      <c r="U548" t="s">
        <v>620</v>
      </c>
      <c r="V548" s="3" t="str">
        <f>IF(AND(data[[#This Row],[status]]="OK",data[[#This Row],[approach]]="evoavalla"),data[[#This Row],[asm_path]],"")</f>
        <v/>
      </c>
      <c r="W548" s="3" t="str">
        <f>IF(AND(data[[#This Row],[status]]="OK",data[[#This Row],[approach]]="atgt"),data[[#This Row],[asm_path]],"")</f>
        <v/>
      </c>
      <c r="X548" s="3" t="b">
        <f>COUNTIF(W:W,data[[#This Row],[path_ok_status_evoavalla]]) = 1</f>
        <v>0</v>
      </c>
    </row>
    <row r="549" spans="1:24" x14ac:dyDescent="0.25">
      <c r="A549" t="s">
        <v>1423</v>
      </c>
      <c r="B549" t="s">
        <v>1424</v>
      </c>
      <c r="C549" t="s">
        <v>664</v>
      </c>
      <c r="D549" t="s">
        <v>980</v>
      </c>
      <c r="E549" t="s">
        <v>620</v>
      </c>
      <c r="F549" t="s">
        <v>637</v>
      </c>
      <c r="G549" t="s">
        <v>837</v>
      </c>
      <c r="H549" t="s">
        <v>1545</v>
      </c>
      <c r="I549" t="s">
        <v>638</v>
      </c>
      <c r="J549" t="s">
        <v>632</v>
      </c>
      <c r="K549" s="2" t="s">
        <v>620</v>
      </c>
      <c r="L549" s="2" t="s">
        <v>620</v>
      </c>
      <c r="M549" s="2" t="s">
        <v>620</v>
      </c>
      <c r="N549" s="2" t="s">
        <v>620</v>
      </c>
      <c r="O549" t="s">
        <v>639</v>
      </c>
      <c r="P549" t="s">
        <v>639</v>
      </c>
      <c r="Q549" t="s">
        <v>639</v>
      </c>
      <c r="R549" t="s">
        <v>639</v>
      </c>
      <c r="S549" t="s">
        <v>639</v>
      </c>
      <c r="T549" t="s">
        <v>620</v>
      </c>
      <c r="U549" t="s">
        <v>620</v>
      </c>
      <c r="V549" s="3" t="str">
        <f>IF(AND(data[[#This Row],[status]]="OK",data[[#This Row],[approach]]="evoavalla"),data[[#This Row],[asm_path]],"")</f>
        <v/>
      </c>
      <c r="W549" s="3" t="str">
        <f>IF(AND(data[[#This Row],[status]]="OK",data[[#This Row],[approach]]="atgt"),data[[#This Row],[asm_path]],"")</f>
        <v/>
      </c>
      <c r="X549" s="3" t="b">
        <f>COUNTIF(W:W,data[[#This Row],[path_ok_status_evoavalla]]) = 1</f>
        <v>0</v>
      </c>
    </row>
    <row r="550" spans="1:24" x14ac:dyDescent="0.25">
      <c r="A550" t="s">
        <v>1430</v>
      </c>
      <c r="B550" t="s">
        <v>1431</v>
      </c>
      <c r="C550" t="s">
        <v>682</v>
      </c>
      <c r="D550" t="s">
        <v>664</v>
      </c>
      <c r="E550" t="s">
        <v>636</v>
      </c>
      <c r="F550" t="s">
        <v>682</v>
      </c>
      <c r="G550" t="s">
        <v>621</v>
      </c>
      <c r="H550" t="s">
        <v>1545</v>
      </c>
      <c r="I550" t="s">
        <v>638</v>
      </c>
      <c r="J550" t="s">
        <v>632</v>
      </c>
      <c r="K550" s="2" t="s">
        <v>620</v>
      </c>
      <c r="L550" s="2" t="s">
        <v>620</v>
      </c>
      <c r="M550" s="2" t="s">
        <v>620</v>
      </c>
      <c r="N550" s="2" t="s">
        <v>620</v>
      </c>
      <c r="O550" t="s">
        <v>639</v>
      </c>
      <c r="P550" t="s">
        <v>639</v>
      </c>
      <c r="Q550" t="s">
        <v>639</v>
      </c>
      <c r="R550" t="s">
        <v>639</v>
      </c>
      <c r="S550" t="s">
        <v>639</v>
      </c>
      <c r="T550" t="s">
        <v>620</v>
      </c>
      <c r="U550" t="s">
        <v>620</v>
      </c>
      <c r="V550" s="3" t="str">
        <f>IF(AND(data[[#This Row],[status]]="OK",data[[#This Row],[approach]]="evoavalla"),data[[#This Row],[asm_path]],"")</f>
        <v/>
      </c>
      <c r="W550" s="3" t="str">
        <f>IF(AND(data[[#This Row],[status]]="OK",data[[#This Row],[approach]]="atgt"),data[[#This Row],[asm_path]],"")</f>
        <v/>
      </c>
      <c r="X550" s="3" t="b">
        <f>COUNTIF(W:W,data[[#This Row],[path_ok_status_evoavalla]]) = 1</f>
        <v>0</v>
      </c>
    </row>
    <row r="551" spans="1:24" x14ac:dyDescent="0.25">
      <c r="A551" t="s">
        <v>1432</v>
      </c>
      <c r="B551" t="s">
        <v>1433</v>
      </c>
      <c r="C551" t="s">
        <v>635</v>
      </c>
      <c r="D551" t="s">
        <v>626</v>
      </c>
      <c r="E551" t="s">
        <v>620</v>
      </c>
      <c r="F551" t="s">
        <v>628</v>
      </c>
      <c r="G551" t="s">
        <v>618</v>
      </c>
      <c r="H551" t="s">
        <v>1545</v>
      </c>
      <c r="I551" t="s">
        <v>624</v>
      </c>
      <c r="J551" t="s">
        <v>1626</v>
      </c>
      <c r="K551" s="2" t="s">
        <v>664</v>
      </c>
      <c r="L551" s="2" t="s">
        <v>710</v>
      </c>
      <c r="M551" s="2" t="s">
        <v>627</v>
      </c>
      <c r="N551" s="2" t="s">
        <v>620</v>
      </c>
      <c r="O551" t="s">
        <v>630</v>
      </c>
      <c r="P551" t="s">
        <v>630</v>
      </c>
      <c r="Q551" t="s">
        <v>632</v>
      </c>
      <c r="R551" t="s">
        <v>630</v>
      </c>
      <c r="S551" t="s">
        <v>630</v>
      </c>
      <c r="T551" t="s">
        <v>620</v>
      </c>
      <c r="U551" t="s">
        <v>620</v>
      </c>
      <c r="V551" s="3" t="str">
        <f>IF(AND(data[[#This Row],[status]]="OK",data[[#This Row],[approach]]="evoavalla"),data[[#This Row],[asm_path]],"")</f>
        <v/>
      </c>
      <c r="W551" s="3" t="str">
        <f>IF(AND(data[[#This Row],[status]]="OK",data[[#This Row],[approach]]="atgt"),data[[#This Row],[asm_path]],"")</f>
        <v>../../../asm_examples/examples/trafficLightCoSim/trafficlightA.asm</v>
      </c>
      <c r="X551" s="3" t="b">
        <f>COUNTIF(W:W,data[[#This Row],[path_ok_status_evoavalla]]) = 1</f>
        <v>0</v>
      </c>
    </row>
    <row r="552" spans="1:24" x14ac:dyDescent="0.25">
      <c r="A552" t="s">
        <v>1434</v>
      </c>
      <c r="B552" t="s">
        <v>1435</v>
      </c>
      <c r="C552" t="s">
        <v>716</v>
      </c>
      <c r="D552" t="s">
        <v>627</v>
      </c>
      <c r="E552" t="s">
        <v>636</v>
      </c>
      <c r="F552" t="s">
        <v>716</v>
      </c>
      <c r="G552" t="s">
        <v>918</v>
      </c>
      <c r="H552" t="s">
        <v>1545</v>
      </c>
      <c r="I552" t="s">
        <v>638</v>
      </c>
      <c r="J552" t="s">
        <v>632</v>
      </c>
      <c r="K552" s="2" t="s">
        <v>620</v>
      </c>
      <c r="L552" s="2" t="s">
        <v>620</v>
      </c>
      <c r="M552" s="2" t="s">
        <v>620</v>
      </c>
      <c r="N552" s="2" t="s">
        <v>620</v>
      </c>
      <c r="O552" t="s">
        <v>639</v>
      </c>
      <c r="P552" t="s">
        <v>639</v>
      </c>
      <c r="Q552" t="s">
        <v>639</v>
      </c>
      <c r="R552" t="s">
        <v>639</v>
      </c>
      <c r="S552" t="s">
        <v>639</v>
      </c>
      <c r="T552" t="s">
        <v>620</v>
      </c>
      <c r="U552" t="s">
        <v>620</v>
      </c>
      <c r="V552" s="3" t="str">
        <f>IF(AND(data[[#This Row],[status]]="OK",data[[#This Row],[approach]]="evoavalla"),data[[#This Row],[asm_path]],"")</f>
        <v/>
      </c>
      <c r="W552" s="3" t="str">
        <f>IF(AND(data[[#This Row],[status]]="OK",data[[#This Row],[approach]]="atgt"),data[[#This Row],[asm_path]],"")</f>
        <v/>
      </c>
      <c r="X552" s="3" t="b">
        <f>COUNTIF(W:W,data[[#This Row],[path_ok_status_evoavalla]]) = 1</f>
        <v>0</v>
      </c>
    </row>
    <row r="553" spans="1:24" x14ac:dyDescent="0.25">
      <c r="A553" t="s">
        <v>1436</v>
      </c>
      <c r="B553" t="s">
        <v>1437</v>
      </c>
      <c r="C553" t="s">
        <v>635</v>
      </c>
      <c r="D553" t="s">
        <v>628</v>
      </c>
      <c r="E553" t="s">
        <v>620</v>
      </c>
      <c r="F553" t="s">
        <v>682</v>
      </c>
      <c r="G553" t="s">
        <v>710</v>
      </c>
      <c r="H553" t="s">
        <v>1545</v>
      </c>
      <c r="I553" t="s">
        <v>638</v>
      </c>
      <c r="J553" t="s">
        <v>632</v>
      </c>
      <c r="K553" s="2" t="s">
        <v>620</v>
      </c>
      <c r="L553" s="2" t="s">
        <v>620</v>
      </c>
      <c r="M553" s="2" t="s">
        <v>620</v>
      </c>
      <c r="N553" s="2" t="s">
        <v>620</v>
      </c>
      <c r="O553" t="s">
        <v>639</v>
      </c>
      <c r="P553" t="s">
        <v>639</v>
      </c>
      <c r="Q553" t="s">
        <v>639</v>
      </c>
      <c r="R553" t="s">
        <v>639</v>
      </c>
      <c r="S553" t="s">
        <v>639</v>
      </c>
      <c r="T553" t="s">
        <v>620</v>
      </c>
      <c r="U553" t="s">
        <v>620</v>
      </c>
      <c r="V553" s="3" t="str">
        <f>IF(AND(data[[#This Row],[status]]="OK",data[[#This Row],[approach]]="evoavalla"),data[[#This Row],[asm_path]],"")</f>
        <v/>
      </c>
      <c r="W553" s="3" t="str">
        <f>IF(AND(data[[#This Row],[status]]="OK",data[[#This Row],[approach]]="atgt"),data[[#This Row],[asm_path]],"")</f>
        <v/>
      </c>
      <c r="X553" s="3" t="b">
        <f>COUNTIF(W:W,data[[#This Row],[path_ok_status_evoavalla]]) = 1</f>
        <v>0</v>
      </c>
    </row>
    <row r="554" spans="1:24" x14ac:dyDescent="0.25">
      <c r="A554" t="s">
        <v>1439</v>
      </c>
      <c r="B554" t="s">
        <v>1440</v>
      </c>
      <c r="C554" t="s">
        <v>675</v>
      </c>
      <c r="D554" t="s">
        <v>808</v>
      </c>
      <c r="E554" t="s">
        <v>620</v>
      </c>
      <c r="F554" t="s">
        <v>816</v>
      </c>
      <c r="G554" t="s">
        <v>1084</v>
      </c>
      <c r="H554" t="s">
        <v>1545</v>
      </c>
      <c r="I554" t="s">
        <v>638</v>
      </c>
      <c r="J554" t="s">
        <v>632</v>
      </c>
      <c r="K554" s="2" t="s">
        <v>620</v>
      </c>
      <c r="L554" s="2" t="s">
        <v>620</v>
      </c>
      <c r="M554" s="2" t="s">
        <v>620</v>
      </c>
      <c r="N554" s="2" t="s">
        <v>620</v>
      </c>
      <c r="O554" t="s">
        <v>639</v>
      </c>
      <c r="P554" t="s">
        <v>639</v>
      </c>
      <c r="Q554" t="s">
        <v>639</v>
      </c>
      <c r="R554" t="s">
        <v>639</v>
      </c>
      <c r="S554" t="s">
        <v>639</v>
      </c>
      <c r="T554" t="s">
        <v>620</v>
      </c>
      <c r="U554" t="s">
        <v>620</v>
      </c>
      <c r="V554" s="3" t="str">
        <f>IF(AND(data[[#This Row],[status]]="OK",data[[#This Row],[approach]]="evoavalla"),data[[#This Row],[asm_path]],"")</f>
        <v/>
      </c>
      <c r="W554" s="3" t="str">
        <f>IF(AND(data[[#This Row],[status]]="OK",data[[#This Row],[approach]]="atgt"),data[[#This Row],[asm_path]],"")</f>
        <v/>
      </c>
      <c r="X554" s="3" t="b">
        <f>COUNTIF(W:W,data[[#This Row],[path_ok_status_evoavalla]]) = 1</f>
        <v>0</v>
      </c>
    </row>
    <row r="555" spans="1:24" x14ac:dyDescent="0.25">
      <c r="A555" t="s">
        <v>1441</v>
      </c>
      <c r="B555" t="s">
        <v>1442</v>
      </c>
      <c r="C555" t="s">
        <v>626</v>
      </c>
      <c r="D555" t="s">
        <v>635</v>
      </c>
      <c r="E555" t="s">
        <v>620</v>
      </c>
      <c r="F555" t="s">
        <v>682</v>
      </c>
      <c r="G555" t="s">
        <v>761</v>
      </c>
      <c r="H555" t="s">
        <v>1545</v>
      </c>
      <c r="I555" t="s">
        <v>624</v>
      </c>
      <c r="J555" t="s">
        <v>1631</v>
      </c>
      <c r="K555" s="2" t="s">
        <v>635</v>
      </c>
      <c r="L555" s="2" t="s">
        <v>626</v>
      </c>
      <c r="M555" s="2" t="s">
        <v>620</v>
      </c>
      <c r="N555" s="2" t="s">
        <v>626</v>
      </c>
      <c r="O555" t="s">
        <v>630</v>
      </c>
      <c r="P555" t="s">
        <v>630</v>
      </c>
      <c r="Q555" t="s">
        <v>632</v>
      </c>
      <c r="R555" t="s">
        <v>630</v>
      </c>
      <c r="S555" t="s">
        <v>630</v>
      </c>
      <c r="T555" t="s">
        <v>620</v>
      </c>
      <c r="U555" t="s">
        <v>620</v>
      </c>
      <c r="V555" s="3" t="str">
        <f>IF(AND(data[[#This Row],[status]]="OK",data[[#This Row],[approach]]="evoavalla"),data[[#This Row],[asm_path]],"")</f>
        <v/>
      </c>
      <c r="W555" s="3" t="str">
        <f>IF(AND(data[[#This Row],[status]]="OK",data[[#This Row],[approach]]="atgt"),data[[#This Row],[asm_path]],"")</f>
        <v>../../../asm_examples/examples/hemodialysisDevice/ABZ2016/Hemodialysis_GM.asm</v>
      </c>
      <c r="X555" s="3" t="b">
        <f>COUNTIF(W:W,data[[#This Row],[path_ok_status_evoavalla]]) = 1</f>
        <v>0</v>
      </c>
    </row>
    <row r="556" spans="1:24" x14ac:dyDescent="0.25">
      <c r="A556" t="s">
        <v>1444</v>
      </c>
      <c r="B556" t="s">
        <v>1445</v>
      </c>
      <c r="C556" t="s">
        <v>636</v>
      </c>
      <c r="D556" t="s">
        <v>620</v>
      </c>
      <c r="E556" t="s">
        <v>620</v>
      </c>
      <c r="F556" t="s">
        <v>620</v>
      </c>
      <c r="G556" t="s">
        <v>636</v>
      </c>
      <c r="H556" t="s">
        <v>1545</v>
      </c>
      <c r="I556" t="s">
        <v>638</v>
      </c>
      <c r="J556" t="s">
        <v>896</v>
      </c>
      <c r="K556" s="2" t="s">
        <v>620</v>
      </c>
      <c r="L556" s="2" t="s">
        <v>620</v>
      </c>
      <c r="M556" s="2" t="s">
        <v>620</v>
      </c>
      <c r="N556" s="2" t="s">
        <v>620</v>
      </c>
      <c r="O556" t="s">
        <v>639</v>
      </c>
      <c r="P556" t="s">
        <v>639</v>
      </c>
      <c r="Q556" t="s">
        <v>639</v>
      </c>
      <c r="R556" t="s">
        <v>639</v>
      </c>
      <c r="S556" t="s">
        <v>639</v>
      </c>
      <c r="T556" t="s">
        <v>620</v>
      </c>
      <c r="U556" t="s">
        <v>620</v>
      </c>
      <c r="V556" s="3" t="str">
        <f>IF(AND(data[[#This Row],[status]]="OK",data[[#This Row],[approach]]="evoavalla"),data[[#This Row],[asm_path]],"")</f>
        <v/>
      </c>
      <c r="W556" s="3" t="str">
        <f>IF(AND(data[[#This Row],[status]]="OK",data[[#This Row],[approach]]="atgt"),data[[#This Row],[asm_path]],"")</f>
        <v/>
      </c>
      <c r="X556" s="3" t="b">
        <f>COUNTIF(W:W,data[[#This Row],[path_ok_status_evoavalla]]) = 1</f>
        <v>0</v>
      </c>
    </row>
    <row r="557" spans="1:24" x14ac:dyDescent="0.25">
      <c r="A557" t="s">
        <v>1447</v>
      </c>
      <c r="B557" t="s">
        <v>1448</v>
      </c>
      <c r="C557" t="s">
        <v>635</v>
      </c>
      <c r="D557" t="s">
        <v>635</v>
      </c>
      <c r="E557" t="s">
        <v>636</v>
      </c>
      <c r="F557" t="s">
        <v>626</v>
      </c>
      <c r="G557" t="s">
        <v>637</v>
      </c>
      <c r="H557" t="s">
        <v>1545</v>
      </c>
      <c r="I557" t="s">
        <v>638</v>
      </c>
      <c r="J557" t="s">
        <v>632</v>
      </c>
      <c r="K557" s="2" t="s">
        <v>620</v>
      </c>
      <c r="L557" s="2" t="s">
        <v>620</v>
      </c>
      <c r="M557" s="2" t="s">
        <v>620</v>
      </c>
      <c r="N557" s="2" t="s">
        <v>620</v>
      </c>
      <c r="O557" t="s">
        <v>639</v>
      </c>
      <c r="P557" t="s">
        <v>639</v>
      </c>
      <c r="Q557" t="s">
        <v>639</v>
      </c>
      <c r="R557" t="s">
        <v>639</v>
      </c>
      <c r="S557" t="s">
        <v>639</v>
      </c>
      <c r="T557" t="s">
        <v>620</v>
      </c>
      <c r="U557" t="s">
        <v>620</v>
      </c>
      <c r="V557" s="3" t="str">
        <f>IF(AND(data[[#This Row],[status]]="OK",data[[#This Row],[approach]]="evoavalla"),data[[#This Row],[asm_path]],"")</f>
        <v/>
      </c>
      <c r="W557" s="3" t="str">
        <f>IF(AND(data[[#This Row],[status]]="OK",data[[#This Row],[approach]]="atgt"),data[[#This Row],[asm_path]],"")</f>
        <v/>
      </c>
      <c r="X557" s="3" t="b">
        <f>COUNTIF(W:W,data[[#This Row],[path_ok_status_evoavalla]]) = 1</f>
        <v>0</v>
      </c>
    </row>
    <row r="558" spans="1:24" x14ac:dyDescent="0.25">
      <c r="A558" t="s">
        <v>1449</v>
      </c>
      <c r="B558" t="s">
        <v>1450</v>
      </c>
      <c r="C558" t="s">
        <v>636</v>
      </c>
      <c r="D558" t="s">
        <v>635</v>
      </c>
      <c r="E558" t="s">
        <v>620</v>
      </c>
      <c r="F558" t="s">
        <v>635</v>
      </c>
      <c r="G558" t="s">
        <v>664</v>
      </c>
      <c r="H558" t="s">
        <v>1545</v>
      </c>
      <c r="I558" t="s">
        <v>624</v>
      </c>
      <c r="J558" t="s">
        <v>1632</v>
      </c>
      <c r="K558" s="2" t="s">
        <v>636</v>
      </c>
      <c r="L558" s="2" t="s">
        <v>664</v>
      </c>
      <c r="M558" s="2" t="s">
        <v>683</v>
      </c>
      <c r="N558" s="2" t="s">
        <v>682</v>
      </c>
      <c r="O558" t="s">
        <v>630</v>
      </c>
      <c r="P558" t="s">
        <v>630</v>
      </c>
      <c r="Q558" t="s">
        <v>632</v>
      </c>
      <c r="R558" t="s">
        <v>630</v>
      </c>
      <c r="S558" t="s">
        <v>630</v>
      </c>
      <c r="T558" t="s">
        <v>620</v>
      </c>
      <c r="U558" t="s">
        <v>620</v>
      </c>
      <c r="V558" s="3" t="str">
        <f>IF(AND(data[[#This Row],[status]]="OK",data[[#This Row],[approach]]="evoavalla"),data[[#This Row],[asm_path]],"")</f>
        <v/>
      </c>
      <c r="W558" s="3" t="str">
        <f>IF(AND(data[[#This Row],[status]]="OK",data[[#This Row],[approach]]="atgt"),data[[#This Row],[asm_path]],"")</f>
        <v>../../../asm_examples/examples/parkingSimple.asm</v>
      </c>
      <c r="X558" s="3" t="b">
        <f>COUNTIF(W:W,data[[#This Row],[path_ok_status_evoavalla]]) = 1</f>
        <v>0</v>
      </c>
    </row>
    <row r="559" spans="1:24" x14ac:dyDescent="0.25">
      <c r="A559" t="s">
        <v>1452</v>
      </c>
      <c r="B559" t="s">
        <v>1448</v>
      </c>
      <c r="C559" t="s">
        <v>635</v>
      </c>
      <c r="D559" t="s">
        <v>635</v>
      </c>
      <c r="E559" t="s">
        <v>636</v>
      </c>
      <c r="F559" t="s">
        <v>626</v>
      </c>
      <c r="G559" t="s">
        <v>637</v>
      </c>
      <c r="H559" t="s">
        <v>1545</v>
      </c>
      <c r="I559" t="s">
        <v>638</v>
      </c>
      <c r="J559" t="s">
        <v>632</v>
      </c>
      <c r="K559" s="2" t="s">
        <v>620</v>
      </c>
      <c r="L559" s="2" t="s">
        <v>620</v>
      </c>
      <c r="M559" s="2" t="s">
        <v>620</v>
      </c>
      <c r="N559" s="2" t="s">
        <v>620</v>
      </c>
      <c r="O559" t="s">
        <v>639</v>
      </c>
      <c r="P559" t="s">
        <v>639</v>
      </c>
      <c r="Q559" t="s">
        <v>639</v>
      </c>
      <c r="R559" t="s">
        <v>639</v>
      </c>
      <c r="S559" t="s">
        <v>639</v>
      </c>
      <c r="T559" t="s">
        <v>620</v>
      </c>
      <c r="U559" t="s">
        <v>620</v>
      </c>
      <c r="V559" s="3" t="str">
        <f>IF(AND(data[[#This Row],[status]]="OK",data[[#This Row],[approach]]="evoavalla"),data[[#This Row],[asm_path]],"")</f>
        <v/>
      </c>
      <c r="W559" s="3" t="str">
        <f>IF(AND(data[[#This Row],[status]]="OK",data[[#This Row],[approach]]="atgt"),data[[#This Row],[asm_path]],"")</f>
        <v/>
      </c>
      <c r="X559" s="3" t="b">
        <f>COUNTIF(W:W,data[[#This Row],[path_ok_status_evoavalla]]) = 1</f>
        <v>0</v>
      </c>
    </row>
    <row r="560" spans="1:24" x14ac:dyDescent="0.25">
      <c r="A560" t="s">
        <v>1453</v>
      </c>
      <c r="B560" t="s">
        <v>1267</v>
      </c>
      <c r="C560" t="s">
        <v>635</v>
      </c>
      <c r="D560" t="s">
        <v>635</v>
      </c>
      <c r="E560" t="s">
        <v>636</v>
      </c>
      <c r="F560" t="s">
        <v>626</v>
      </c>
      <c r="G560" t="s">
        <v>761</v>
      </c>
      <c r="H560" t="s">
        <v>1545</v>
      </c>
      <c r="I560" t="s">
        <v>638</v>
      </c>
      <c r="J560" t="s">
        <v>632</v>
      </c>
      <c r="K560" s="2" t="s">
        <v>620</v>
      </c>
      <c r="L560" s="2" t="s">
        <v>620</v>
      </c>
      <c r="M560" s="2" t="s">
        <v>620</v>
      </c>
      <c r="N560" s="2" t="s">
        <v>620</v>
      </c>
      <c r="O560" t="s">
        <v>639</v>
      </c>
      <c r="P560" t="s">
        <v>639</v>
      </c>
      <c r="Q560" t="s">
        <v>639</v>
      </c>
      <c r="R560" t="s">
        <v>639</v>
      </c>
      <c r="S560" t="s">
        <v>639</v>
      </c>
      <c r="T560" t="s">
        <v>620</v>
      </c>
      <c r="U560" t="s">
        <v>620</v>
      </c>
      <c r="V560" s="3" t="str">
        <f>IF(AND(data[[#This Row],[status]]="OK",data[[#This Row],[approach]]="evoavalla"),data[[#This Row],[asm_path]],"")</f>
        <v/>
      </c>
      <c r="W560" s="3" t="str">
        <f>IF(AND(data[[#This Row],[status]]="OK",data[[#This Row],[approach]]="atgt"),data[[#This Row],[asm_path]],"")</f>
        <v/>
      </c>
      <c r="X560" s="3" t="b">
        <f>COUNTIF(W:W,data[[#This Row],[path_ok_status_evoavalla]]) = 1</f>
        <v>0</v>
      </c>
    </row>
    <row r="561" spans="1:24" x14ac:dyDescent="0.25">
      <c r="A561" t="s">
        <v>1454</v>
      </c>
      <c r="B561" t="s">
        <v>1455</v>
      </c>
      <c r="C561" t="s">
        <v>682</v>
      </c>
      <c r="D561" t="s">
        <v>635</v>
      </c>
      <c r="E561" t="s">
        <v>620</v>
      </c>
      <c r="F561" t="s">
        <v>664</v>
      </c>
      <c r="G561" t="s">
        <v>637</v>
      </c>
      <c r="H561" t="s">
        <v>1545</v>
      </c>
      <c r="I561" t="s">
        <v>624</v>
      </c>
      <c r="J561" t="s">
        <v>1633</v>
      </c>
      <c r="K561" s="2" t="s">
        <v>635</v>
      </c>
      <c r="L561" s="2" t="s">
        <v>683</v>
      </c>
      <c r="M561" s="2" t="s">
        <v>683</v>
      </c>
      <c r="N561" s="2" t="s">
        <v>626</v>
      </c>
      <c r="O561" t="s">
        <v>630</v>
      </c>
      <c r="P561" t="s">
        <v>630</v>
      </c>
      <c r="Q561" t="s">
        <v>632</v>
      </c>
      <c r="R561" t="s">
        <v>630</v>
      </c>
      <c r="S561" t="s">
        <v>630</v>
      </c>
      <c r="T561" t="s">
        <v>620</v>
      </c>
      <c r="U561" t="s">
        <v>620</v>
      </c>
      <c r="V561" s="3" t="str">
        <f>IF(AND(data[[#This Row],[status]]="OK",data[[#This Row],[approach]]="evoavalla"),data[[#This Row],[asm_path]],"")</f>
        <v/>
      </c>
      <c r="W561" s="3" t="str">
        <f>IF(AND(data[[#This Row],[status]]="OK",data[[#This Row],[approach]]="atgt"),data[[#This Row],[asm_path]],"")</f>
        <v>../../../asm_examples/unibgstudents/Prova.asm</v>
      </c>
      <c r="X561" s="3" t="b">
        <f>COUNTIF(W:W,data[[#This Row],[path_ok_status_evoavalla]]) = 1</f>
        <v>0</v>
      </c>
    </row>
    <row r="562" spans="1:24" x14ac:dyDescent="0.25">
      <c r="A562" t="s">
        <v>1456</v>
      </c>
      <c r="B562" t="s">
        <v>1457</v>
      </c>
      <c r="C562" t="s">
        <v>635</v>
      </c>
      <c r="D562" t="s">
        <v>635</v>
      </c>
      <c r="E562" t="s">
        <v>635</v>
      </c>
      <c r="F562" t="s">
        <v>682</v>
      </c>
      <c r="G562" t="s">
        <v>683</v>
      </c>
      <c r="H562" t="s">
        <v>1545</v>
      </c>
      <c r="I562" t="s">
        <v>638</v>
      </c>
      <c r="J562" t="s">
        <v>632</v>
      </c>
      <c r="K562" s="2" t="s">
        <v>620</v>
      </c>
      <c r="L562" s="2" t="s">
        <v>620</v>
      </c>
      <c r="M562" s="2" t="s">
        <v>620</v>
      </c>
      <c r="N562" s="2" t="s">
        <v>620</v>
      </c>
      <c r="O562" t="s">
        <v>639</v>
      </c>
      <c r="P562" t="s">
        <v>639</v>
      </c>
      <c r="Q562" t="s">
        <v>639</v>
      </c>
      <c r="R562" t="s">
        <v>639</v>
      </c>
      <c r="S562" t="s">
        <v>639</v>
      </c>
      <c r="T562" t="s">
        <v>620</v>
      </c>
      <c r="U562" t="s">
        <v>620</v>
      </c>
      <c r="V562" s="3" t="str">
        <f>IF(AND(data[[#This Row],[status]]="OK",data[[#This Row],[approach]]="evoavalla"),data[[#This Row],[asm_path]],"")</f>
        <v/>
      </c>
      <c r="W562" s="3" t="str">
        <f>IF(AND(data[[#This Row],[status]]="OK",data[[#This Row],[approach]]="atgt"),data[[#This Row],[asm_path]],"")</f>
        <v/>
      </c>
      <c r="X562" s="3" t="b">
        <f>COUNTIF(W:W,data[[#This Row],[path_ok_status_evoavalla]]) = 1</f>
        <v>0</v>
      </c>
    </row>
    <row r="563" spans="1:24" x14ac:dyDescent="0.25">
      <c r="A563" t="s">
        <v>1458</v>
      </c>
      <c r="B563" t="s">
        <v>1459</v>
      </c>
      <c r="C563" t="s">
        <v>636</v>
      </c>
      <c r="D563" t="s">
        <v>664</v>
      </c>
      <c r="E563" t="s">
        <v>620</v>
      </c>
      <c r="F563" t="s">
        <v>635</v>
      </c>
      <c r="G563" t="s">
        <v>683</v>
      </c>
      <c r="H563" t="s">
        <v>1545</v>
      </c>
      <c r="I563" t="s">
        <v>638</v>
      </c>
      <c r="J563" t="s">
        <v>1605</v>
      </c>
      <c r="K563" s="2" t="s">
        <v>620</v>
      </c>
      <c r="L563" s="2" t="s">
        <v>620</v>
      </c>
      <c r="M563" s="2" t="s">
        <v>620</v>
      </c>
      <c r="N563" s="2" t="s">
        <v>620</v>
      </c>
      <c r="O563" t="s">
        <v>639</v>
      </c>
      <c r="P563" t="s">
        <v>639</v>
      </c>
      <c r="Q563" t="s">
        <v>639</v>
      </c>
      <c r="R563" t="s">
        <v>639</v>
      </c>
      <c r="S563" t="s">
        <v>639</v>
      </c>
      <c r="T563" t="s">
        <v>636</v>
      </c>
      <c r="U563" t="s">
        <v>620</v>
      </c>
      <c r="V563" s="3" t="str">
        <f>IF(AND(data[[#This Row],[status]]="OK",data[[#This Row],[approach]]="evoavalla"),data[[#This Row],[asm_path]],"")</f>
        <v/>
      </c>
      <c r="W563" s="3" t="str">
        <f>IF(AND(data[[#This Row],[status]]="OK",data[[#This Row],[approach]]="atgt"),data[[#This Row],[asm_path]],"")</f>
        <v/>
      </c>
      <c r="X563" s="3" t="b">
        <f>COUNTIF(W:W,data[[#This Row],[path_ok_status_evoavalla]]) = 1</f>
        <v>0</v>
      </c>
    </row>
    <row r="564" spans="1:24" x14ac:dyDescent="0.25">
      <c r="A564" t="s">
        <v>1461</v>
      </c>
      <c r="B564" t="s">
        <v>1462</v>
      </c>
      <c r="C564" t="s">
        <v>635</v>
      </c>
      <c r="D564" t="s">
        <v>682</v>
      </c>
      <c r="E564" t="s">
        <v>620</v>
      </c>
      <c r="F564" t="s">
        <v>635</v>
      </c>
      <c r="G564" t="s">
        <v>716</v>
      </c>
      <c r="H564" t="s">
        <v>1545</v>
      </c>
      <c r="I564" t="s">
        <v>624</v>
      </c>
      <c r="J564" t="s">
        <v>1634</v>
      </c>
      <c r="K564" s="2" t="s">
        <v>635</v>
      </c>
      <c r="L564" s="2" t="s">
        <v>1635</v>
      </c>
      <c r="M564" s="2" t="s">
        <v>620</v>
      </c>
      <c r="N564" s="2" t="s">
        <v>1636</v>
      </c>
      <c r="O564" t="s">
        <v>630</v>
      </c>
      <c r="P564" t="s">
        <v>630</v>
      </c>
      <c r="Q564" t="s">
        <v>632</v>
      </c>
      <c r="R564" t="s">
        <v>630</v>
      </c>
      <c r="S564" t="s">
        <v>630</v>
      </c>
      <c r="T564" t="s">
        <v>620</v>
      </c>
      <c r="U564" t="s">
        <v>620</v>
      </c>
      <c r="V564" s="3" t="str">
        <f>IF(AND(data[[#This Row],[status]]="OK",data[[#This Row],[approach]]="evoavalla"),data[[#This Row],[asm_path]],"")</f>
        <v/>
      </c>
      <c r="W564" s="3" t="str">
        <f>IF(AND(data[[#This Row],[status]]="OK",data[[#This Row],[approach]]="atgt"),data[[#This Row],[asm_path]],"")</f>
        <v>../../../asm_examples/examples/simple_example/AdvancedClock.asm</v>
      </c>
      <c r="X564" s="3" t="b">
        <f>COUNTIF(W:W,data[[#This Row],[path_ok_status_evoavalla]]) = 1</f>
        <v>0</v>
      </c>
    </row>
    <row r="565" spans="1:24" x14ac:dyDescent="0.25">
      <c r="A565" t="s">
        <v>1464</v>
      </c>
      <c r="B565" t="s">
        <v>1465</v>
      </c>
      <c r="C565" t="s">
        <v>626</v>
      </c>
      <c r="D565" t="s">
        <v>716</v>
      </c>
      <c r="E565" t="s">
        <v>620</v>
      </c>
      <c r="F565" t="s">
        <v>664</v>
      </c>
      <c r="G565" t="s">
        <v>740</v>
      </c>
      <c r="H565" t="s">
        <v>1545</v>
      </c>
      <c r="I565" t="s">
        <v>638</v>
      </c>
      <c r="J565" t="s">
        <v>632</v>
      </c>
      <c r="K565" s="2" t="s">
        <v>620</v>
      </c>
      <c r="L565" s="2" t="s">
        <v>620</v>
      </c>
      <c r="M565" s="2" t="s">
        <v>620</v>
      </c>
      <c r="N565" s="2" t="s">
        <v>620</v>
      </c>
      <c r="O565" t="s">
        <v>639</v>
      </c>
      <c r="P565" t="s">
        <v>639</v>
      </c>
      <c r="Q565" t="s">
        <v>639</v>
      </c>
      <c r="R565" t="s">
        <v>639</v>
      </c>
      <c r="S565" t="s">
        <v>639</v>
      </c>
      <c r="T565" t="s">
        <v>620</v>
      </c>
      <c r="U565" t="s">
        <v>620</v>
      </c>
      <c r="V565" s="3" t="str">
        <f>IF(AND(data[[#This Row],[status]]="OK",data[[#This Row],[approach]]="evoavalla"),data[[#This Row],[asm_path]],"")</f>
        <v/>
      </c>
      <c r="W565" s="3" t="str">
        <f>IF(AND(data[[#This Row],[status]]="OK",data[[#This Row],[approach]]="atgt"),data[[#This Row],[asm_path]],"")</f>
        <v/>
      </c>
      <c r="X565" s="3" t="b">
        <f>COUNTIF(W:W,data[[#This Row],[path_ok_status_evoavalla]]) = 1</f>
        <v>0</v>
      </c>
    </row>
    <row r="566" spans="1:24" x14ac:dyDescent="0.25">
      <c r="A566" t="s">
        <v>1466</v>
      </c>
      <c r="B566" t="s">
        <v>1467</v>
      </c>
      <c r="C566" t="s">
        <v>682</v>
      </c>
      <c r="D566" t="s">
        <v>683</v>
      </c>
      <c r="E566" t="s">
        <v>636</v>
      </c>
      <c r="F566" t="s">
        <v>716</v>
      </c>
      <c r="G566" t="s">
        <v>745</v>
      </c>
      <c r="H566" t="s">
        <v>1545</v>
      </c>
      <c r="I566" t="s">
        <v>638</v>
      </c>
      <c r="J566" t="s">
        <v>632</v>
      </c>
      <c r="K566" s="2" t="s">
        <v>620</v>
      </c>
      <c r="L566" s="2" t="s">
        <v>620</v>
      </c>
      <c r="M566" s="2" t="s">
        <v>620</v>
      </c>
      <c r="N566" s="2" t="s">
        <v>620</v>
      </c>
      <c r="O566" t="s">
        <v>639</v>
      </c>
      <c r="P566" t="s">
        <v>639</v>
      </c>
      <c r="Q566" t="s">
        <v>639</v>
      </c>
      <c r="R566" t="s">
        <v>639</v>
      </c>
      <c r="S566" t="s">
        <v>639</v>
      </c>
      <c r="T566" t="s">
        <v>620</v>
      </c>
      <c r="U566" t="s">
        <v>620</v>
      </c>
      <c r="V566" s="3" t="str">
        <f>IF(AND(data[[#This Row],[status]]="OK",data[[#This Row],[approach]]="evoavalla"),data[[#This Row],[asm_path]],"")</f>
        <v/>
      </c>
      <c r="W566" s="3" t="str">
        <f>IF(AND(data[[#This Row],[status]]="OK",data[[#This Row],[approach]]="atgt"),data[[#This Row],[asm_path]],"")</f>
        <v/>
      </c>
      <c r="X566" s="3" t="b">
        <f>COUNTIF(W:W,data[[#This Row],[path_ok_status_evoavalla]]) = 1</f>
        <v>0</v>
      </c>
    </row>
    <row r="567" spans="1:24" x14ac:dyDescent="0.25">
      <c r="A567" t="s">
        <v>1468</v>
      </c>
      <c r="B567" t="s">
        <v>1469</v>
      </c>
      <c r="C567" t="s">
        <v>618</v>
      </c>
      <c r="D567" t="s">
        <v>941</v>
      </c>
      <c r="E567" t="s">
        <v>620</v>
      </c>
      <c r="F567" t="s">
        <v>941</v>
      </c>
      <c r="G567" t="s">
        <v>1470</v>
      </c>
      <c r="H567" t="s">
        <v>1545</v>
      </c>
      <c r="I567" t="s">
        <v>624</v>
      </c>
      <c r="J567" t="s">
        <v>1637</v>
      </c>
      <c r="K567" s="2" t="s">
        <v>710</v>
      </c>
      <c r="L567" s="2" t="s">
        <v>821</v>
      </c>
      <c r="M567" s="2" t="s">
        <v>1470</v>
      </c>
      <c r="N567" s="2" t="s">
        <v>1638</v>
      </c>
      <c r="O567" t="s">
        <v>630</v>
      </c>
      <c r="P567" t="s">
        <v>630</v>
      </c>
      <c r="Q567" t="s">
        <v>632</v>
      </c>
      <c r="R567" t="s">
        <v>1554</v>
      </c>
      <c r="S567" t="s">
        <v>630</v>
      </c>
      <c r="T567" t="s">
        <v>620</v>
      </c>
      <c r="U567" t="s">
        <v>620</v>
      </c>
      <c r="V567" s="3" t="str">
        <f>IF(AND(data[[#This Row],[status]]="OK",data[[#This Row],[approach]]="evoavalla"),data[[#This Row],[asm_path]],"")</f>
        <v/>
      </c>
      <c r="W567" s="3" t="str">
        <f>IF(AND(data[[#This Row],[status]]="OK",data[[#This Row],[approach]]="atgt"),data[[#This Row],[asm_path]],"")</f>
        <v>../../../asm_examples/examples/TrafficLightYakindu/TrafficLight2/TrafficLight_2.asm</v>
      </c>
      <c r="X567" s="3" t="b">
        <f>COUNTIF(W:W,data[[#This Row],[path_ok_status_evoavalla]]) = 1</f>
        <v>0</v>
      </c>
    </row>
    <row r="568" spans="1:24" x14ac:dyDescent="0.25">
      <c r="A568" t="s">
        <v>1473</v>
      </c>
      <c r="B568" t="s">
        <v>1474</v>
      </c>
      <c r="C568" t="s">
        <v>628</v>
      </c>
      <c r="D568" t="s">
        <v>1475</v>
      </c>
      <c r="E568" t="s">
        <v>620</v>
      </c>
      <c r="F568" t="s">
        <v>618</v>
      </c>
      <c r="G568" t="s">
        <v>1476</v>
      </c>
      <c r="H568" t="s">
        <v>1545</v>
      </c>
      <c r="I568" t="s">
        <v>624</v>
      </c>
      <c r="J568" t="s">
        <v>1639</v>
      </c>
      <c r="K568" s="2" t="s">
        <v>1640</v>
      </c>
      <c r="L568" s="2" t="s">
        <v>1641</v>
      </c>
      <c r="M568" s="2" t="s">
        <v>1642</v>
      </c>
      <c r="N568" s="2" t="s">
        <v>1643</v>
      </c>
      <c r="O568" t="s">
        <v>630</v>
      </c>
      <c r="P568" t="s">
        <v>1644</v>
      </c>
      <c r="Q568" t="s">
        <v>632</v>
      </c>
      <c r="R568" t="s">
        <v>630</v>
      </c>
      <c r="S568" t="s">
        <v>1645</v>
      </c>
      <c r="T568" t="s">
        <v>620</v>
      </c>
      <c r="U568" t="s">
        <v>620</v>
      </c>
      <c r="V568" s="3" t="str">
        <f>IF(AND(data[[#This Row],[status]]="OK",data[[#This Row],[approach]]="evoavalla"),data[[#This Row],[asm_path]],"")</f>
        <v/>
      </c>
      <c r="W568" s="3" t="str">
        <f>IF(AND(data[[#This Row],[status]]="OK",data[[#This Row],[approach]]="atgt"),data[[#This Row],[asm_path]],"")</f>
        <v>../../../asm_examples/PHD/phd_master_flat2_v6.asm</v>
      </c>
      <c r="X568" s="3" t="b">
        <f>COUNTIF(W:W,data[[#This Row],[path_ok_status_evoavalla]]) = 1</f>
        <v>0</v>
      </c>
    </row>
    <row r="569" spans="1:24" x14ac:dyDescent="0.25">
      <c r="A569" t="s">
        <v>1482</v>
      </c>
      <c r="B569" t="s">
        <v>1483</v>
      </c>
      <c r="C569" t="s">
        <v>717</v>
      </c>
      <c r="D569" t="s">
        <v>815</v>
      </c>
      <c r="E569" t="s">
        <v>816</v>
      </c>
      <c r="F569" t="s">
        <v>1484</v>
      </c>
      <c r="G569" t="s">
        <v>1485</v>
      </c>
      <c r="H569" t="s">
        <v>1545</v>
      </c>
      <c r="I569" t="s">
        <v>638</v>
      </c>
      <c r="J569" t="s">
        <v>632</v>
      </c>
      <c r="K569" s="2" t="s">
        <v>620</v>
      </c>
      <c r="L569" s="2" t="s">
        <v>620</v>
      </c>
      <c r="M569" s="2" t="s">
        <v>620</v>
      </c>
      <c r="N569" s="2" t="s">
        <v>620</v>
      </c>
      <c r="O569" t="s">
        <v>639</v>
      </c>
      <c r="P569" t="s">
        <v>639</v>
      </c>
      <c r="Q569" t="s">
        <v>639</v>
      </c>
      <c r="R569" t="s">
        <v>639</v>
      </c>
      <c r="S569" t="s">
        <v>639</v>
      </c>
      <c r="T569" t="s">
        <v>620</v>
      </c>
      <c r="U569" t="s">
        <v>620</v>
      </c>
      <c r="V569" s="3" t="str">
        <f>IF(AND(data[[#This Row],[status]]="OK",data[[#This Row],[approach]]="evoavalla"),data[[#This Row],[asm_path]],"")</f>
        <v/>
      </c>
      <c r="W569" s="3" t="str">
        <f>IF(AND(data[[#This Row],[status]]="OK",data[[#This Row],[approach]]="atgt"),data[[#This Row],[asm_path]],"")</f>
        <v/>
      </c>
      <c r="X569" s="3" t="b">
        <f>COUNTIF(W:W,data[[#This Row],[path_ok_status_evoavalla]]) = 1</f>
        <v>0</v>
      </c>
    </row>
    <row r="570" spans="1:24" x14ac:dyDescent="0.25">
      <c r="A570" t="s">
        <v>1486</v>
      </c>
      <c r="B570" t="s">
        <v>1487</v>
      </c>
      <c r="C570" t="s">
        <v>618</v>
      </c>
      <c r="D570" t="s">
        <v>945</v>
      </c>
      <c r="E570" t="s">
        <v>620</v>
      </c>
      <c r="F570" t="s">
        <v>697</v>
      </c>
      <c r="G570" t="s">
        <v>1488</v>
      </c>
      <c r="H570" t="s">
        <v>1545</v>
      </c>
      <c r="I570" t="s">
        <v>638</v>
      </c>
      <c r="J570" t="s">
        <v>632</v>
      </c>
      <c r="K570" s="2" t="s">
        <v>620</v>
      </c>
      <c r="L570" s="2" t="s">
        <v>620</v>
      </c>
      <c r="M570" s="2" t="s">
        <v>620</v>
      </c>
      <c r="N570" s="2" t="s">
        <v>620</v>
      </c>
      <c r="O570" t="s">
        <v>639</v>
      </c>
      <c r="P570" t="s">
        <v>639</v>
      </c>
      <c r="Q570" t="s">
        <v>639</v>
      </c>
      <c r="R570" t="s">
        <v>639</v>
      </c>
      <c r="S570" t="s">
        <v>639</v>
      </c>
      <c r="T570" t="s">
        <v>620</v>
      </c>
      <c r="U570" t="s">
        <v>620</v>
      </c>
      <c r="V570" s="3" t="str">
        <f>IF(AND(data[[#This Row],[status]]="OK",data[[#This Row],[approach]]="evoavalla"),data[[#This Row],[asm_path]],"")</f>
        <v/>
      </c>
      <c r="W570" s="3" t="str">
        <f>IF(AND(data[[#This Row],[status]]="OK",data[[#This Row],[approach]]="atgt"),data[[#This Row],[asm_path]],"")</f>
        <v/>
      </c>
      <c r="X570" s="3" t="b">
        <f>COUNTIF(W:W,data[[#This Row],[path_ok_status_evoavalla]]) = 1</f>
        <v>0</v>
      </c>
    </row>
    <row r="571" spans="1:24" x14ac:dyDescent="0.25">
      <c r="A571" t="s">
        <v>1489</v>
      </c>
      <c r="B571" t="s">
        <v>1260</v>
      </c>
      <c r="C571" t="s">
        <v>635</v>
      </c>
      <c r="D571" t="s">
        <v>635</v>
      </c>
      <c r="E571" t="s">
        <v>636</v>
      </c>
      <c r="F571" t="s">
        <v>626</v>
      </c>
      <c r="G571" t="s">
        <v>643</v>
      </c>
      <c r="H571" t="s">
        <v>1545</v>
      </c>
      <c r="I571" t="s">
        <v>638</v>
      </c>
      <c r="J571" t="s">
        <v>632</v>
      </c>
      <c r="K571" s="2" t="s">
        <v>620</v>
      </c>
      <c r="L571" s="2" t="s">
        <v>620</v>
      </c>
      <c r="M571" s="2" t="s">
        <v>620</v>
      </c>
      <c r="N571" s="2" t="s">
        <v>620</v>
      </c>
      <c r="O571" t="s">
        <v>639</v>
      </c>
      <c r="P571" t="s">
        <v>639</v>
      </c>
      <c r="Q571" t="s">
        <v>639</v>
      </c>
      <c r="R571" t="s">
        <v>639</v>
      </c>
      <c r="S571" t="s">
        <v>639</v>
      </c>
      <c r="T571" t="s">
        <v>620</v>
      </c>
      <c r="U571" t="s">
        <v>620</v>
      </c>
      <c r="V571" s="3" t="str">
        <f>IF(AND(data[[#This Row],[status]]="OK",data[[#This Row],[approach]]="evoavalla"),data[[#This Row],[asm_path]],"")</f>
        <v/>
      </c>
      <c r="W571" s="3" t="str">
        <f>IF(AND(data[[#This Row],[status]]="OK",data[[#This Row],[approach]]="atgt"),data[[#This Row],[asm_path]],"")</f>
        <v/>
      </c>
      <c r="X571" s="3" t="b">
        <f>COUNTIF(W:W,data[[#This Row],[path_ok_status_evoavalla]]) = 1</f>
        <v>0</v>
      </c>
    </row>
    <row r="572" spans="1:24" x14ac:dyDescent="0.25">
      <c r="A572" t="s">
        <v>1490</v>
      </c>
      <c r="B572" t="s">
        <v>1491</v>
      </c>
      <c r="C572" t="s">
        <v>635</v>
      </c>
      <c r="D572" t="s">
        <v>636</v>
      </c>
      <c r="E572" t="s">
        <v>636</v>
      </c>
      <c r="F572" t="s">
        <v>635</v>
      </c>
      <c r="G572" t="s">
        <v>664</v>
      </c>
      <c r="H572" t="s">
        <v>1545</v>
      </c>
      <c r="I572" t="s">
        <v>638</v>
      </c>
      <c r="J572" t="s">
        <v>632</v>
      </c>
      <c r="K572" s="2" t="s">
        <v>620</v>
      </c>
      <c r="L572" s="2" t="s">
        <v>620</v>
      </c>
      <c r="M572" s="2" t="s">
        <v>620</v>
      </c>
      <c r="N572" s="2" t="s">
        <v>620</v>
      </c>
      <c r="O572" t="s">
        <v>639</v>
      </c>
      <c r="P572" t="s">
        <v>639</v>
      </c>
      <c r="Q572" t="s">
        <v>639</v>
      </c>
      <c r="R572" t="s">
        <v>639</v>
      </c>
      <c r="S572" t="s">
        <v>639</v>
      </c>
      <c r="T572" t="s">
        <v>620</v>
      </c>
      <c r="U572" t="s">
        <v>620</v>
      </c>
      <c r="V572" s="3" t="str">
        <f>IF(AND(data[[#This Row],[status]]="OK",data[[#This Row],[approach]]="evoavalla"),data[[#This Row],[asm_path]],"")</f>
        <v/>
      </c>
      <c r="W572" s="3" t="str">
        <f>IF(AND(data[[#This Row],[status]]="OK",data[[#This Row],[approach]]="atgt"),data[[#This Row],[asm_path]],"")</f>
        <v/>
      </c>
      <c r="X572" s="3" t="b">
        <f>COUNTIF(W:W,data[[#This Row],[path_ok_status_evoavalla]]) = 1</f>
        <v>0</v>
      </c>
    </row>
    <row r="573" spans="1:24" x14ac:dyDescent="0.25">
      <c r="A573" t="s">
        <v>1492</v>
      </c>
      <c r="B573" t="s">
        <v>1493</v>
      </c>
      <c r="C573" t="s">
        <v>682</v>
      </c>
      <c r="D573" t="s">
        <v>635</v>
      </c>
      <c r="E573" t="s">
        <v>620</v>
      </c>
      <c r="F573" t="s">
        <v>636</v>
      </c>
      <c r="G573" t="s">
        <v>628</v>
      </c>
      <c r="H573" t="s">
        <v>1545</v>
      </c>
      <c r="I573" t="s">
        <v>638</v>
      </c>
      <c r="J573" t="s">
        <v>632</v>
      </c>
      <c r="K573" s="2" t="s">
        <v>620</v>
      </c>
      <c r="L573" s="2" t="s">
        <v>620</v>
      </c>
      <c r="M573" s="2" t="s">
        <v>620</v>
      </c>
      <c r="N573" s="2" t="s">
        <v>620</v>
      </c>
      <c r="O573" t="s">
        <v>639</v>
      </c>
      <c r="P573" t="s">
        <v>639</v>
      </c>
      <c r="Q573" t="s">
        <v>639</v>
      </c>
      <c r="R573" t="s">
        <v>639</v>
      </c>
      <c r="S573" t="s">
        <v>639</v>
      </c>
      <c r="T573" t="s">
        <v>620</v>
      </c>
      <c r="U573" t="s">
        <v>620</v>
      </c>
      <c r="V573" s="3" t="str">
        <f>IF(AND(data[[#This Row],[status]]="OK",data[[#This Row],[approach]]="evoavalla"),data[[#This Row],[asm_path]],"")</f>
        <v/>
      </c>
      <c r="W573" s="3" t="str">
        <f>IF(AND(data[[#This Row],[status]]="OK",data[[#This Row],[approach]]="atgt"),data[[#This Row],[asm_path]],"")</f>
        <v/>
      </c>
      <c r="X573" s="3" t="b">
        <f>COUNTIF(W:W,data[[#This Row],[path_ok_status_evoavalla]]) = 1</f>
        <v>0</v>
      </c>
    </row>
    <row r="574" spans="1:24" x14ac:dyDescent="0.25">
      <c r="A574" t="s">
        <v>1494</v>
      </c>
      <c r="B574" t="s">
        <v>1495</v>
      </c>
      <c r="C574" t="s">
        <v>637</v>
      </c>
      <c r="D574" t="s">
        <v>750</v>
      </c>
      <c r="E574" t="s">
        <v>636</v>
      </c>
      <c r="F574" t="s">
        <v>745</v>
      </c>
      <c r="G574" t="s">
        <v>799</v>
      </c>
      <c r="H574" t="s">
        <v>1545</v>
      </c>
      <c r="I574" t="s">
        <v>638</v>
      </c>
      <c r="J574" t="s">
        <v>632</v>
      </c>
      <c r="K574" s="2" t="s">
        <v>620</v>
      </c>
      <c r="L574" s="2" t="s">
        <v>620</v>
      </c>
      <c r="M574" s="2" t="s">
        <v>620</v>
      </c>
      <c r="N574" s="2" t="s">
        <v>620</v>
      </c>
      <c r="O574" t="s">
        <v>639</v>
      </c>
      <c r="P574" t="s">
        <v>639</v>
      </c>
      <c r="Q574" t="s">
        <v>639</v>
      </c>
      <c r="R574" t="s">
        <v>639</v>
      </c>
      <c r="S574" t="s">
        <v>639</v>
      </c>
      <c r="T574" t="s">
        <v>620</v>
      </c>
      <c r="U574" t="s">
        <v>620</v>
      </c>
      <c r="V574" s="3" t="str">
        <f>IF(AND(data[[#This Row],[status]]="OK",data[[#This Row],[approach]]="evoavalla"),data[[#This Row],[asm_path]],"")</f>
        <v/>
      </c>
      <c r="W574" s="3" t="str">
        <f>IF(AND(data[[#This Row],[status]]="OK",data[[#This Row],[approach]]="atgt"),data[[#This Row],[asm_path]],"")</f>
        <v/>
      </c>
      <c r="X574" s="3" t="b">
        <f>COUNTIF(W:W,data[[#This Row],[path_ok_status_evoavalla]]) = 1</f>
        <v>0</v>
      </c>
    </row>
    <row r="575" spans="1:24" x14ac:dyDescent="0.25">
      <c r="A575" t="s">
        <v>1496</v>
      </c>
      <c r="B575" t="s">
        <v>1497</v>
      </c>
      <c r="C575" t="s">
        <v>697</v>
      </c>
      <c r="D575" t="s">
        <v>644</v>
      </c>
      <c r="E575" t="s">
        <v>620</v>
      </c>
      <c r="F575" t="s">
        <v>732</v>
      </c>
      <c r="G575" t="s">
        <v>1498</v>
      </c>
      <c r="H575" t="s">
        <v>1545</v>
      </c>
      <c r="I575" t="s">
        <v>638</v>
      </c>
      <c r="J575" t="s">
        <v>632</v>
      </c>
      <c r="K575" s="2" t="s">
        <v>620</v>
      </c>
      <c r="L575" s="2" t="s">
        <v>620</v>
      </c>
      <c r="M575" s="2" t="s">
        <v>620</v>
      </c>
      <c r="N575" s="2" t="s">
        <v>620</v>
      </c>
      <c r="O575" t="s">
        <v>639</v>
      </c>
      <c r="P575" t="s">
        <v>639</v>
      </c>
      <c r="Q575" t="s">
        <v>639</v>
      </c>
      <c r="R575" t="s">
        <v>639</v>
      </c>
      <c r="S575" t="s">
        <v>639</v>
      </c>
      <c r="T575" t="s">
        <v>620</v>
      </c>
      <c r="U575" t="s">
        <v>620</v>
      </c>
      <c r="V575" s="3" t="str">
        <f>IF(AND(data[[#This Row],[status]]="OK",data[[#This Row],[approach]]="evoavalla"),data[[#This Row],[asm_path]],"")</f>
        <v/>
      </c>
      <c r="W575" s="3" t="str">
        <f>IF(AND(data[[#This Row],[status]]="OK",data[[#This Row],[approach]]="atgt"),data[[#This Row],[asm_path]],"")</f>
        <v/>
      </c>
      <c r="X575" s="3" t="b">
        <f>COUNTIF(W:W,data[[#This Row],[path_ok_status_evoavalla]]) = 1</f>
        <v>0</v>
      </c>
    </row>
    <row r="576" spans="1:24" x14ac:dyDescent="0.25">
      <c r="A576" t="s">
        <v>1499</v>
      </c>
      <c r="B576" t="s">
        <v>1500</v>
      </c>
      <c r="C576" t="s">
        <v>664</v>
      </c>
      <c r="D576" t="s">
        <v>628</v>
      </c>
      <c r="E576" t="s">
        <v>620</v>
      </c>
      <c r="F576" t="s">
        <v>664</v>
      </c>
      <c r="G576" t="s">
        <v>642</v>
      </c>
      <c r="H576" t="s">
        <v>1545</v>
      </c>
      <c r="I576" t="s">
        <v>638</v>
      </c>
      <c r="J576" t="s">
        <v>632</v>
      </c>
      <c r="K576" s="2" t="s">
        <v>620</v>
      </c>
      <c r="L576" s="2" t="s">
        <v>620</v>
      </c>
      <c r="M576" s="2" t="s">
        <v>620</v>
      </c>
      <c r="N576" s="2" t="s">
        <v>620</v>
      </c>
      <c r="O576" t="s">
        <v>639</v>
      </c>
      <c r="P576" t="s">
        <v>639</v>
      </c>
      <c r="Q576" t="s">
        <v>639</v>
      </c>
      <c r="R576" t="s">
        <v>639</v>
      </c>
      <c r="S576" t="s">
        <v>639</v>
      </c>
      <c r="T576" t="s">
        <v>620</v>
      </c>
      <c r="U576" t="s">
        <v>620</v>
      </c>
      <c r="V576" s="3" t="str">
        <f>IF(AND(data[[#This Row],[status]]="OK",data[[#This Row],[approach]]="evoavalla"),data[[#This Row],[asm_path]],"")</f>
        <v/>
      </c>
      <c r="W576" s="3" t="str">
        <f>IF(AND(data[[#This Row],[status]]="OK",data[[#This Row],[approach]]="atgt"),data[[#This Row],[asm_path]],"")</f>
        <v/>
      </c>
      <c r="X576" s="3" t="b">
        <f>COUNTIF(W:W,data[[#This Row],[path_ok_status_evoavalla]]) = 1</f>
        <v>0</v>
      </c>
    </row>
    <row r="577" spans="1:24" x14ac:dyDescent="0.25">
      <c r="A577" t="s">
        <v>1502</v>
      </c>
      <c r="B577" t="s">
        <v>1503</v>
      </c>
      <c r="C577" t="s">
        <v>761</v>
      </c>
      <c r="D577" t="s">
        <v>750</v>
      </c>
      <c r="E577" t="s">
        <v>635</v>
      </c>
      <c r="F577" t="s">
        <v>745</v>
      </c>
      <c r="G577" t="s">
        <v>842</v>
      </c>
      <c r="H577" t="s">
        <v>1545</v>
      </c>
      <c r="I577" t="s">
        <v>638</v>
      </c>
      <c r="J577" t="s">
        <v>632</v>
      </c>
      <c r="K577" s="2" t="s">
        <v>620</v>
      </c>
      <c r="L577" s="2" t="s">
        <v>620</v>
      </c>
      <c r="M577" s="2" t="s">
        <v>620</v>
      </c>
      <c r="N577" s="2" t="s">
        <v>620</v>
      </c>
      <c r="O577" t="s">
        <v>639</v>
      </c>
      <c r="P577" t="s">
        <v>639</v>
      </c>
      <c r="Q577" t="s">
        <v>639</v>
      </c>
      <c r="R577" t="s">
        <v>639</v>
      </c>
      <c r="S577" t="s">
        <v>639</v>
      </c>
      <c r="T577" t="s">
        <v>620</v>
      </c>
      <c r="U577" t="s">
        <v>620</v>
      </c>
      <c r="V577" s="3" t="str">
        <f>IF(AND(data[[#This Row],[status]]="OK",data[[#This Row],[approach]]="evoavalla"),data[[#This Row],[asm_path]],"")</f>
        <v/>
      </c>
      <c r="W577" s="3" t="str">
        <f>IF(AND(data[[#This Row],[status]]="OK",data[[#This Row],[approach]]="atgt"),data[[#This Row],[asm_path]],"")</f>
        <v/>
      </c>
      <c r="X577" s="3" t="b">
        <f>COUNTIF(W:W,data[[#This Row],[path_ok_status_evoavalla]]) = 1</f>
        <v>0</v>
      </c>
    </row>
    <row r="578" spans="1:24" x14ac:dyDescent="0.25">
      <c r="A578" t="s">
        <v>1504</v>
      </c>
      <c r="B578" t="s">
        <v>1505</v>
      </c>
      <c r="C578" t="s">
        <v>710</v>
      </c>
      <c r="D578" t="s">
        <v>745</v>
      </c>
      <c r="E578" t="s">
        <v>636</v>
      </c>
      <c r="F578" t="s">
        <v>761</v>
      </c>
      <c r="G578" t="s">
        <v>945</v>
      </c>
      <c r="H578" t="s">
        <v>1545</v>
      </c>
      <c r="I578" t="s">
        <v>638</v>
      </c>
      <c r="J578" t="s">
        <v>632</v>
      </c>
      <c r="K578" s="2" t="s">
        <v>620</v>
      </c>
      <c r="L578" s="2" t="s">
        <v>620</v>
      </c>
      <c r="M578" s="2" t="s">
        <v>620</v>
      </c>
      <c r="N578" s="2" t="s">
        <v>620</v>
      </c>
      <c r="O578" t="s">
        <v>639</v>
      </c>
      <c r="P578" t="s">
        <v>639</v>
      </c>
      <c r="Q578" t="s">
        <v>639</v>
      </c>
      <c r="R578" t="s">
        <v>639</v>
      </c>
      <c r="S578" t="s">
        <v>639</v>
      </c>
      <c r="T578" t="s">
        <v>620</v>
      </c>
      <c r="U578" t="s">
        <v>620</v>
      </c>
      <c r="V578" s="3" t="str">
        <f>IF(AND(data[[#This Row],[status]]="OK",data[[#This Row],[approach]]="evoavalla"),data[[#This Row],[asm_path]],"")</f>
        <v/>
      </c>
      <c r="W578" s="3" t="str">
        <f>IF(AND(data[[#This Row],[status]]="OK",data[[#This Row],[approach]]="atgt"),data[[#This Row],[asm_path]],"")</f>
        <v/>
      </c>
      <c r="X578" s="3" t="b">
        <f>COUNTIF(W:W,data[[#This Row],[path_ok_status_evoavalla]]) = 1</f>
        <v>0</v>
      </c>
    </row>
    <row r="579" spans="1:24" x14ac:dyDescent="0.25">
      <c r="A579" t="s">
        <v>1506</v>
      </c>
      <c r="B579" t="s">
        <v>1507</v>
      </c>
      <c r="C579" t="s">
        <v>635</v>
      </c>
      <c r="D579" t="s">
        <v>626</v>
      </c>
      <c r="E579" t="s">
        <v>620</v>
      </c>
      <c r="F579" t="s">
        <v>664</v>
      </c>
      <c r="G579" t="s">
        <v>643</v>
      </c>
      <c r="H579" t="s">
        <v>1545</v>
      </c>
      <c r="I579" t="s">
        <v>638</v>
      </c>
      <c r="J579" t="s">
        <v>632</v>
      </c>
      <c r="K579" s="2" t="s">
        <v>620</v>
      </c>
      <c r="L579" s="2" t="s">
        <v>620</v>
      </c>
      <c r="M579" s="2" t="s">
        <v>620</v>
      </c>
      <c r="N579" s="2" t="s">
        <v>620</v>
      </c>
      <c r="O579" t="s">
        <v>639</v>
      </c>
      <c r="P579" t="s">
        <v>639</v>
      </c>
      <c r="Q579" t="s">
        <v>639</v>
      </c>
      <c r="R579" t="s">
        <v>639</v>
      </c>
      <c r="S579" t="s">
        <v>639</v>
      </c>
      <c r="T579" t="s">
        <v>620</v>
      </c>
      <c r="U579" t="s">
        <v>620</v>
      </c>
      <c r="V579" s="3" t="str">
        <f>IF(AND(data[[#This Row],[status]]="OK",data[[#This Row],[approach]]="evoavalla"),data[[#This Row],[asm_path]],"")</f>
        <v/>
      </c>
      <c r="W579" s="3" t="str">
        <f>IF(AND(data[[#This Row],[status]]="OK",data[[#This Row],[approach]]="atgt"),data[[#This Row],[asm_path]],"")</f>
        <v/>
      </c>
      <c r="X579" s="3" t="b">
        <f>COUNTIF(W:W,data[[#This Row],[path_ok_status_evoavalla]]) = 1</f>
        <v>0</v>
      </c>
    </row>
    <row r="580" spans="1:24" x14ac:dyDescent="0.25">
      <c r="A580" t="s">
        <v>1508</v>
      </c>
      <c r="B580" t="s">
        <v>1509</v>
      </c>
      <c r="C580" t="s">
        <v>636</v>
      </c>
      <c r="D580" t="s">
        <v>683</v>
      </c>
      <c r="E580" t="s">
        <v>620</v>
      </c>
      <c r="F580" t="s">
        <v>635</v>
      </c>
      <c r="G580" t="s">
        <v>710</v>
      </c>
      <c r="H580" t="s">
        <v>1545</v>
      </c>
      <c r="I580" t="s">
        <v>638</v>
      </c>
      <c r="J580" t="s">
        <v>632</v>
      </c>
      <c r="K580" s="2" t="s">
        <v>620</v>
      </c>
      <c r="L580" s="2" t="s">
        <v>620</v>
      </c>
      <c r="M580" s="2" t="s">
        <v>620</v>
      </c>
      <c r="N580" s="2" t="s">
        <v>620</v>
      </c>
      <c r="O580" t="s">
        <v>639</v>
      </c>
      <c r="P580" t="s">
        <v>639</v>
      </c>
      <c r="Q580" t="s">
        <v>639</v>
      </c>
      <c r="R580" t="s">
        <v>639</v>
      </c>
      <c r="S580" t="s">
        <v>639</v>
      </c>
      <c r="T580" t="s">
        <v>620</v>
      </c>
      <c r="U580" t="s">
        <v>620</v>
      </c>
      <c r="V580" s="3" t="str">
        <f>IF(AND(data[[#This Row],[status]]="OK",data[[#This Row],[approach]]="evoavalla"),data[[#This Row],[asm_path]],"")</f>
        <v/>
      </c>
      <c r="W580" s="3" t="str">
        <f>IF(AND(data[[#This Row],[status]]="OK",data[[#This Row],[approach]]="atgt"),data[[#This Row],[asm_path]],"")</f>
        <v/>
      </c>
      <c r="X580" s="3" t="b">
        <f>COUNTIF(W:W,data[[#This Row],[path_ok_status_evoavalla]]) = 1</f>
        <v>0</v>
      </c>
    </row>
    <row r="581" spans="1:24" x14ac:dyDescent="0.25">
      <c r="A581" t="s">
        <v>1510</v>
      </c>
      <c r="B581" t="s">
        <v>1511</v>
      </c>
      <c r="C581" t="s">
        <v>635</v>
      </c>
      <c r="D581" t="s">
        <v>626</v>
      </c>
      <c r="E581" t="s">
        <v>620</v>
      </c>
      <c r="F581" t="s">
        <v>664</v>
      </c>
      <c r="G581" t="s">
        <v>643</v>
      </c>
      <c r="H581" t="s">
        <v>1545</v>
      </c>
      <c r="I581" t="s">
        <v>624</v>
      </c>
      <c r="J581" t="s">
        <v>1646</v>
      </c>
      <c r="K581" s="2" t="s">
        <v>626</v>
      </c>
      <c r="L581" s="2" t="s">
        <v>941</v>
      </c>
      <c r="M581" s="2" t="s">
        <v>837</v>
      </c>
      <c r="N581" s="2" t="s">
        <v>1172</v>
      </c>
      <c r="O581" t="s">
        <v>630</v>
      </c>
      <c r="P581" t="s">
        <v>630</v>
      </c>
      <c r="Q581" t="s">
        <v>632</v>
      </c>
      <c r="R581" t="s">
        <v>630</v>
      </c>
      <c r="S581" t="s">
        <v>630</v>
      </c>
      <c r="T581" t="s">
        <v>620</v>
      </c>
      <c r="U581" t="s">
        <v>620</v>
      </c>
      <c r="V581" s="3" t="str">
        <f>IF(AND(data[[#This Row],[status]]="OK",data[[#This Row],[approach]]="evoavalla"),data[[#This Row],[asm_path]],"")</f>
        <v/>
      </c>
      <c r="W581" s="3" t="str">
        <f>IF(AND(data[[#This Row],[status]]="OK",data[[#This Row],[approach]]="atgt"),data[[#This Row],[asm_path]],"")</f>
        <v>../../../asm_examples/examples/sensorVotingSimpleVersion.asm</v>
      </c>
      <c r="X581" s="3" t="b">
        <f>COUNTIF(W:W,data[[#This Row],[path_ok_status_evoavalla]]) = 1</f>
        <v>0</v>
      </c>
    </row>
    <row r="582" spans="1:24" x14ac:dyDescent="0.25">
      <c r="A582" t="s">
        <v>1513</v>
      </c>
      <c r="B582" t="s">
        <v>1514</v>
      </c>
      <c r="C582" t="s">
        <v>677</v>
      </c>
      <c r="D582" t="s">
        <v>697</v>
      </c>
      <c r="E582" t="s">
        <v>637</v>
      </c>
      <c r="F582" t="s">
        <v>741</v>
      </c>
      <c r="G582" t="s">
        <v>849</v>
      </c>
      <c r="H582" t="s">
        <v>1545</v>
      </c>
      <c r="I582" t="s">
        <v>638</v>
      </c>
      <c r="J582" t="s">
        <v>632</v>
      </c>
      <c r="K582" s="2" t="s">
        <v>620</v>
      </c>
      <c r="L582" s="2" t="s">
        <v>620</v>
      </c>
      <c r="M582" s="2" t="s">
        <v>620</v>
      </c>
      <c r="N582" s="2" t="s">
        <v>620</v>
      </c>
      <c r="O582" t="s">
        <v>639</v>
      </c>
      <c r="P582" t="s">
        <v>639</v>
      </c>
      <c r="Q582" t="s">
        <v>639</v>
      </c>
      <c r="R582" t="s">
        <v>639</v>
      </c>
      <c r="S582" t="s">
        <v>639</v>
      </c>
      <c r="T582" t="s">
        <v>620</v>
      </c>
      <c r="U582" t="s">
        <v>620</v>
      </c>
      <c r="V582" s="3" t="str">
        <f>IF(AND(data[[#This Row],[status]]="OK",data[[#This Row],[approach]]="evoavalla"),data[[#This Row],[asm_path]],"")</f>
        <v/>
      </c>
      <c r="W582" s="3" t="str">
        <f>IF(AND(data[[#This Row],[status]]="OK",data[[#This Row],[approach]]="atgt"),data[[#This Row],[asm_path]],"")</f>
        <v/>
      </c>
      <c r="X582" s="3" t="b">
        <f>COUNTIF(W:W,data[[#This Row],[path_ok_status_evoavalla]]) = 1</f>
        <v>0</v>
      </c>
    </row>
    <row r="583" spans="1:24" x14ac:dyDescent="0.25">
      <c r="A583" t="s">
        <v>1515</v>
      </c>
      <c r="B583" t="s">
        <v>1516</v>
      </c>
      <c r="C583" t="s">
        <v>682</v>
      </c>
      <c r="D583" t="s">
        <v>682</v>
      </c>
      <c r="E583" t="s">
        <v>620</v>
      </c>
      <c r="F583" t="s">
        <v>635</v>
      </c>
      <c r="G583" t="s">
        <v>637</v>
      </c>
      <c r="H583" t="s">
        <v>1545</v>
      </c>
      <c r="I583" t="s">
        <v>638</v>
      </c>
      <c r="J583" t="s">
        <v>632</v>
      </c>
      <c r="K583" s="2" t="s">
        <v>620</v>
      </c>
      <c r="L583" s="2" t="s">
        <v>620</v>
      </c>
      <c r="M583" s="2" t="s">
        <v>620</v>
      </c>
      <c r="N583" s="2" t="s">
        <v>620</v>
      </c>
      <c r="O583" t="s">
        <v>639</v>
      </c>
      <c r="P583" t="s">
        <v>639</v>
      </c>
      <c r="Q583" t="s">
        <v>639</v>
      </c>
      <c r="R583" t="s">
        <v>639</v>
      </c>
      <c r="S583" t="s">
        <v>639</v>
      </c>
      <c r="T583" t="s">
        <v>620</v>
      </c>
      <c r="U583" t="s">
        <v>620</v>
      </c>
      <c r="V583" s="3" t="str">
        <f>IF(AND(data[[#This Row],[status]]="OK",data[[#This Row],[approach]]="evoavalla"),data[[#This Row],[asm_path]],"")</f>
        <v/>
      </c>
      <c r="W583" s="3" t="str">
        <f>IF(AND(data[[#This Row],[status]]="OK",data[[#This Row],[approach]]="atgt"),data[[#This Row],[asm_path]],"")</f>
        <v/>
      </c>
      <c r="X583" s="3" t="b">
        <f>COUNTIF(W:W,data[[#This Row],[path_ok_status_evoavalla]]) = 1</f>
        <v>0</v>
      </c>
    </row>
    <row r="584" spans="1:24" x14ac:dyDescent="0.25">
      <c r="A584" t="s">
        <v>1517</v>
      </c>
      <c r="B584" t="s">
        <v>1518</v>
      </c>
      <c r="C584" t="s">
        <v>636</v>
      </c>
      <c r="D584" t="s">
        <v>636</v>
      </c>
      <c r="E584" t="s">
        <v>620</v>
      </c>
      <c r="F584" t="s">
        <v>636</v>
      </c>
      <c r="G584" t="s">
        <v>635</v>
      </c>
      <c r="H584" t="s">
        <v>1545</v>
      </c>
      <c r="I584" t="s">
        <v>638</v>
      </c>
      <c r="J584" t="s">
        <v>632</v>
      </c>
      <c r="K584" s="2" t="s">
        <v>620</v>
      </c>
      <c r="L584" s="2" t="s">
        <v>620</v>
      </c>
      <c r="M584" s="2" t="s">
        <v>620</v>
      </c>
      <c r="N584" s="2" t="s">
        <v>620</v>
      </c>
      <c r="O584" t="s">
        <v>639</v>
      </c>
      <c r="P584" t="s">
        <v>639</v>
      </c>
      <c r="Q584" t="s">
        <v>639</v>
      </c>
      <c r="R584" t="s">
        <v>639</v>
      </c>
      <c r="S584" t="s">
        <v>639</v>
      </c>
      <c r="T584" t="s">
        <v>620</v>
      </c>
      <c r="U584" t="s">
        <v>620</v>
      </c>
      <c r="V584" s="3" t="str">
        <f>IF(AND(data[[#This Row],[status]]="OK",data[[#This Row],[approach]]="evoavalla"),data[[#This Row],[asm_path]],"")</f>
        <v/>
      </c>
      <c r="W584" s="3" t="str">
        <f>IF(AND(data[[#This Row],[status]]="OK",data[[#This Row],[approach]]="atgt"),data[[#This Row],[asm_path]],"")</f>
        <v/>
      </c>
      <c r="X584" s="3" t="b">
        <f>COUNTIF(W:W,data[[#This Row],[path_ok_status_evoavalla]]) = 1</f>
        <v>0</v>
      </c>
    </row>
    <row r="585" spans="1:24" x14ac:dyDescent="0.25">
      <c r="A585" t="s">
        <v>1519</v>
      </c>
      <c r="B585" t="s">
        <v>1520</v>
      </c>
      <c r="C585" t="s">
        <v>635</v>
      </c>
      <c r="D585" t="s">
        <v>628</v>
      </c>
      <c r="E585" t="s">
        <v>620</v>
      </c>
      <c r="F585" t="s">
        <v>664</v>
      </c>
      <c r="G585" t="s">
        <v>618</v>
      </c>
      <c r="H585" t="s">
        <v>1545</v>
      </c>
      <c r="I585" t="s">
        <v>638</v>
      </c>
      <c r="J585" t="s">
        <v>632</v>
      </c>
      <c r="K585" s="2" t="s">
        <v>620</v>
      </c>
      <c r="L585" s="2" t="s">
        <v>620</v>
      </c>
      <c r="M585" s="2" t="s">
        <v>620</v>
      </c>
      <c r="N585" s="2" t="s">
        <v>620</v>
      </c>
      <c r="O585" t="s">
        <v>639</v>
      </c>
      <c r="P585" t="s">
        <v>639</v>
      </c>
      <c r="Q585" t="s">
        <v>639</v>
      </c>
      <c r="R585" t="s">
        <v>639</v>
      </c>
      <c r="S585" t="s">
        <v>639</v>
      </c>
      <c r="T585" t="s">
        <v>620</v>
      </c>
      <c r="U585" t="s">
        <v>620</v>
      </c>
      <c r="V585" s="3" t="str">
        <f>IF(AND(data[[#This Row],[status]]="OK",data[[#This Row],[approach]]="evoavalla"),data[[#This Row],[asm_path]],"")</f>
        <v/>
      </c>
      <c r="W585" s="3" t="str">
        <f>IF(AND(data[[#This Row],[status]]="OK",data[[#This Row],[approach]]="atgt"),data[[#This Row],[asm_path]],"")</f>
        <v/>
      </c>
      <c r="X585" s="3" t="b">
        <f>COUNTIF(W:W,data[[#This Row],[path_ok_status_evoavalla]]) = 1</f>
        <v>0</v>
      </c>
    </row>
    <row r="586" spans="1:24" x14ac:dyDescent="0.25">
      <c r="A586" t="s">
        <v>1521</v>
      </c>
      <c r="B586" t="s">
        <v>1522</v>
      </c>
      <c r="C586" t="s">
        <v>683</v>
      </c>
      <c r="D586" t="s">
        <v>710</v>
      </c>
      <c r="E586" t="s">
        <v>620</v>
      </c>
      <c r="F586" t="s">
        <v>643</v>
      </c>
      <c r="G586" t="s">
        <v>841</v>
      </c>
      <c r="H586" t="s">
        <v>1545</v>
      </c>
      <c r="I586" t="s">
        <v>638</v>
      </c>
      <c r="J586" t="s">
        <v>632</v>
      </c>
      <c r="K586" s="2" t="s">
        <v>620</v>
      </c>
      <c r="L586" s="2" t="s">
        <v>620</v>
      </c>
      <c r="M586" s="2" t="s">
        <v>620</v>
      </c>
      <c r="N586" s="2" t="s">
        <v>620</v>
      </c>
      <c r="O586" t="s">
        <v>639</v>
      </c>
      <c r="P586" t="s">
        <v>639</v>
      </c>
      <c r="Q586" t="s">
        <v>639</v>
      </c>
      <c r="R586" t="s">
        <v>639</v>
      </c>
      <c r="S586" t="s">
        <v>639</v>
      </c>
      <c r="T586" t="s">
        <v>620</v>
      </c>
      <c r="U586" t="s">
        <v>620</v>
      </c>
      <c r="V586" s="3" t="str">
        <f>IF(AND(data[[#This Row],[status]]="OK",data[[#This Row],[approach]]="evoavalla"),data[[#This Row],[asm_path]],"")</f>
        <v/>
      </c>
      <c r="W586" s="3" t="str">
        <f>IF(AND(data[[#This Row],[status]]="OK",data[[#This Row],[approach]]="atgt"),data[[#This Row],[asm_path]],"")</f>
        <v/>
      </c>
      <c r="X586" s="3" t="b">
        <f>COUNTIF(W:W,data[[#This Row],[path_ok_status_evoavalla]]) = 1</f>
        <v>0</v>
      </c>
    </row>
    <row r="587" spans="1:24" x14ac:dyDescent="0.25">
      <c r="A587" t="s">
        <v>1523</v>
      </c>
      <c r="B587" t="s">
        <v>1524</v>
      </c>
      <c r="C587" t="s">
        <v>635</v>
      </c>
      <c r="D587" t="s">
        <v>635</v>
      </c>
      <c r="E587" t="s">
        <v>620</v>
      </c>
      <c r="F587" t="s">
        <v>664</v>
      </c>
      <c r="G587" t="s">
        <v>621</v>
      </c>
      <c r="H587" t="s">
        <v>1545</v>
      </c>
      <c r="I587" t="s">
        <v>638</v>
      </c>
      <c r="J587" t="s">
        <v>632</v>
      </c>
      <c r="K587" s="2" t="s">
        <v>620</v>
      </c>
      <c r="L587" s="2" t="s">
        <v>620</v>
      </c>
      <c r="M587" s="2" t="s">
        <v>620</v>
      </c>
      <c r="N587" s="2" t="s">
        <v>620</v>
      </c>
      <c r="O587" t="s">
        <v>639</v>
      </c>
      <c r="P587" t="s">
        <v>639</v>
      </c>
      <c r="Q587" t="s">
        <v>639</v>
      </c>
      <c r="R587" t="s">
        <v>639</v>
      </c>
      <c r="S587" t="s">
        <v>639</v>
      </c>
      <c r="T587" t="s">
        <v>620</v>
      </c>
      <c r="U587" t="s">
        <v>620</v>
      </c>
      <c r="V587" s="3" t="str">
        <f>IF(AND(data[[#This Row],[status]]="OK",data[[#This Row],[approach]]="evoavalla"),data[[#This Row],[asm_path]],"")</f>
        <v/>
      </c>
      <c r="W587" s="3" t="str">
        <f>IF(AND(data[[#This Row],[status]]="OK",data[[#This Row],[approach]]="atgt"),data[[#This Row],[asm_path]],"")</f>
        <v/>
      </c>
      <c r="X587" s="3" t="b">
        <f>COUNTIF(W:W,data[[#This Row],[path_ok_status_evoavalla]]) = 1</f>
        <v>0</v>
      </c>
    </row>
    <row r="588" spans="1:24" x14ac:dyDescent="0.25">
      <c r="A588" t="s">
        <v>1525</v>
      </c>
      <c r="B588" t="s">
        <v>1526</v>
      </c>
      <c r="C588" t="s">
        <v>690</v>
      </c>
      <c r="D588" t="s">
        <v>675</v>
      </c>
      <c r="E588" t="s">
        <v>620</v>
      </c>
      <c r="F588" t="s">
        <v>710</v>
      </c>
      <c r="G588" t="s">
        <v>871</v>
      </c>
      <c r="H588" t="s">
        <v>1545</v>
      </c>
      <c r="I588" t="s">
        <v>624</v>
      </c>
      <c r="J588" t="s">
        <v>1647</v>
      </c>
      <c r="K588" s="2" t="s">
        <v>761</v>
      </c>
      <c r="L588" s="2" t="s">
        <v>969</v>
      </c>
      <c r="M588" s="2" t="s">
        <v>1185</v>
      </c>
      <c r="N588" s="2" t="s">
        <v>1648</v>
      </c>
      <c r="O588" t="s">
        <v>630</v>
      </c>
      <c r="P588" t="s">
        <v>1365</v>
      </c>
      <c r="Q588" t="s">
        <v>632</v>
      </c>
      <c r="R588" t="s">
        <v>915</v>
      </c>
      <c r="S588" t="s">
        <v>1649</v>
      </c>
      <c r="T588" t="s">
        <v>620</v>
      </c>
      <c r="U588" t="s">
        <v>620</v>
      </c>
      <c r="V588" s="3" t="str">
        <f>IF(AND(data[[#This Row],[status]]="OK",data[[#This Row],[approach]]="evoavalla"),data[[#This Row],[asm_path]],"")</f>
        <v/>
      </c>
      <c r="W588" s="3" t="str">
        <f>IF(AND(data[[#This Row],[status]]="OK",data[[#This Row],[approach]]="atgt"),data[[#This Row],[asm_path]],"")</f>
        <v>../../../asm_examples/stereoacuity/certifierRaff5ForSMTproof.asm</v>
      </c>
      <c r="X588" s="3" t="b">
        <f>COUNTIF(W:W,data[[#This Row],[path_ok_status_evoavalla]]) = 1</f>
        <v>0</v>
      </c>
    </row>
    <row r="589" spans="1:24" x14ac:dyDescent="0.25">
      <c r="A589" t="s">
        <v>1530</v>
      </c>
      <c r="B589" t="s">
        <v>1531</v>
      </c>
      <c r="C589" t="s">
        <v>682</v>
      </c>
      <c r="D589" t="s">
        <v>635</v>
      </c>
      <c r="E589" t="s">
        <v>636</v>
      </c>
      <c r="F589" t="s">
        <v>635</v>
      </c>
      <c r="G589" t="s">
        <v>716</v>
      </c>
      <c r="H589" t="s">
        <v>1545</v>
      </c>
      <c r="I589" t="s">
        <v>638</v>
      </c>
      <c r="J589" t="s">
        <v>632</v>
      </c>
      <c r="K589" s="2" t="s">
        <v>620</v>
      </c>
      <c r="L589" s="2" t="s">
        <v>620</v>
      </c>
      <c r="M589" s="2" t="s">
        <v>620</v>
      </c>
      <c r="N589" s="2" t="s">
        <v>620</v>
      </c>
      <c r="O589" t="s">
        <v>639</v>
      </c>
      <c r="P589" t="s">
        <v>639</v>
      </c>
      <c r="Q589" t="s">
        <v>639</v>
      </c>
      <c r="R589" t="s">
        <v>639</v>
      </c>
      <c r="S589" t="s">
        <v>639</v>
      </c>
      <c r="T589" t="s">
        <v>620</v>
      </c>
      <c r="U589" t="s">
        <v>620</v>
      </c>
      <c r="V589" s="3" t="str">
        <f>IF(AND(data[[#This Row],[status]]="OK",data[[#This Row],[approach]]="evoavalla"),data[[#This Row],[asm_path]],"")</f>
        <v/>
      </c>
      <c r="W589" s="3" t="str">
        <f>IF(AND(data[[#This Row],[status]]="OK",data[[#This Row],[approach]]="atgt"),data[[#This Row],[asm_path]],"")</f>
        <v/>
      </c>
      <c r="X589" s="3" t="b">
        <f>COUNTIF(W:W,data[[#This Row],[path_ok_status_evoavalla]]) = 1</f>
        <v>0</v>
      </c>
    </row>
    <row r="590" spans="1:24" x14ac:dyDescent="0.25">
      <c r="A590" t="s">
        <v>1532</v>
      </c>
      <c r="B590" t="s">
        <v>1533</v>
      </c>
      <c r="C590" t="s">
        <v>626</v>
      </c>
      <c r="D590" t="s">
        <v>643</v>
      </c>
      <c r="E590" t="s">
        <v>620</v>
      </c>
      <c r="F590" t="s">
        <v>626</v>
      </c>
      <c r="G590" t="s">
        <v>966</v>
      </c>
      <c r="H590" t="s">
        <v>1545</v>
      </c>
      <c r="I590" t="s">
        <v>624</v>
      </c>
      <c r="J590" t="s">
        <v>1650</v>
      </c>
      <c r="K590" s="2" t="s">
        <v>621</v>
      </c>
      <c r="L590" s="2" t="s">
        <v>951</v>
      </c>
      <c r="M590" s="2" t="s">
        <v>951</v>
      </c>
      <c r="N590" s="2" t="s">
        <v>1594</v>
      </c>
      <c r="O590" t="s">
        <v>630</v>
      </c>
      <c r="P590" t="s">
        <v>630</v>
      </c>
      <c r="Q590" t="s">
        <v>632</v>
      </c>
      <c r="R590" t="s">
        <v>630</v>
      </c>
      <c r="S590" t="s">
        <v>630</v>
      </c>
      <c r="T590" t="s">
        <v>620</v>
      </c>
      <c r="U590" t="s">
        <v>620</v>
      </c>
      <c r="V590" s="3" t="str">
        <f>IF(AND(data[[#This Row],[status]]="OK",data[[#This Row],[approach]]="evoavalla"),data[[#This Row],[asm_path]],"")</f>
        <v/>
      </c>
      <c r="W590" s="3" t="str">
        <f>IF(AND(data[[#This Row],[status]]="OK",data[[#This Row],[approach]]="atgt"),data[[#This Row],[asm_path]],"")</f>
        <v>../../../asm_examples/examples/traffic_light/oneWayTrafficLightOnlyPassed.asm</v>
      </c>
      <c r="X590" s="3" t="b">
        <f>COUNTIF(W:W,data[[#This Row],[path_ok_status_evoavalla]]) = 1</f>
        <v>0</v>
      </c>
    </row>
    <row r="591" spans="1:24" x14ac:dyDescent="0.25">
      <c r="A591" t="s">
        <v>1535</v>
      </c>
      <c r="B591" t="s">
        <v>1536</v>
      </c>
      <c r="C591" t="s">
        <v>716</v>
      </c>
      <c r="D591" t="s">
        <v>618</v>
      </c>
      <c r="E591" t="s">
        <v>682</v>
      </c>
      <c r="F591" t="s">
        <v>643</v>
      </c>
      <c r="G591" t="s">
        <v>622</v>
      </c>
      <c r="H591" t="s">
        <v>1545</v>
      </c>
      <c r="I591" t="s">
        <v>638</v>
      </c>
      <c r="J591" t="s">
        <v>632</v>
      </c>
      <c r="K591" s="2" t="s">
        <v>620</v>
      </c>
      <c r="L591" s="2" t="s">
        <v>620</v>
      </c>
      <c r="M591" s="2" t="s">
        <v>620</v>
      </c>
      <c r="N591" s="2" t="s">
        <v>620</v>
      </c>
      <c r="O591" t="s">
        <v>639</v>
      </c>
      <c r="P591" t="s">
        <v>639</v>
      </c>
      <c r="Q591" t="s">
        <v>639</v>
      </c>
      <c r="R591" t="s">
        <v>639</v>
      </c>
      <c r="S591" t="s">
        <v>639</v>
      </c>
      <c r="T591" t="s">
        <v>620</v>
      </c>
      <c r="U591" t="s">
        <v>620</v>
      </c>
      <c r="V591" s="3" t="str">
        <f>IF(AND(data[[#This Row],[status]]="OK",data[[#This Row],[approach]]="evoavalla"),data[[#This Row],[asm_path]],"")</f>
        <v/>
      </c>
      <c r="W591" s="3" t="str">
        <f>IF(AND(data[[#This Row],[status]]="OK",data[[#This Row],[approach]]="atgt"),data[[#This Row],[asm_path]],"")</f>
        <v/>
      </c>
      <c r="X591" s="3" t="b">
        <f>COUNTIF(W:W,data[[#This Row],[path_ok_status_evoavalla]]) = 1</f>
        <v>0</v>
      </c>
    </row>
    <row r="592" spans="1:24" x14ac:dyDescent="0.25">
      <c r="A592" t="s">
        <v>1537</v>
      </c>
      <c r="B592" t="s">
        <v>1538</v>
      </c>
      <c r="C592" t="s">
        <v>682</v>
      </c>
      <c r="D592" t="s">
        <v>682</v>
      </c>
      <c r="E592" t="s">
        <v>620</v>
      </c>
      <c r="F592" t="s">
        <v>635</v>
      </c>
      <c r="G592" t="s">
        <v>716</v>
      </c>
      <c r="H592" t="s">
        <v>1545</v>
      </c>
      <c r="I592" t="s">
        <v>638</v>
      </c>
      <c r="J592" t="s">
        <v>632</v>
      </c>
      <c r="K592" s="2" t="s">
        <v>620</v>
      </c>
      <c r="L592" s="2" t="s">
        <v>620</v>
      </c>
      <c r="M592" s="2" t="s">
        <v>620</v>
      </c>
      <c r="N592" s="2" t="s">
        <v>620</v>
      </c>
      <c r="O592" t="s">
        <v>639</v>
      </c>
      <c r="P592" t="s">
        <v>639</v>
      </c>
      <c r="Q592" t="s">
        <v>639</v>
      </c>
      <c r="R592" t="s">
        <v>639</v>
      </c>
      <c r="S592" t="s">
        <v>639</v>
      </c>
      <c r="T592" t="s">
        <v>620</v>
      </c>
      <c r="U592" t="s">
        <v>620</v>
      </c>
      <c r="V592" s="3" t="str">
        <f>IF(AND(data[[#This Row],[status]]="OK",data[[#This Row],[approach]]="evoavalla"),data[[#This Row],[asm_path]],"")</f>
        <v/>
      </c>
      <c r="W592" s="3" t="str">
        <f>IF(AND(data[[#This Row],[status]]="OK",data[[#This Row],[approach]]="atgt"),data[[#This Row],[asm_path]],"")</f>
        <v/>
      </c>
      <c r="X592" s="3" t="b">
        <f>COUNTIF(W:W,data[[#This Row],[path_ok_status_evoavalla]]) = 1</f>
        <v>0</v>
      </c>
    </row>
    <row r="593" spans="1:24" x14ac:dyDescent="0.25">
      <c r="A593" t="s">
        <v>1539</v>
      </c>
      <c r="B593" t="s">
        <v>1540</v>
      </c>
      <c r="C593" t="s">
        <v>636</v>
      </c>
      <c r="D593" t="s">
        <v>621</v>
      </c>
      <c r="E593" t="s">
        <v>620</v>
      </c>
      <c r="F593" t="s">
        <v>683</v>
      </c>
      <c r="G593" t="s">
        <v>642</v>
      </c>
      <c r="H593" t="s">
        <v>1545</v>
      </c>
      <c r="I593" t="s">
        <v>624</v>
      </c>
      <c r="J593" t="s">
        <v>1651</v>
      </c>
      <c r="K593" s="2" t="s">
        <v>716</v>
      </c>
      <c r="L593" s="2" t="s">
        <v>677</v>
      </c>
      <c r="M593" s="2" t="s">
        <v>966</v>
      </c>
      <c r="N593" s="2" t="s">
        <v>1291</v>
      </c>
      <c r="O593" t="s">
        <v>630</v>
      </c>
      <c r="P593" t="s">
        <v>630</v>
      </c>
      <c r="Q593" t="s">
        <v>632</v>
      </c>
      <c r="R593" t="s">
        <v>630</v>
      </c>
      <c r="S593" t="s">
        <v>630</v>
      </c>
      <c r="T593" t="s">
        <v>620</v>
      </c>
      <c r="U593" t="s">
        <v>620</v>
      </c>
      <c r="V593" s="3" t="str">
        <f>IF(AND(data[[#This Row],[status]]="OK",data[[#This Row],[approach]]="evoavalla"),data[[#This Row],[asm_path]],"")</f>
        <v/>
      </c>
      <c r="W593" s="3" t="str">
        <f>IF(AND(data[[#This Row],[status]]="OK",data[[#This Row],[approach]]="atgt"),data[[#This Row],[asm_path]],"")</f>
        <v>../../../asm_examples/examples/diceKnuthYao.asm</v>
      </c>
      <c r="X593" s="3" t="b">
        <f>COUNTIF(W:W,data[[#This Row],[path_ok_status_evoavalla]]) = 1</f>
        <v>0</v>
      </c>
    </row>
    <row r="594" spans="1:24" x14ac:dyDescent="0.25">
      <c r="A594" t="s">
        <v>1541</v>
      </c>
      <c r="B594" t="s">
        <v>1542</v>
      </c>
      <c r="C594" t="s">
        <v>683</v>
      </c>
      <c r="D594" t="s">
        <v>716</v>
      </c>
      <c r="E594" t="s">
        <v>636</v>
      </c>
      <c r="F594" t="s">
        <v>683</v>
      </c>
      <c r="G594" t="s">
        <v>675</v>
      </c>
      <c r="H594" t="s">
        <v>1545</v>
      </c>
      <c r="I594" t="s">
        <v>638</v>
      </c>
      <c r="J594" t="s">
        <v>632</v>
      </c>
      <c r="K594" s="2" t="s">
        <v>620</v>
      </c>
      <c r="L594" s="2" t="s">
        <v>620</v>
      </c>
      <c r="M594" s="2" t="s">
        <v>620</v>
      </c>
      <c r="N594" s="2" t="s">
        <v>620</v>
      </c>
      <c r="O594" t="s">
        <v>639</v>
      </c>
      <c r="P594" t="s">
        <v>639</v>
      </c>
      <c r="Q594" t="s">
        <v>639</v>
      </c>
      <c r="R594" t="s">
        <v>639</v>
      </c>
      <c r="S594" t="s">
        <v>639</v>
      </c>
      <c r="T594" t="s">
        <v>620</v>
      </c>
      <c r="U594" t="s">
        <v>620</v>
      </c>
      <c r="V594" s="3" t="str">
        <f>IF(AND(data[[#This Row],[status]]="OK",data[[#This Row],[approach]]="evoavalla"),data[[#This Row],[asm_path]],"")</f>
        <v/>
      </c>
      <c r="W594" s="3" t="str">
        <f>IF(AND(data[[#This Row],[status]]="OK",data[[#This Row],[approach]]="atgt"),data[[#This Row],[asm_path]],"")</f>
        <v/>
      </c>
      <c r="X594" s="3" t="b">
        <f>COUNTIF(W:W,data[[#This Row],[path_ok_status_evoavalla]]) = 1</f>
        <v>0</v>
      </c>
    </row>
    <row r="595" spans="1:24" x14ac:dyDescent="0.25">
      <c r="A595" t="s">
        <v>1543</v>
      </c>
      <c r="B595" t="s">
        <v>1544</v>
      </c>
      <c r="C595" t="s">
        <v>637</v>
      </c>
      <c r="D595" t="s">
        <v>826</v>
      </c>
      <c r="E595" t="s">
        <v>636</v>
      </c>
      <c r="F595" t="s">
        <v>717</v>
      </c>
      <c r="G595" t="s">
        <v>668</v>
      </c>
      <c r="H595" t="s">
        <v>1545</v>
      </c>
      <c r="I595" t="s">
        <v>638</v>
      </c>
      <c r="J595" t="s">
        <v>632</v>
      </c>
      <c r="K595" s="2" t="s">
        <v>620</v>
      </c>
      <c r="L595" s="2" t="s">
        <v>620</v>
      </c>
      <c r="M595" s="2" t="s">
        <v>620</v>
      </c>
      <c r="N595" s="2" t="s">
        <v>620</v>
      </c>
      <c r="O595" t="s">
        <v>639</v>
      </c>
      <c r="P595" t="s">
        <v>639</v>
      </c>
      <c r="Q595" t="s">
        <v>639</v>
      </c>
      <c r="R595" t="s">
        <v>639</v>
      </c>
      <c r="S595" t="s">
        <v>639</v>
      </c>
      <c r="T595" t="s">
        <v>620</v>
      </c>
      <c r="U595" t="s">
        <v>620</v>
      </c>
      <c r="V595" s="3" t="str">
        <f>IF(AND(data[[#This Row],[status]]="OK",data[[#This Row],[approach]]="evoavalla"),data[[#This Row],[asm_path]],"")</f>
        <v/>
      </c>
      <c r="W595" s="3" t="str">
        <f>IF(AND(data[[#This Row],[status]]="OK",data[[#This Row],[approach]]="atgt"),data[[#This Row],[asm_path]],"")</f>
        <v/>
      </c>
      <c r="X595" s="3" t="b">
        <f>COUNTIF(W:W,data[[#This Row],[path_ok_status_evoavalla]]) = 1</f>
        <v>0</v>
      </c>
    </row>
    <row r="597" spans="1:24" x14ac:dyDescent="0.25">
      <c r="A597" s="1" t="s">
        <v>1653</v>
      </c>
      <c r="B597">
        <f>COUNTIFS(H:H,"=atgt")</f>
        <v>297</v>
      </c>
    </row>
    <row r="598" spans="1:24" x14ac:dyDescent="0.25">
      <c r="A598" s="1" t="s">
        <v>1652</v>
      </c>
      <c r="B598">
        <f>COUNTIFS(H:H,"=atgt",I:I,"=OK")</f>
        <v>52</v>
      </c>
    </row>
    <row r="600" spans="1:24" x14ac:dyDescent="0.25">
      <c r="A600" s="1" t="s">
        <v>1654</v>
      </c>
      <c r="B600">
        <f>COUNTIFS(H:H,"=evoavalla")</f>
        <v>297</v>
      </c>
    </row>
    <row r="601" spans="1:24" x14ac:dyDescent="0.25">
      <c r="A601" s="1" t="s">
        <v>1655</v>
      </c>
      <c r="B601">
        <f>COUNTIFS(H:H,"=evoavalla",I:I,"=OK")</f>
        <v>66</v>
      </c>
    </row>
    <row r="603" spans="1:24" x14ac:dyDescent="0.25">
      <c r="A603" s="1" t="s">
        <v>1656</v>
      </c>
      <c r="B603">
        <f>COUNTIF(X:X,"=VERO")</f>
        <v>41</v>
      </c>
    </row>
    <row r="604" spans="1:24" x14ac:dyDescent="0.25">
      <c r="A604" s="1"/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AA117-76B4-4D69-B957-785CE41779F4}">
  <dimension ref="A1:A595"/>
  <sheetViews>
    <sheetView workbookViewId="0"/>
  </sheetViews>
  <sheetFormatPr defaultRowHeight="15" x14ac:dyDescent="0.25"/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  <row r="10" spans="1:1" x14ac:dyDescent="0.25">
      <c r="A10" t="s">
        <v>9</v>
      </c>
    </row>
    <row r="11" spans="1:1" x14ac:dyDescent="0.25">
      <c r="A11" t="s">
        <v>10</v>
      </c>
    </row>
    <row r="12" spans="1:1" x14ac:dyDescent="0.25">
      <c r="A12" t="s">
        <v>11</v>
      </c>
    </row>
    <row r="13" spans="1:1" x14ac:dyDescent="0.25">
      <c r="A13" t="s">
        <v>12</v>
      </c>
    </row>
    <row r="14" spans="1:1" x14ac:dyDescent="0.25">
      <c r="A14" t="s">
        <v>13</v>
      </c>
    </row>
    <row r="15" spans="1:1" x14ac:dyDescent="0.25">
      <c r="A15" t="s">
        <v>14</v>
      </c>
    </row>
    <row r="16" spans="1:1" x14ac:dyDescent="0.25">
      <c r="A16" t="s">
        <v>15</v>
      </c>
    </row>
    <row r="17" spans="1:1" x14ac:dyDescent="0.25">
      <c r="A17" t="s">
        <v>16</v>
      </c>
    </row>
    <row r="18" spans="1:1" x14ac:dyDescent="0.25">
      <c r="A18" t="s">
        <v>17</v>
      </c>
    </row>
    <row r="19" spans="1:1" x14ac:dyDescent="0.25">
      <c r="A19" t="s">
        <v>18</v>
      </c>
    </row>
    <row r="20" spans="1:1" x14ac:dyDescent="0.25">
      <c r="A20" t="s">
        <v>19</v>
      </c>
    </row>
    <row r="21" spans="1:1" x14ac:dyDescent="0.25">
      <c r="A21" t="s">
        <v>20</v>
      </c>
    </row>
    <row r="22" spans="1:1" x14ac:dyDescent="0.25">
      <c r="A22" t="s">
        <v>21</v>
      </c>
    </row>
    <row r="23" spans="1:1" x14ac:dyDescent="0.25">
      <c r="A23" t="s">
        <v>22</v>
      </c>
    </row>
    <row r="24" spans="1:1" x14ac:dyDescent="0.25">
      <c r="A24" t="s">
        <v>23</v>
      </c>
    </row>
    <row r="25" spans="1:1" x14ac:dyDescent="0.25">
      <c r="A25" t="s">
        <v>24</v>
      </c>
    </row>
    <row r="26" spans="1:1" x14ac:dyDescent="0.25">
      <c r="A26" t="s">
        <v>25</v>
      </c>
    </row>
    <row r="27" spans="1:1" x14ac:dyDescent="0.25">
      <c r="A27" t="s">
        <v>26</v>
      </c>
    </row>
    <row r="28" spans="1:1" x14ac:dyDescent="0.25">
      <c r="A28" t="s">
        <v>27</v>
      </c>
    </row>
    <row r="29" spans="1:1" x14ac:dyDescent="0.25">
      <c r="A29" t="s">
        <v>28</v>
      </c>
    </row>
    <row r="30" spans="1:1" x14ac:dyDescent="0.25">
      <c r="A30" t="s">
        <v>29</v>
      </c>
    </row>
    <row r="31" spans="1:1" x14ac:dyDescent="0.25">
      <c r="A31" t="s">
        <v>30</v>
      </c>
    </row>
    <row r="32" spans="1:1" x14ac:dyDescent="0.25">
      <c r="A32" t="s">
        <v>31</v>
      </c>
    </row>
    <row r="33" spans="1:1" x14ac:dyDescent="0.25">
      <c r="A33" t="s">
        <v>32</v>
      </c>
    </row>
    <row r="34" spans="1:1" x14ac:dyDescent="0.25">
      <c r="A34" t="s">
        <v>33</v>
      </c>
    </row>
    <row r="35" spans="1:1" x14ac:dyDescent="0.25">
      <c r="A35" t="s">
        <v>34</v>
      </c>
    </row>
    <row r="36" spans="1:1" x14ac:dyDescent="0.25">
      <c r="A36" t="s">
        <v>35</v>
      </c>
    </row>
    <row r="37" spans="1:1" x14ac:dyDescent="0.25">
      <c r="A37" t="s">
        <v>36</v>
      </c>
    </row>
    <row r="38" spans="1:1" x14ac:dyDescent="0.25">
      <c r="A38" t="s">
        <v>37</v>
      </c>
    </row>
    <row r="39" spans="1:1" x14ac:dyDescent="0.25">
      <c r="A39" t="s">
        <v>38</v>
      </c>
    </row>
    <row r="40" spans="1:1" x14ac:dyDescent="0.25">
      <c r="A40" t="s">
        <v>39</v>
      </c>
    </row>
    <row r="41" spans="1:1" x14ac:dyDescent="0.25">
      <c r="A41" t="s">
        <v>40</v>
      </c>
    </row>
    <row r="42" spans="1:1" x14ac:dyDescent="0.25">
      <c r="A42" t="s">
        <v>41</v>
      </c>
    </row>
    <row r="43" spans="1:1" x14ac:dyDescent="0.25">
      <c r="A43" t="s">
        <v>42</v>
      </c>
    </row>
    <row r="44" spans="1:1" x14ac:dyDescent="0.25">
      <c r="A44" t="s">
        <v>43</v>
      </c>
    </row>
    <row r="45" spans="1:1" x14ac:dyDescent="0.25">
      <c r="A45" t="s">
        <v>44</v>
      </c>
    </row>
    <row r="46" spans="1:1" x14ac:dyDescent="0.25">
      <c r="A46" t="s">
        <v>45</v>
      </c>
    </row>
    <row r="47" spans="1:1" x14ac:dyDescent="0.25">
      <c r="A47" t="s">
        <v>46</v>
      </c>
    </row>
    <row r="48" spans="1:1" x14ac:dyDescent="0.25">
      <c r="A48" t="s">
        <v>47</v>
      </c>
    </row>
    <row r="49" spans="1:1" x14ac:dyDescent="0.25">
      <c r="A49" t="s">
        <v>48</v>
      </c>
    </row>
    <row r="50" spans="1:1" x14ac:dyDescent="0.25">
      <c r="A50" t="s">
        <v>49</v>
      </c>
    </row>
    <row r="51" spans="1:1" x14ac:dyDescent="0.25">
      <c r="A51" t="s">
        <v>50</v>
      </c>
    </row>
    <row r="52" spans="1:1" x14ac:dyDescent="0.25">
      <c r="A52" t="s">
        <v>51</v>
      </c>
    </row>
    <row r="53" spans="1:1" x14ac:dyDescent="0.25">
      <c r="A53" t="s">
        <v>52</v>
      </c>
    </row>
    <row r="54" spans="1:1" x14ac:dyDescent="0.25">
      <c r="A54" t="s">
        <v>53</v>
      </c>
    </row>
    <row r="55" spans="1:1" x14ac:dyDescent="0.25">
      <c r="A55" t="s">
        <v>54</v>
      </c>
    </row>
    <row r="56" spans="1:1" x14ac:dyDescent="0.25">
      <c r="A56" t="s">
        <v>55</v>
      </c>
    </row>
    <row r="57" spans="1:1" x14ac:dyDescent="0.25">
      <c r="A57" t="s">
        <v>56</v>
      </c>
    </row>
    <row r="58" spans="1:1" x14ac:dyDescent="0.25">
      <c r="A58" t="s">
        <v>57</v>
      </c>
    </row>
    <row r="59" spans="1:1" x14ac:dyDescent="0.25">
      <c r="A59" t="s">
        <v>58</v>
      </c>
    </row>
    <row r="60" spans="1:1" x14ac:dyDescent="0.25">
      <c r="A60" t="s">
        <v>59</v>
      </c>
    </row>
    <row r="61" spans="1:1" x14ac:dyDescent="0.25">
      <c r="A61" t="s">
        <v>60</v>
      </c>
    </row>
    <row r="62" spans="1:1" x14ac:dyDescent="0.25">
      <c r="A62" t="s">
        <v>61</v>
      </c>
    </row>
    <row r="63" spans="1:1" x14ac:dyDescent="0.25">
      <c r="A63" t="s">
        <v>62</v>
      </c>
    </row>
    <row r="64" spans="1:1" x14ac:dyDescent="0.25">
      <c r="A64" t="s">
        <v>63</v>
      </c>
    </row>
    <row r="65" spans="1:1" x14ac:dyDescent="0.25">
      <c r="A65" t="s">
        <v>64</v>
      </c>
    </row>
    <row r="66" spans="1:1" x14ac:dyDescent="0.25">
      <c r="A66" t="s">
        <v>65</v>
      </c>
    </row>
    <row r="67" spans="1:1" x14ac:dyDescent="0.25">
      <c r="A67" t="s">
        <v>66</v>
      </c>
    </row>
    <row r="68" spans="1:1" x14ac:dyDescent="0.25">
      <c r="A68" t="s">
        <v>67</v>
      </c>
    </row>
    <row r="69" spans="1:1" x14ac:dyDescent="0.25">
      <c r="A69" t="s">
        <v>68</v>
      </c>
    </row>
    <row r="70" spans="1:1" x14ac:dyDescent="0.25">
      <c r="A70" t="s">
        <v>69</v>
      </c>
    </row>
    <row r="71" spans="1:1" x14ac:dyDescent="0.25">
      <c r="A71" t="s">
        <v>70</v>
      </c>
    </row>
    <row r="72" spans="1:1" x14ac:dyDescent="0.25">
      <c r="A72" t="s">
        <v>71</v>
      </c>
    </row>
    <row r="73" spans="1:1" x14ac:dyDescent="0.25">
      <c r="A73" t="s">
        <v>72</v>
      </c>
    </row>
    <row r="74" spans="1:1" x14ac:dyDescent="0.25">
      <c r="A74" t="s">
        <v>73</v>
      </c>
    </row>
    <row r="75" spans="1:1" x14ac:dyDescent="0.25">
      <c r="A75" t="s">
        <v>74</v>
      </c>
    </row>
    <row r="76" spans="1:1" x14ac:dyDescent="0.25">
      <c r="A76" t="s">
        <v>75</v>
      </c>
    </row>
    <row r="77" spans="1:1" x14ac:dyDescent="0.25">
      <c r="A77" t="s">
        <v>76</v>
      </c>
    </row>
    <row r="78" spans="1:1" x14ac:dyDescent="0.25">
      <c r="A78" t="s">
        <v>77</v>
      </c>
    </row>
    <row r="79" spans="1:1" x14ac:dyDescent="0.25">
      <c r="A79" t="s">
        <v>78</v>
      </c>
    </row>
    <row r="80" spans="1:1" x14ac:dyDescent="0.25">
      <c r="A80" t="s">
        <v>79</v>
      </c>
    </row>
    <row r="81" spans="1:1" x14ac:dyDescent="0.25">
      <c r="A81" t="s">
        <v>80</v>
      </c>
    </row>
    <row r="82" spans="1:1" x14ac:dyDescent="0.25">
      <c r="A82" t="s">
        <v>81</v>
      </c>
    </row>
    <row r="83" spans="1:1" x14ac:dyDescent="0.25">
      <c r="A83" t="s">
        <v>82</v>
      </c>
    </row>
    <row r="84" spans="1:1" x14ac:dyDescent="0.25">
      <c r="A84" t="s">
        <v>83</v>
      </c>
    </row>
    <row r="85" spans="1:1" x14ac:dyDescent="0.25">
      <c r="A85" t="s">
        <v>84</v>
      </c>
    </row>
    <row r="86" spans="1:1" x14ac:dyDescent="0.25">
      <c r="A86" t="s">
        <v>85</v>
      </c>
    </row>
    <row r="87" spans="1:1" x14ac:dyDescent="0.25">
      <c r="A87" t="s">
        <v>86</v>
      </c>
    </row>
    <row r="88" spans="1:1" x14ac:dyDescent="0.25">
      <c r="A88" t="s">
        <v>87</v>
      </c>
    </row>
    <row r="89" spans="1:1" x14ac:dyDescent="0.25">
      <c r="A89" t="s">
        <v>88</v>
      </c>
    </row>
    <row r="90" spans="1:1" x14ac:dyDescent="0.25">
      <c r="A90" t="s">
        <v>89</v>
      </c>
    </row>
    <row r="91" spans="1:1" x14ac:dyDescent="0.25">
      <c r="A91" t="s">
        <v>90</v>
      </c>
    </row>
    <row r="92" spans="1:1" x14ac:dyDescent="0.25">
      <c r="A92" t="s">
        <v>91</v>
      </c>
    </row>
    <row r="93" spans="1:1" x14ac:dyDescent="0.25">
      <c r="A93" t="s">
        <v>92</v>
      </c>
    </row>
    <row r="94" spans="1:1" x14ac:dyDescent="0.25">
      <c r="A94" t="s">
        <v>93</v>
      </c>
    </row>
    <row r="95" spans="1:1" x14ac:dyDescent="0.25">
      <c r="A95" t="s">
        <v>94</v>
      </c>
    </row>
    <row r="96" spans="1:1" x14ac:dyDescent="0.25">
      <c r="A96" t="s">
        <v>95</v>
      </c>
    </row>
    <row r="97" spans="1:1" x14ac:dyDescent="0.25">
      <c r="A97" t="s">
        <v>96</v>
      </c>
    </row>
    <row r="98" spans="1:1" x14ac:dyDescent="0.25">
      <c r="A98" t="s">
        <v>97</v>
      </c>
    </row>
    <row r="99" spans="1:1" x14ac:dyDescent="0.25">
      <c r="A99" t="s">
        <v>98</v>
      </c>
    </row>
    <row r="100" spans="1:1" x14ac:dyDescent="0.25">
      <c r="A100" t="s">
        <v>99</v>
      </c>
    </row>
    <row r="101" spans="1:1" x14ac:dyDescent="0.25">
      <c r="A101" t="s">
        <v>100</v>
      </c>
    </row>
    <row r="102" spans="1:1" x14ac:dyDescent="0.25">
      <c r="A102" t="s">
        <v>101</v>
      </c>
    </row>
    <row r="103" spans="1:1" x14ac:dyDescent="0.25">
      <c r="A103" t="s">
        <v>102</v>
      </c>
    </row>
    <row r="104" spans="1:1" x14ac:dyDescent="0.25">
      <c r="A104" t="s">
        <v>103</v>
      </c>
    </row>
    <row r="105" spans="1:1" x14ac:dyDescent="0.25">
      <c r="A105" t="s">
        <v>104</v>
      </c>
    </row>
    <row r="106" spans="1:1" x14ac:dyDescent="0.25">
      <c r="A106" t="s">
        <v>105</v>
      </c>
    </row>
    <row r="107" spans="1:1" x14ac:dyDescent="0.25">
      <c r="A107" t="s">
        <v>106</v>
      </c>
    </row>
    <row r="108" spans="1:1" x14ac:dyDescent="0.25">
      <c r="A108" t="s">
        <v>107</v>
      </c>
    </row>
    <row r="109" spans="1:1" x14ac:dyDescent="0.25">
      <c r="A109" t="s">
        <v>108</v>
      </c>
    </row>
    <row r="110" spans="1:1" x14ac:dyDescent="0.25">
      <c r="A110" t="s">
        <v>109</v>
      </c>
    </row>
    <row r="111" spans="1:1" x14ac:dyDescent="0.25">
      <c r="A111" t="s">
        <v>110</v>
      </c>
    </row>
    <row r="112" spans="1:1" x14ac:dyDescent="0.25">
      <c r="A112" t="s">
        <v>111</v>
      </c>
    </row>
    <row r="113" spans="1:1" x14ac:dyDescent="0.25">
      <c r="A113" t="s">
        <v>112</v>
      </c>
    </row>
    <row r="114" spans="1:1" x14ac:dyDescent="0.25">
      <c r="A114" t="s">
        <v>113</v>
      </c>
    </row>
    <row r="115" spans="1:1" x14ac:dyDescent="0.25">
      <c r="A115" t="s">
        <v>114</v>
      </c>
    </row>
    <row r="116" spans="1:1" x14ac:dyDescent="0.25">
      <c r="A116" t="s">
        <v>115</v>
      </c>
    </row>
    <row r="117" spans="1:1" x14ac:dyDescent="0.25">
      <c r="A117" t="s">
        <v>116</v>
      </c>
    </row>
    <row r="118" spans="1:1" x14ac:dyDescent="0.25">
      <c r="A118" t="s">
        <v>117</v>
      </c>
    </row>
    <row r="119" spans="1:1" x14ac:dyDescent="0.25">
      <c r="A119" t="s">
        <v>118</v>
      </c>
    </row>
    <row r="120" spans="1:1" x14ac:dyDescent="0.25">
      <c r="A120" t="s">
        <v>119</v>
      </c>
    </row>
    <row r="121" spans="1:1" x14ac:dyDescent="0.25">
      <c r="A121" t="s">
        <v>120</v>
      </c>
    </row>
    <row r="122" spans="1:1" x14ac:dyDescent="0.25">
      <c r="A122" t="s">
        <v>121</v>
      </c>
    </row>
    <row r="123" spans="1:1" x14ac:dyDescent="0.25">
      <c r="A123" t="s">
        <v>122</v>
      </c>
    </row>
    <row r="124" spans="1:1" x14ac:dyDescent="0.25">
      <c r="A124" t="s">
        <v>123</v>
      </c>
    </row>
    <row r="125" spans="1:1" x14ac:dyDescent="0.25">
      <c r="A125" t="s">
        <v>124</v>
      </c>
    </row>
    <row r="126" spans="1:1" x14ac:dyDescent="0.25">
      <c r="A126" t="s">
        <v>125</v>
      </c>
    </row>
    <row r="127" spans="1:1" x14ac:dyDescent="0.25">
      <c r="A127" t="s">
        <v>126</v>
      </c>
    </row>
    <row r="128" spans="1:1" x14ac:dyDescent="0.25">
      <c r="A128" t="s">
        <v>127</v>
      </c>
    </row>
    <row r="129" spans="1:1" x14ac:dyDescent="0.25">
      <c r="A129" t="s">
        <v>128</v>
      </c>
    </row>
    <row r="130" spans="1:1" x14ac:dyDescent="0.25">
      <c r="A130" t="s">
        <v>129</v>
      </c>
    </row>
    <row r="131" spans="1:1" x14ac:dyDescent="0.25">
      <c r="A131" t="s">
        <v>130</v>
      </c>
    </row>
    <row r="132" spans="1:1" x14ac:dyDescent="0.25">
      <c r="A132" t="s">
        <v>131</v>
      </c>
    </row>
    <row r="133" spans="1:1" x14ac:dyDescent="0.25">
      <c r="A133" t="s">
        <v>132</v>
      </c>
    </row>
    <row r="134" spans="1:1" x14ac:dyDescent="0.25">
      <c r="A134" t="s">
        <v>133</v>
      </c>
    </row>
    <row r="135" spans="1:1" x14ac:dyDescent="0.25">
      <c r="A135" t="s">
        <v>134</v>
      </c>
    </row>
    <row r="136" spans="1:1" x14ac:dyDescent="0.25">
      <c r="A136" t="s">
        <v>135</v>
      </c>
    </row>
    <row r="137" spans="1:1" x14ac:dyDescent="0.25">
      <c r="A137" t="s">
        <v>136</v>
      </c>
    </row>
    <row r="138" spans="1:1" x14ac:dyDescent="0.25">
      <c r="A138" t="s">
        <v>137</v>
      </c>
    </row>
    <row r="139" spans="1:1" x14ac:dyDescent="0.25">
      <c r="A139" t="s">
        <v>138</v>
      </c>
    </row>
    <row r="140" spans="1:1" x14ac:dyDescent="0.25">
      <c r="A140" t="s">
        <v>139</v>
      </c>
    </row>
    <row r="141" spans="1:1" x14ac:dyDescent="0.25">
      <c r="A141" t="s">
        <v>140</v>
      </c>
    </row>
    <row r="142" spans="1:1" x14ac:dyDescent="0.25">
      <c r="A142" t="s">
        <v>141</v>
      </c>
    </row>
    <row r="143" spans="1:1" x14ac:dyDescent="0.25">
      <c r="A143" t="s">
        <v>142</v>
      </c>
    </row>
    <row r="144" spans="1:1" x14ac:dyDescent="0.25">
      <c r="A144" t="s">
        <v>143</v>
      </c>
    </row>
    <row r="145" spans="1:1" x14ac:dyDescent="0.25">
      <c r="A145" t="s">
        <v>144</v>
      </c>
    </row>
    <row r="146" spans="1:1" x14ac:dyDescent="0.25">
      <c r="A146" t="s">
        <v>145</v>
      </c>
    </row>
    <row r="147" spans="1:1" x14ac:dyDescent="0.25">
      <c r="A147" t="s">
        <v>146</v>
      </c>
    </row>
    <row r="148" spans="1:1" x14ac:dyDescent="0.25">
      <c r="A148" t="s">
        <v>147</v>
      </c>
    </row>
    <row r="149" spans="1:1" x14ac:dyDescent="0.25">
      <c r="A149" t="s">
        <v>148</v>
      </c>
    </row>
    <row r="150" spans="1:1" x14ac:dyDescent="0.25">
      <c r="A150" t="s">
        <v>149</v>
      </c>
    </row>
    <row r="151" spans="1:1" x14ac:dyDescent="0.25">
      <c r="A151" t="s">
        <v>150</v>
      </c>
    </row>
    <row r="152" spans="1:1" x14ac:dyDescent="0.25">
      <c r="A152" t="s">
        <v>151</v>
      </c>
    </row>
    <row r="153" spans="1:1" x14ac:dyDescent="0.25">
      <c r="A153" t="s">
        <v>152</v>
      </c>
    </row>
    <row r="154" spans="1:1" x14ac:dyDescent="0.25">
      <c r="A154" t="s">
        <v>153</v>
      </c>
    </row>
    <row r="155" spans="1:1" x14ac:dyDescent="0.25">
      <c r="A155" t="s">
        <v>154</v>
      </c>
    </row>
    <row r="156" spans="1:1" x14ac:dyDescent="0.25">
      <c r="A156" t="s">
        <v>155</v>
      </c>
    </row>
    <row r="157" spans="1:1" x14ac:dyDescent="0.25">
      <c r="A157" t="s">
        <v>156</v>
      </c>
    </row>
    <row r="158" spans="1:1" x14ac:dyDescent="0.25">
      <c r="A158" t="s">
        <v>157</v>
      </c>
    </row>
    <row r="159" spans="1:1" x14ac:dyDescent="0.25">
      <c r="A159" t="s">
        <v>158</v>
      </c>
    </row>
    <row r="160" spans="1:1" x14ac:dyDescent="0.25">
      <c r="A160" t="s">
        <v>159</v>
      </c>
    </row>
    <row r="161" spans="1:1" x14ac:dyDescent="0.25">
      <c r="A161" t="s">
        <v>160</v>
      </c>
    </row>
    <row r="162" spans="1:1" x14ac:dyDescent="0.25">
      <c r="A162" t="s">
        <v>161</v>
      </c>
    </row>
    <row r="163" spans="1:1" x14ac:dyDescent="0.25">
      <c r="A163" t="s">
        <v>162</v>
      </c>
    </row>
    <row r="164" spans="1:1" x14ac:dyDescent="0.25">
      <c r="A164" t="s">
        <v>163</v>
      </c>
    </row>
    <row r="165" spans="1:1" x14ac:dyDescent="0.25">
      <c r="A165" t="s">
        <v>164</v>
      </c>
    </row>
    <row r="166" spans="1:1" x14ac:dyDescent="0.25">
      <c r="A166" t="s">
        <v>165</v>
      </c>
    </row>
    <row r="167" spans="1:1" x14ac:dyDescent="0.25">
      <c r="A167" t="s">
        <v>166</v>
      </c>
    </row>
    <row r="168" spans="1:1" x14ac:dyDescent="0.25">
      <c r="A168" t="s">
        <v>167</v>
      </c>
    </row>
    <row r="169" spans="1:1" x14ac:dyDescent="0.25">
      <c r="A169" t="s">
        <v>168</v>
      </c>
    </row>
    <row r="170" spans="1:1" x14ac:dyDescent="0.25">
      <c r="A170" t="s">
        <v>169</v>
      </c>
    </row>
    <row r="171" spans="1:1" x14ac:dyDescent="0.25">
      <c r="A171" t="s">
        <v>170</v>
      </c>
    </row>
    <row r="172" spans="1:1" x14ac:dyDescent="0.25">
      <c r="A172" t="s">
        <v>171</v>
      </c>
    </row>
    <row r="173" spans="1:1" x14ac:dyDescent="0.25">
      <c r="A173" t="s">
        <v>172</v>
      </c>
    </row>
    <row r="174" spans="1:1" x14ac:dyDescent="0.25">
      <c r="A174" t="s">
        <v>173</v>
      </c>
    </row>
    <row r="175" spans="1:1" x14ac:dyDescent="0.25">
      <c r="A175" t="s">
        <v>174</v>
      </c>
    </row>
    <row r="176" spans="1:1" x14ac:dyDescent="0.25">
      <c r="A176" t="s">
        <v>175</v>
      </c>
    </row>
    <row r="177" spans="1:1" x14ac:dyDescent="0.25">
      <c r="A177" t="s">
        <v>176</v>
      </c>
    </row>
    <row r="178" spans="1:1" x14ac:dyDescent="0.25">
      <c r="A178" t="s">
        <v>177</v>
      </c>
    </row>
    <row r="179" spans="1:1" x14ac:dyDescent="0.25">
      <c r="A179" t="s">
        <v>178</v>
      </c>
    </row>
    <row r="180" spans="1:1" x14ac:dyDescent="0.25">
      <c r="A180" t="s">
        <v>179</v>
      </c>
    </row>
    <row r="181" spans="1:1" x14ac:dyDescent="0.25">
      <c r="A181" t="s">
        <v>180</v>
      </c>
    </row>
    <row r="182" spans="1:1" x14ac:dyDescent="0.25">
      <c r="A182" t="s">
        <v>181</v>
      </c>
    </row>
    <row r="183" spans="1:1" x14ac:dyDescent="0.25">
      <c r="A183" t="s">
        <v>182</v>
      </c>
    </row>
    <row r="184" spans="1:1" x14ac:dyDescent="0.25">
      <c r="A184" t="s">
        <v>183</v>
      </c>
    </row>
    <row r="185" spans="1:1" x14ac:dyDescent="0.25">
      <c r="A185" t="s">
        <v>184</v>
      </c>
    </row>
    <row r="186" spans="1:1" x14ac:dyDescent="0.25">
      <c r="A186" t="s">
        <v>185</v>
      </c>
    </row>
    <row r="187" spans="1:1" x14ac:dyDescent="0.25">
      <c r="A187" t="s">
        <v>186</v>
      </c>
    </row>
    <row r="188" spans="1:1" x14ac:dyDescent="0.25">
      <c r="A188" t="s">
        <v>187</v>
      </c>
    </row>
    <row r="189" spans="1:1" x14ac:dyDescent="0.25">
      <c r="A189" t="s">
        <v>188</v>
      </c>
    </row>
    <row r="190" spans="1:1" x14ac:dyDescent="0.25">
      <c r="A190" t="s">
        <v>189</v>
      </c>
    </row>
    <row r="191" spans="1:1" x14ac:dyDescent="0.25">
      <c r="A191" t="s">
        <v>190</v>
      </c>
    </row>
    <row r="192" spans="1:1" x14ac:dyDescent="0.25">
      <c r="A192" t="s">
        <v>191</v>
      </c>
    </row>
    <row r="193" spans="1:1" x14ac:dyDescent="0.25">
      <c r="A193" t="s">
        <v>192</v>
      </c>
    </row>
    <row r="194" spans="1:1" x14ac:dyDescent="0.25">
      <c r="A194" t="s">
        <v>193</v>
      </c>
    </row>
    <row r="195" spans="1:1" x14ac:dyDescent="0.25">
      <c r="A195" t="s">
        <v>194</v>
      </c>
    </row>
    <row r="196" spans="1:1" x14ac:dyDescent="0.25">
      <c r="A196" t="s">
        <v>195</v>
      </c>
    </row>
    <row r="197" spans="1:1" x14ac:dyDescent="0.25">
      <c r="A197" t="s">
        <v>196</v>
      </c>
    </row>
    <row r="198" spans="1:1" x14ac:dyDescent="0.25">
      <c r="A198" t="s">
        <v>197</v>
      </c>
    </row>
    <row r="199" spans="1:1" x14ac:dyDescent="0.25">
      <c r="A199" t="s">
        <v>198</v>
      </c>
    </row>
    <row r="200" spans="1:1" x14ac:dyDescent="0.25">
      <c r="A200" t="s">
        <v>199</v>
      </c>
    </row>
    <row r="201" spans="1:1" x14ac:dyDescent="0.25">
      <c r="A201" t="s">
        <v>200</v>
      </c>
    </row>
    <row r="202" spans="1:1" x14ac:dyDescent="0.25">
      <c r="A202" t="s">
        <v>201</v>
      </c>
    </row>
    <row r="203" spans="1:1" x14ac:dyDescent="0.25">
      <c r="A203" t="s">
        <v>202</v>
      </c>
    </row>
    <row r="204" spans="1:1" x14ac:dyDescent="0.25">
      <c r="A204" t="s">
        <v>203</v>
      </c>
    </row>
    <row r="205" spans="1:1" x14ac:dyDescent="0.25">
      <c r="A205" t="s">
        <v>204</v>
      </c>
    </row>
    <row r="206" spans="1:1" x14ac:dyDescent="0.25">
      <c r="A206" t="s">
        <v>205</v>
      </c>
    </row>
    <row r="207" spans="1:1" x14ac:dyDescent="0.25">
      <c r="A207" t="s">
        <v>206</v>
      </c>
    </row>
    <row r="208" spans="1:1" x14ac:dyDescent="0.25">
      <c r="A208" t="s">
        <v>207</v>
      </c>
    </row>
    <row r="209" spans="1:1" x14ac:dyDescent="0.25">
      <c r="A209" t="s">
        <v>208</v>
      </c>
    </row>
    <row r="210" spans="1:1" x14ac:dyDescent="0.25">
      <c r="A210" t="s">
        <v>209</v>
      </c>
    </row>
    <row r="211" spans="1:1" x14ac:dyDescent="0.25">
      <c r="A211" t="s">
        <v>210</v>
      </c>
    </row>
    <row r="212" spans="1:1" x14ac:dyDescent="0.25">
      <c r="A212" t="s">
        <v>211</v>
      </c>
    </row>
    <row r="213" spans="1:1" x14ac:dyDescent="0.25">
      <c r="A213" t="s">
        <v>212</v>
      </c>
    </row>
    <row r="214" spans="1:1" x14ac:dyDescent="0.25">
      <c r="A214" t="s">
        <v>213</v>
      </c>
    </row>
    <row r="215" spans="1:1" x14ac:dyDescent="0.25">
      <c r="A215" t="s">
        <v>214</v>
      </c>
    </row>
    <row r="216" spans="1:1" x14ac:dyDescent="0.25">
      <c r="A216" t="s">
        <v>215</v>
      </c>
    </row>
    <row r="217" spans="1:1" x14ac:dyDescent="0.25">
      <c r="A217" t="s">
        <v>216</v>
      </c>
    </row>
    <row r="218" spans="1:1" x14ac:dyDescent="0.25">
      <c r="A218" t="s">
        <v>217</v>
      </c>
    </row>
    <row r="219" spans="1:1" x14ac:dyDescent="0.25">
      <c r="A219" t="s">
        <v>218</v>
      </c>
    </row>
    <row r="220" spans="1:1" x14ac:dyDescent="0.25">
      <c r="A220" t="s">
        <v>219</v>
      </c>
    </row>
    <row r="221" spans="1:1" x14ac:dyDescent="0.25">
      <c r="A221" t="s">
        <v>220</v>
      </c>
    </row>
    <row r="222" spans="1:1" x14ac:dyDescent="0.25">
      <c r="A222" t="s">
        <v>221</v>
      </c>
    </row>
    <row r="223" spans="1:1" x14ac:dyDescent="0.25">
      <c r="A223" t="s">
        <v>222</v>
      </c>
    </row>
    <row r="224" spans="1:1" x14ac:dyDescent="0.25">
      <c r="A224" t="s">
        <v>223</v>
      </c>
    </row>
    <row r="225" spans="1:1" x14ac:dyDescent="0.25">
      <c r="A225" t="s">
        <v>224</v>
      </c>
    </row>
    <row r="226" spans="1:1" x14ac:dyDescent="0.25">
      <c r="A226" t="s">
        <v>225</v>
      </c>
    </row>
    <row r="227" spans="1:1" x14ac:dyDescent="0.25">
      <c r="A227" t="s">
        <v>226</v>
      </c>
    </row>
    <row r="228" spans="1:1" x14ac:dyDescent="0.25">
      <c r="A228" t="s">
        <v>227</v>
      </c>
    </row>
    <row r="229" spans="1:1" x14ac:dyDescent="0.25">
      <c r="A229" t="s">
        <v>228</v>
      </c>
    </row>
    <row r="230" spans="1:1" x14ac:dyDescent="0.25">
      <c r="A230" t="s">
        <v>229</v>
      </c>
    </row>
    <row r="231" spans="1:1" x14ac:dyDescent="0.25">
      <c r="A231" t="s">
        <v>230</v>
      </c>
    </row>
    <row r="232" spans="1:1" x14ac:dyDescent="0.25">
      <c r="A232" t="s">
        <v>231</v>
      </c>
    </row>
    <row r="233" spans="1:1" x14ac:dyDescent="0.25">
      <c r="A233" t="s">
        <v>232</v>
      </c>
    </row>
    <row r="234" spans="1:1" x14ac:dyDescent="0.25">
      <c r="A234" t="s">
        <v>233</v>
      </c>
    </row>
    <row r="235" spans="1:1" x14ac:dyDescent="0.25">
      <c r="A235" t="s">
        <v>234</v>
      </c>
    </row>
    <row r="236" spans="1:1" x14ac:dyDescent="0.25">
      <c r="A236" t="s">
        <v>235</v>
      </c>
    </row>
    <row r="237" spans="1:1" x14ac:dyDescent="0.25">
      <c r="A237" t="s">
        <v>236</v>
      </c>
    </row>
    <row r="238" spans="1:1" x14ac:dyDescent="0.25">
      <c r="A238" t="s">
        <v>237</v>
      </c>
    </row>
    <row r="239" spans="1:1" x14ac:dyDescent="0.25">
      <c r="A239" t="s">
        <v>238</v>
      </c>
    </row>
    <row r="240" spans="1:1" x14ac:dyDescent="0.25">
      <c r="A240" t="s">
        <v>239</v>
      </c>
    </row>
    <row r="241" spans="1:1" x14ac:dyDescent="0.25">
      <c r="A241" t="s">
        <v>240</v>
      </c>
    </row>
    <row r="242" spans="1:1" x14ac:dyDescent="0.25">
      <c r="A242" t="s">
        <v>241</v>
      </c>
    </row>
    <row r="243" spans="1:1" x14ac:dyDescent="0.25">
      <c r="A243" t="s">
        <v>242</v>
      </c>
    </row>
    <row r="244" spans="1:1" x14ac:dyDescent="0.25">
      <c r="A244" t="s">
        <v>243</v>
      </c>
    </row>
    <row r="245" spans="1:1" x14ac:dyDescent="0.25">
      <c r="A245" t="s">
        <v>244</v>
      </c>
    </row>
    <row r="246" spans="1:1" x14ac:dyDescent="0.25">
      <c r="A246" t="s">
        <v>245</v>
      </c>
    </row>
    <row r="247" spans="1:1" x14ac:dyDescent="0.25">
      <c r="A247" t="s">
        <v>246</v>
      </c>
    </row>
    <row r="248" spans="1:1" x14ac:dyDescent="0.25">
      <c r="A248" t="s">
        <v>247</v>
      </c>
    </row>
    <row r="249" spans="1:1" x14ac:dyDescent="0.25">
      <c r="A249" t="s">
        <v>248</v>
      </c>
    </row>
    <row r="250" spans="1:1" x14ac:dyDescent="0.25">
      <c r="A250" t="s">
        <v>249</v>
      </c>
    </row>
    <row r="251" spans="1:1" x14ac:dyDescent="0.25">
      <c r="A251" t="s">
        <v>250</v>
      </c>
    </row>
    <row r="252" spans="1:1" x14ac:dyDescent="0.25">
      <c r="A252" t="s">
        <v>251</v>
      </c>
    </row>
    <row r="253" spans="1:1" x14ac:dyDescent="0.25">
      <c r="A253" t="s">
        <v>252</v>
      </c>
    </row>
    <row r="254" spans="1:1" x14ac:dyDescent="0.25">
      <c r="A254" t="s">
        <v>253</v>
      </c>
    </row>
    <row r="255" spans="1:1" x14ac:dyDescent="0.25">
      <c r="A255" t="s">
        <v>254</v>
      </c>
    </row>
    <row r="256" spans="1:1" x14ac:dyDescent="0.25">
      <c r="A256" t="s">
        <v>255</v>
      </c>
    </row>
    <row r="257" spans="1:1" x14ac:dyDescent="0.25">
      <c r="A257" t="s">
        <v>256</v>
      </c>
    </row>
    <row r="258" spans="1:1" x14ac:dyDescent="0.25">
      <c r="A258" t="s">
        <v>257</v>
      </c>
    </row>
    <row r="259" spans="1:1" x14ac:dyDescent="0.25">
      <c r="A259" t="s">
        <v>258</v>
      </c>
    </row>
    <row r="260" spans="1:1" x14ac:dyDescent="0.25">
      <c r="A260" t="s">
        <v>259</v>
      </c>
    </row>
    <row r="261" spans="1:1" x14ac:dyDescent="0.25">
      <c r="A261" t="s">
        <v>260</v>
      </c>
    </row>
    <row r="262" spans="1:1" x14ac:dyDescent="0.25">
      <c r="A262" t="s">
        <v>261</v>
      </c>
    </row>
    <row r="263" spans="1:1" x14ac:dyDescent="0.25">
      <c r="A263" t="s">
        <v>262</v>
      </c>
    </row>
    <row r="264" spans="1:1" x14ac:dyDescent="0.25">
      <c r="A264" t="s">
        <v>263</v>
      </c>
    </row>
    <row r="265" spans="1:1" x14ac:dyDescent="0.25">
      <c r="A265" t="s">
        <v>264</v>
      </c>
    </row>
    <row r="266" spans="1:1" x14ac:dyDescent="0.25">
      <c r="A266" t="s">
        <v>265</v>
      </c>
    </row>
    <row r="267" spans="1:1" x14ac:dyDescent="0.25">
      <c r="A267" t="s">
        <v>266</v>
      </c>
    </row>
    <row r="268" spans="1:1" x14ac:dyDescent="0.25">
      <c r="A268" t="s">
        <v>267</v>
      </c>
    </row>
    <row r="269" spans="1:1" x14ac:dyDescent="0.25">
      <c r="A269" t="s">
        <v>268</v>
      </c>
    </row>
    <row r="270" spans="1:1" x14ac:dyDescent="0.25">
      <c r="A270" t="s">
        <v>269</v>
      </c>
    </row>
    <row r="271" spans="1:1" x14ac:dyDescent="0.25">
      <c r="A271" t="s">
        <v>270</v>
      </c>
    </row>
    <row r="272" spans="1:1" x14ac:dyDescent="0.25">
      <c r="A272" t="s">
        <v>271</v>
      </c>
    </row>
    <row r="273" spans="1:1" x14ac:dyDescent="0.25">
      <c r="A273" t="s">
        <v>272</v>
      </c>
    </row>
    <row r="274" spans="1:1" x14ac:dyDescent="0.25">
      <c r="A274" t="s">
        <v>273</v>
      </c>
    </row>
    <row r="275" spans="1:1" x14ac:dyDescent="0.25">
      <c r="A275" t="s">
        <v>274</v>
      </c>
    </row>
    <row r="276" spans="1:1" x14ac:dyDescent="0.25">
      <c r="A276" t="s">
        <v>275</v>
      </c>
    </row>
    <row r="277" spans="1:1" x14ac:dyDescent="0.25">
      <c r="A277" t="s">
        <v>276</v>
      </c>
    </row>
    <row r="278" spans="1:1" x14ac:dyDescent="0.25">
      <c r="A278" t="s">
        <v>277</v>
      </c>
    </row>
    <row r="279" spans="1:1" x14ac:dyDescent="0.25">
      <c r="A279" t="s">
        <v>278</v>
      </c>
    </row>
    <row r="280" spans="1:1" x14ac:dyDescent="0.25">
      <c r="A280" t="s">
        <v>279</v>
      </c>
    </row>
    <row r="281" spans="1:1" x14ac:dyDescent="0.25">
      <c r="A281" t="s">
        <v>280</v>
      </c>
    </row>
    <row r="282" spans="1:1" x14ac:dyDescent="0.25">
      <c r="A282" t="s">
        <v>281</v>
      </c>
    </row>
    <row r="283" spans="1:1" x14ac:dyDescent="0.25">
      <c r="A283" t="s">
        <v>282</v>
      </c>
    </row>
    <row r="284" spans="1:1" x14ac:dyDescent="0.25">
      <c r="A284" t="s">
        <v>283</v>
      </c>
    </row>
    <row r="285" spans="1:1" x14ac:dyDescent="0.25">
      <c r="A285" t="s">
        <v>284</v>
      </c>
    </row>
    <row r="286" spans="1:1" x14ac:dyDescent="0.25">
      <c r="A286" t="s">
        <v>285</v>
      </c>
    </row>
    <row r="287" spans="1:1" x14ac:dyDescent="0.25">
      <c r="A287" t="s">
        <v>286</v>
      </c>
    </row>
    <row r="288" spans="1:1" x14ac:dyDescent="0.25">
      <c r="A288" t="s">
        <v>287</v>
      </c>
    </row>
    <row r="289" spans="1:1" x14ac:dyDescent="0.25">
      <c r="A289" t="s">
        <v>288</v>
      </c>
    </row>
    <row r="290" spans="1:1" x14ac:dyDescent="0.25">
      <c r="A290" t="s">
        <v>289</v>
      </c>
    </row>
    <row r="291" spans="1:1" x14ac:dyDescent="0.25">
      <c r="A291" t="s">
        <v>290</v>
      </c>
    </row>
    <row r="292" spans="1:1" x14ac:dyDescent="0.25">
      <c r="A292" t="s">
        <v>291</v>
      </c>
    </row>
    <row r="293" spans="1:1" x14ac:dyDescent="0.25">
      <c r="A293" t="s">
        <v>292</v>
      </c>
    </row>
    <row r="294" spans="1:1" x14ac:dyDescent="0.25">
      <c r="A294" t="s">
        <v>293</v>
      </c>
    </row>
    <row r="295" spans="1:1" x14ac:dyDescent="0.25">
      <c r="A295" t="s">
        <v>294</v>
      </c>
    </row>
    <row r="296" spans="1:1" x14ac:dyDescent="0.25">
      <c r="A296" t="s">
        <v>295</v>
      </c>
    </row>
    <row r="297" spans="1:1" x14ac:dyDescent="0.25">
      <c r="A297" t="s">
        <v>296</v>
      </c>
    </row>
    <row r="298" spans="1:1" x14ac:dyDescent="0.25">
      <c r="A298" t="s">
        <v>297</v>
      </c>
    </row>
    <row r="299" spans="1:1" x14ac:dyDescent="0.25">
      <c r="A299" t="s">
        <v>298</v>
      </c>
    </row>
    <row r="300" spans="1:1" x14ac:dyDescent="0.25">
      <c r="A300" t="s">
        <v>299</v>
      </c>
    </row>
    <row r="301" spans="1:1" x14ac:dyDescent="0.25">
      <c r="A301" t="s">
        <v>300</v>
      </c>
    </row>
    <row r="302" spans="1:1" x14ac:dyDescent="0.25">
      <c r="A302" t="s">
        <v>301</v>
      </c>
    </row>
    <row r="303" spans="1:1" x14ac:dyDescent="0.25">
      <c r="A303" t="s">
        <v>302</v>
      </c>
    </row>
    <row r="304" spans="1:1" x14ac:dyDescent="0.25">
      <c r="A304" t="s">
        <v>303</v>
      </c>
    </row>
    <row r="305" spans="1:1" x14ac:dyDescent="0.25">
      <c r="A305" t="s">
        <v>304</v>
      </c>
    </row>
    <row r="306" spans="1:1" x14ac:dyDescent="0.25">
      <c r="A306" t="s">
        <v>305</v>
      </c>
    </row>
    <row r="307" spans="1:1" x14ac:dyDescent="0.25">
      <c r="A307" t="s">
        <v>306</v>
      </c>
    </row>
    <row r="308" spans="1:1" x14ac:dyDescent="0.25">
      <c r="A308" t="s">
        <v>307</v>
      </c>
    </row>
    <row r="309" spans="1:1" x14ac:dyDescent="0.25">
      <c r="A309" t="s">
        <v>308</v>
      </c>
    </row>
    <row r="310" spans="1:1" x14ac:dyDescent="0.25">
      <c r="A310" t="s">
        <v>309</v>
      </c>
    </row>
    <row r="311" spans="1:1" x14ac:dyDescent="0.25">
      <c r="A311" t="s">
        <v>310</v>
      </c>
    </row>
    <row r="312" spans="1:1" x14ac:dyDescent="0.25">
      <c r="A312" t="s">
        <v>311</v>
      </c>
    </row>
    <row r="313" spans="1:1" x14ac:dyDescent="0.25">
      <c r="A313" t="s">
        <v>312</v>
      </c>
    </row>
    <row r="314" spans="1:1" x14ac:dyDescent="0.25">
      <c r="A314" t="s">
        <v>313</v>
      </c>
    </row>
    <row r="315" spans="1:1" x14ac:dyDescent="0.25">
      <c r="A315" t="s">
        <v>314</v>
      </c>
    </row>
    <row r="316" spans="1:1" x14ac:dyDescent="0.25">
      <c r="A316" t="s">
        <v>315</v>
      </c>
    </row>
    <row r="317" spans="1:1" x14ac:dyDescent="0.25">
      <c r="A317" t="s">
        <v>316</v>
      </c>
    </row>
    <row r="318" spans="1:1" x14ac:dyDescent="0.25">
      <c r="A318" t="s">
        <v>317</v>
      </c>
    </row>
    <row r="319" spans="1:1" x14ac:dyDescent="0.25">
      <c r="A319" t="s">
        <v>318</v>
      </c>
    </row>
    <row r="320" spans="1:1" x14ac:dyDescent="0.25">
      <c r="A320" t="s">
        <v>319</v>
      </c>
    </row>
    <row r="321" spans="1:1" x14ac:dyDescent="0.25">
      <c r="A321" t="s">
        <v>320</v>
      </c>
    </row>
    <row r="322" spans="1:1" x14ac:dyDescent="0.25">
      <c r="A322" t="s">
        <v>321</v>
      </c>
    </row>
    <row r="323" spans="1:1" x14ac:dyDescent="0.25">
      <c r="A323" t="s">
        <v>322</v>
      </c>
    </row>
    <row r="324" spans="1:1" x14ac:dyDescent="0.25">
      <c r="A324" t="s">
        <v>323</v>
      </c>
    </row>
    <row r="325" spans="1:1" x14ac:dyDescent="0.25">
      <c r="A325" t="s">
        <v>324</v>
      </c>
    </row>
    <row r="326" spans="1:1" x14ac:dyDescent="0.25">
      <c r="A326" t="s">
        <v>325</v>
      </c>
    </row>
    <row r="327" spans="1:1" x14ac:dyDescent="0.25">
      <c r="A327" t="s">
        <v>326</v>
      </c>
    </row>
    <row r="328" spans="1:1" x14ac:dyDescent="0.25">
      <c r="A328" t="s">
        <v>327</v>
      </c>
    </row>
    <row r="329" spans="1:1" x14ac:dyDescent="0.25">
      <c r="A329" t="s">
        <v>328</v>
      </c>
    </row>
    <row r="330" spans="1:1" x14ac:dyDescent="0.25">
      <c r="A330" t="s">
        <v>329</v>
      </c>
    </row>
    <row r="331" spans="1:1" x14ac:dyDescent="0.25">
      <c r="A331" t="s">
        <v>330</v>
      </c>
    </row>
    <row r="332" spans="1:1" x14ac:dyDescent="0.25">
      <c r="A332" t="s">
        <v>331</v>
      </c>
    </row>
    <row r="333" spans="1:1" x14ac:dyDescent="0.25">
      <c r="A333" t="s">
        <v>332</v>
      </c>
    </row>
    <row r="334" spans="1:1" x14ac:dyDescent="0.25">
      <c r="A334" t="s">
        <v>333</v>
      </c>
    </row>
    <row r="335" spans="1:1" x14ac:dyDescent="0.25">
      <c r="A335" t="s">
        <v>334</v>
      </c>
    </row>
    <row r="336" spans="1:1" x14ac:dyDescent="0.25">
      <c r="A336" t="s">
        <v>335</v>
      </c>
    </row>
    <row r="337" spans="1:1" x14ac:dyDescent="0.25">
      <c r="A337" t="s">
        <v>336</v>
      </c>
    </row>
    <row r="338" spans="1:1" x14ac:dyDescent="0.25">
      <c r="A338" t="s">
        <v>337</v>
      </c>
    </row>
    <row r="339" spans="1:1" x14ac:dyDescent="0.25">
      <c r="A339" t="s">
        <v>338</v>
      </c>
    </row>
    <row r="340" spans="1:1" x14ac:dyDescent="0.25">
      <c r="A340" t="s">
        <v>339</v>
      </c>
    </row>
    <row r="341" spans="1:1" x14ac:dyDescent="0.25">
      <c r="A341" t="s">
        <v>340</v>
      </c>
    </row>
    <row r="342" spans="1:1" x14ac:dyDescent="0.25">
      <c r="A342" t="s">
        <v>341</v>
      </c>
    </row>
    <row r="343" spans="1:1" x14ac:dyDescent="0.25">
      <c r="A343" t="s">
        <v>342</v>
      </c>
    </row>
    <row r="344" spans="1:1" x14ac:dyDescent="0.25">
      <c r="A344" t="s">
        <v>343</v>
      </c>
    </row>
    <row r="345" spans="1:1" x14ac:dyDescent="0.25">
      <c r="A345" t="s">
        <v>344</v>
      </c>
    </row>
    <row r="346" spans="1:1" x14ac:dyDescent="0.25">
      <c r="A346" t="s">
        <v>345</v>
      </c>
    </row>
    <row r="347" spans="1:1" x14ac:dyDescent="0.25">
      <c r="A347" t="s">
        <v>346</v>
      </c>
    </row>
    <row r="348" spans="1:1" x14ac:dyDescent="0.25">
      <c r="A348" t="s">
        <v>347</v>
      </c>
    </row>
    <row r="349" spans="1:1" x14ac:dyDescent="0.25">
      <c r="A349" t="s">
        <v>348</v>
      </c>
    </row>
    <row r="350" spans="1:1" x14ac:dyDescent="0.25">
      <c r="A350" t="s">
        <v>349</v>
      </c>
    </row>
    <row r="351" spans="1:1" x14ac:dyDescent="0.25">
      <c r="A351" t="s">
        <v>350</v>
      </c>
    </row>
    <row r="352" spans="1:1" x14ac:dyDescent="0.25">
      <c r="A352" t="s">
        <v>351</v>
      </c>
    </row>
    <row r="353" spans="1:1" x14ac:dyDescent="0.25">
      <c r="A353" t="s">
        <v>352</v>
      </c>
    </row>
    <row r="354" spans="1:1" x14ac:dyDescent="0.25">
      <c r="A354" t="s">
        <v>353</v>
      </c>
    </row>
    <row r="355" spans="1:1" x14ac:dyDescent="0.25">
      <c r="A355" t="s">
        <v>354</v>
      </c>
    </row>
    <row r="356" spans="1:1" x14ac:dyDescent="0.25">
      <c r="A356" t="s">
        <v>355</v>
      </c>
    </row>
    <row r="357" spans="1:1" x14ac:dyDescent="0.25">
      <c r="A357" t="s">
        <v>356</v>
      </c>
    </row>
    <row r="358" spans="1:1" x14ac:dyDescent="0.25">
      <c r="A358" t="s">
        <v>357</v>
      </c>
    </row>
    <row r="359" spans="1:1" x14ac:dyDescent="0.25">
      <c r="A359" t="s">
        <v>358</v>
      </c>
    </row>
    <row r="360" spans="1:1" x14ac:dyDescent="0.25">
      <c r="A360" t="s">
        <v>359</v>
      </c>
    </row>
    <row r="361" spans="1:1" x14ac:dyDescent="0.25">
      <c r="A361" t="s">
        <v>360</v>
      </c>
    </row>
    <row r="362" spans="1:1" x14ac:dyDescent="0.25">
      <c r="A362" t="s">
        <v>361</v>
      </c>
    </row>
    <row r="363" spans="1:1" x14ac:dyDescent="0.25">
      <c r="A363" t="s">
        <v>362</v>
      </c>
    </row>
    <row r="364" spans="1:1" x14ac:dyDescent="0.25">
      <c r="A364" t="s">
        <v>363</v>
      </c>
    </row>
    <row r="365" spans="1:1" x14ac:dyDescent="0.25">
      <c r="A365" t="s">
        <v>364</v>
      </c>
    </row>
    <row r="366" spans="1:1" x14ac:dyDescent="0.25">
      <c r="A366" t="s">
        <v>365</v>
      </c>
    </row>
    <row r="367" spans="1:1" x14ac:dyDescent="0.25">
      <c r="A367" t="s">
        <v>366</v>
      </c>
    </row>
    <row r="368" spans="1:1" x14ac:dyDescent="0.25">
      <c r="A368" t="s">
        <v>367</v>
      </c>
    </row>
    <row r="369" spans="1:1" x14ac:dyDescent="0.25">
      <c r="A369" t="s">
        <v>368</v>
      </c>
    </row>
    <row r="370" spans="1:1" x14ac:dyDescent="0.25">
      <c r="A370" t="s">
        <v>369</v>
      </c>
    </row>
    <row r="371" spans="1:1" x14ac:dyDescent="0.25">
      <c r="A371" t="s">
        <v>370</v>
      </c>
    </row>
    <row r="372" spans="1:1" x14ac:dyDescent="0.25">
      <c r="A372" t="s">
        <v>371</v>
      </c>
    </row>
    <row r="373" spans="1:1" x14ac:dyDescent="0.25">
      <c r="A373" t="s">
        <v>372</v>
      </c>
    </row>
    <row r="374" spans="1:1" x14ac:dyDescent="0.25">
      <c r="A374" t="s">
        <v>373</v>
      </c>
    </row>
    <row r="375" spans="1:1" x14ac:dyDescent="0.25">
      <c r="A375" t="s">
        <v>374</v>
      </c>
    </row>
    <row r="376" spans="1:1" x14ac:dyDescent="0.25">
      <c r="A376" t="s">
        <v>375</v>
      </c>
    </row>
    <row r="377" spans="1:1" x14ac:dyDescent="0.25">
      <c r="A377" t="s">
        <v>376</v>
      </c>
    </row>
    <row r="378" spans="1:1" x14ac:dyDescent="0.25">
      <c r="A378" t="s">
        <v>377</v>
      </c>
    </row>
    <row r="379" spans="1:1" x14ac:dyDescent="0.25">
      <c r="A379" t="s">
        <v>378</v>
      </c>
    </row>
    <row r="380" spans="1:1" x14ac:dyDescent="0.25">
      <c r="A380" t="s">
        <v>379</v>
      </c>
    </row>
    <row r="381" spans="1:1" x14ac:dyDescent="0.25">
      <c r="A381" t="s">
        <v>380</v>
      </c>
    </row>
    <row r="382" spans="1:1" x14ac:dyDescent="0.25">
      <c r="A382" t="s">
        <v>381</v>
      </c>
    </row>
    <row r="383" spans="1:1" x14ac:dyDescent="0.25">
      <c r="A383" t="s">
        <v>382</v>
      </c>
    </row>
    <row r="384" spans="1:1" x14ac:dyDescent="0.25">
      <c r="A384" t="s">
        <v>383</v>
      </c>
    </row>
    <row r="385" spans="1:1" x14ac:dyDescent="0.25">
      <c r="A385" t="s">
        <v>384</v>
      </c>
    </row>
    <row r="386" spans="1:1" x14ac:dyDescent="0.25">
      <c r="A386" t="s">
        <v>385</v>
      </c>
    </row>
    <row r="387" spans="1:1" x14ac:dyDescent="0.25">
      <c r="A387" t="s">
        <v>386</v>
      </c>
    </row>
    <row r="388" spans="1:1" x14ac:dyDescent="0.25">
      <c r="A388" t="s">
        <v>387</v>
      </c>
    </row>
    <row r="389" spans="1:1" x14ac:dyDescent="0.25">
      <c r="A389" t="s">
        <v>388</v>
      </c>
    </row>
    <row r="390" spans="1:1" x14ac:dyDescent="0.25">
      <c r="A390" t="s">
        <v>389</v>
      </c>
    </row>
    <row r="391" spans="1:1" x14ac:dyDescent="0.25">
      <c r="A391" t="s">
        <v>390</v>
      </c>
    </row>
    <row r="392" spans="1:1" x14ac:dyDescent="0.25">
      <c r="A392" t="s">
        <v>391</v>
      </c>
    </row>
    <row r="393" spans="1:1" x14ac:dyDescent="0.25">
      <c r="A393" t="s">
        <v>392</v>
      </c>
    </row>
    <row r="394" spans="1:1" x14ac:dyDescent="0.25">
      <c r="A394" t="s">
        <v>393</v>
      </c>
    </row>
    <row r="395" spans="1:1" x14ac:dyDescent="0.25">
      <c r="A395" t="s">
        <v>394</v>
      </c>
    </row>
    <row r="396" spans="1:1" x14ac:dyDescent="0.25">
      <c r="A396" t="s">
        <v>395</v>
      </c>
    </row>
    <row r="397" spans="1:1" x14ac:dyDescent="0.25">
      <c r="A397" t="s">
        <v>396</v>
      </c>
    </row>
    <row r="398" spans="1:1" x14ac:dyDescent="0.25">
      <c r="A398" t="s">
        <v>397</v>
      </c>
    </row>
    <row r="399" spans="1:1" x14ac:dyDescent="0.25">
      <c r="A399" t="s">
        <v>398</v>
      </c>
    </row>
    <row r="400" spans="1:1" x14ac:dyDescent="0.25">
      <c r="A400" t="s">
        <v>399</v>
      </c>
    </row>
    <row r="401" spans="1:1" x14ac:dyDescent="0.25">
      <c r="A401" t="s">
        <v>400</v>
      </c>
    </row>
    <row r="402" spans="1:1" x14ac:dyDescent="0.25">
      <c r="A402" t="s">
        <v>401</v>
      </c>
    </row>
    <row r="403" spans="1:1" x14ac:dyDescent="0.25">
      <c r="A403" t="s">
        <v>402</v>
      </c>
    </row>
    <row r="404" spans="1:1" x14ac:dyDescent="0.25">
      <c r="A404" t="s">
        <v>403</v>
      </c>
    </row>
    <row r="405" spans="1:1" x14ac:dyDescent="0.25">
      <c r="A405" t="s">
        <v>404</v>
      </c>
    </row>
    <row r="406" spans="1:1" x14ac:dyDescent="0.25">
      <c r="A406" t="s">
        <v>405</v>
      </c>
    </row>
    <row r="407" spans="1:1" x14ac:dyDescent="0.25">
      <c r="A407" t="s">
        <v>406</v>
      </c>
    </row>
    <row r="408" spans="1:1" x14ac:dyDescent="0.25">
      <c r="A408" t="s">
        <v>407</v>
      </c>
    </row>
    <row r="409" spans="1:1" x14ac:dyDescent="0.25">
      <c r="A409" t="s">
        <v>408</v>
      </c>
    </row>
    <row r="410" spans="1:1" x14ac:dyDescent="0.25">
      <c r="A410" t="s">
        <v>409</v>
      </c>
    </row>
    <row r="411" spans="1:1" x14ac:dyDescent="0.25">
      <c r="A411" t="s">
        <v>410</v>
      </c>
    </row>
    <row r="412" spans="1:1" x14ac:dyDescent="0.25">
      <c r="A412" t="s">
        <v>411</v>
      </c>
    </row>
    <row r="413" spans="1:1" x14ac:dyDescent="0.25">
      <c r="A413" t="s">
        <v>412</v>
      </c>
    </row>
    <row r="414" spans="1:1" x14ac:dyDescent="0.25">
      <c r="A414" t="s">
        <v>413</v>
      </c>
    </row>
    <row r="415" spans="1:1" x14ac:dyDescent="0.25">
      <c r="A415" t="s">
        <v>414</v>
      </c>
    </row>
    <row r="416" spans="1:1" x14ac:dyDescent="0.25">
      <c r="A416" t="s">
        <v>415</v>
      </c>
    </row>
    <row r="417" spans="1:1" x14ac:dyDescent="0.25">
      <c r="A417" t="s">
        <v>416</v>
      </c>
    </row>
    <row r="418" spans="1:1" x14ac:dyDescent="0.25">
      <c r="A418" t="s">
        <v>417</v>
      </c>
    </row>
    <row r="419" spans="1:1" x14ac:dyDescent="0.25">
      <c r="A419" t="s">
        <v>418</v>
      </c>
    </row>
    <row r="420" spans="1:1" x14ac:dyDescent="0.25">
      <c r="A420" t="s">
        <v>419</v>
      </c>
    </row>
    <row r="421" spans="1:1" x14ac:dyDescent="0.25">
      <c r="A421" t="s">
        <v>420</v>
      </c>
    </row>
    <row r="422" spans="1:1" x14ac:dyDescent="0.25">
      <c r="A422" t="s">
        <v>421</v>
      </c>
    </row>
    <row r="423" spans="1:1" x14ac:dyDescent="0.25">
      <c r="A423" t="s">
        <v>422</v>
      </c>
    </row>
    <row r="424" spans="1:1" x14ac:dyDescent="0.25">
      <c r="A424" t="s">
        <v>423</v>
      </c>
    </row>
    <row r="425" spans="1:1" x14ac:dyDescent="0.25">
      <c r="A425" t="s">
        <v>424</v>
      </c>
    </row>
    <row r="426" spans="1:1" x14ac:dyDescent="0.25">
      <c r="A426" t="s">
        <v>425</v>
      </c>
    </row>
    <row r="427" spans="1:1" x14ac:dyDescent="0.25">
      <c r="A427" t="s">
        <v>426</v>
      </c>
    </row>
    <row r="428" spans="1:1" x14ac:dyDescent="0.25">
      <c r="A428" t="s">
        <v>427</v>
      </c>
    </row>
    <row r="429" spans="1:1" x14ac:dyDescent="0.25">
      <c r="A429" t="s">
        <v>428</v>
      </c>
    </row>
    <row r="430" spans="1:1" x14ac:dyDescent="0.25">
      <c r="A430" t="s">
        <v>429</v>
      </c>
    </row>
    <row r="431" spans="1:1" x14ac:dyDescent="0.25">
      <c r="A431" t="s">
        <v>430</v>
      </c>
    </row>
    <row r="432" spans="1:1" x14ac:dyDescent="0.25">
      <c r="A432" t="s">
        <v>431</v>
      </c>
    </row>
    <row r="433" spans="1:1" x14ac:dyDescent="0.25">
      <c r="A433" t="s">
        <v>432</v>
      </c>
    </row>
    <row r="434" spans="1:1" x14ac:dyDescent="0.25">
      <c r="A434" t="s">
        <v>433</v>
      </c>
    </row>
    <row r="435" spans="1:1" x14ac:dyDescent="0.25">
      <c r="A435" t="s">
        <v>434</v>
      </c>
    </row>
    <row r="436" spans="1:1" x14ac:dyDescent="0.25">
      <c r="A436" t="s">
        <v>435</v>
      </c>
    </row>
    <row r="437" spans="1:1" x14ac:dyDescent="0.25">
      <c r="A437" t="s">
        <v>436</v>
      </c>
    </row>
    <row r="438" spans="1:1" x14ac:dyDescent="0.25">
      <c r="A438" t="s">
        <v>437</v>
      </c>
    </row>
    <row r="439" spans="1:1" x14ac:dyDescent="0.25">
      <c r="A439" t="s">
        <v>438</v>
      </c>
    </row>
    <row r="440" spans="1:1" x14ac:dyDescent="0.25">
      <c r="A440" t="s">
        <v>439</v>
      </c>
    </row>
    <row r="441" spans="1:1" x14ac:dyDescent="0.25">
      <c r="A441" t="s">
        <v>440</v>
      </c>
    </row>
    <row r="442" spans="1:1" x14ac:dyDescent="0.25">
      <c r="A442" t="s">
        <v>441</v>
      </c>
    </row>
    <row r="443" spans="1:1" x14ac:dyDescent="0.25">
      <c r="A443" t="s">
        <v>442</v>
      </c>
    </row>
    <row r="444" spans="1:1" x14ac:dyDescent="0.25">
      <c r="A444" t="s">
        <v>443</v>
      </c>
    </row>
    <row r="445" spans="1:1" x14ac:dyDescent="0.25">
      <c r="A445" t="s">
        <v>444</v>
      </c>
    </row>
    <row r="446" spans="1:1" x14ac:dyDescent="0.25">
      <c r="A446" t="s">
        <v>445</v>
      </c>
    </row>
    <row r="447" spans="1:1" x14ac:dyDescent="0.25">
      <c r="A447" t="s">
        <v>446</v>
      </c>
    </row>
    <row r="448" spans="1:1" x14ac:dyDescent="0.25">
      <c r="A448" t="s">
        <v>447</v>
      </c>
    </row>
    <row r="449" spans="1:1" x14ac:dyDescent="0.25">
      <c r="A449" t="s">
        <v>448</v>
      </c>
    </row>
    <row r="450" spans="1:1" x14ac:dyDescent="0.25">
      <c r="A450" t="s">
        <v>449</v>
      </c>
    </row>
    <row r="451" spans="1:1" x14ac:dyDescent="0.25">
      <c r="A451" t="s">
        <v>450</v>
      </c>
    </row>
    <row r="452" spans="1:1" x14ac:dyDescent="0.25">
      <c r="A452" t="s">
        <v>451</v>
      </c>
    </row>
    <row r="453" spans="1:1" x14ac:dyDescent="0.25">
      <c r="A453" t="s">
        <v>452</v>
      </c>
    </row>
    <row r="454" spans="1:1" x14ac:dyDescent="0.25">
      <c r="A454" t="s">
        <v>453</v>
      </c>
    </row>
    <row r="455" spans="1:1" x14ac:dyDescent="0.25">
      <c r="A455" t="s">
        <v>454</v>
      </c>
    </row>
    <row r="456" spans="1:1" x14ac:dyDescent="0.25">
      <c r="A456" t="s">
        <v>455</v>
      </c>
    </row>
    <row r="457" spans="1:1" x14ac:dyDescent="0.25">
      <c r="A457" t="s">
        <v>456</v>
      </c>
    </row>
    <row r="458" spans="1:1" x14ac:dyDescent="0.25">
      <c r="A458" t="s">
        <v>457</v>
      </c>
    </row>
    <row r="459" spans="1:1" x14ac:dyDescent="0.25">
      <c r="A459" t="s">
        <v>458</v>
      </c>
    </row>
    <row r="460" spans="1:1" x14ac:dyDescent="0.25">
      <c r="A460" t="s">
        <v>459</v>
      </c>
    </row>
    <row r="461" spans="1:1" x14ac:dyDescent="0.25">
      <c r="A461" t="s">
        <v>460</v>
      </c>
    </row>
    <row r="462" spans="1:1" x14ac:dyDescent="0.25">
      <c r="A462" t="s">
        <v>461</v>
      </c>
    </row>
    <row r="463" spans="1:1" x14ac:dyDescent="0.25">
      <c r="A463" t="s">
        <v>462</v>
      </c>
    </row>
    <row r="464" spans="1:1" x14ac:dyDescent="0.25">
      <c r="A464" t="s">
        <v>463</v>
      </c>
    </row>
    <row r="465" spans="1:1" x14ac:dyDescent="0.25">
      <c r="A465" t="s">
        <v>464</v>
      </c>
    </row>
    <row r="466" spans="1:1" x14ac:dyDescent="0.25">
      <c r="A466" t="s">
        <v>465</v>
      </c>
    </row>
    <row r="467" spans="1:1" x14ac:dyDescent="0.25">
      <c r="A467" t="s">
        <v>466</v>
      </c>
    </row>
    <row r="468" spans="1:1" x14ac:dyDescent="0.25">
      <c r="A468" t="s">
        <v>467</v>
      </c>
    </row>
    <row r="469" spans="1:1" x14ac:dyDescent="0.25">
      <c r="A469" t="s">
        <v>468</v>
      </c>
    </row>
    <row r="470" spans="1:1" x14ac:dyDescent="0.25">
      <c r="A470" t="s">
        <v>469</v>
      </c>
    </row>
    <row r="471" spans="1:1" x14ac:dyDescent="0.25">
      <c r="A471" t="s">
        <v>470</v>
      </c>
    </row>
    <row r="472" spans="1:1" x14ac:dyDescent="0.25">
      <c r="A472" t="s">
        <v>471</v>
      </c>
    </row>
    <row r="473" spans="1:1" x14ac:dyDescent="0.25">
      <c r="A473" t="s">
        <v>472</v>
      </c>
    </row>
    <row r="474" spans="1:1" x14ac:dyDescent="0.25">
      <c r="A474" t="s">
        <v>473</v>
      </c>
    </row>
    <row r="475" spans="1:1" x14ac:dyDescent="0.25">
      <c r="A475" t="s">
        <v>474</v>
      </c>
    </row>
    <row r="476" spans="1:1" x14ac:dyDescent="0.25">
      <c r="A476" t="s">
        <v>475</v>
      </c>
    </row>
    <row r="477" spans="1:1" x14ac:dyDescent="0.25">
      <c r="A477" t="s">
        <v>476</v>
      </c>
    </row>
    <row r="478" spans="1:1" x14ac:dyDescent="0.25">
      <c r="A478" t="s">
        <v>477</v>
      </c>
    </row>
    <row r="479" spans="1:1" x14ac:dyDescent="0.25">
      <c r="A479" t="s">
        <v>478</v>
      </c>
    </row>
    <row r="480" spans="1:1" x14ac:dyDescent="0.25">
      <c r="A480" t="s">
        <v>479</v>
      </c>
    </row>
    <row r="481" spans="1:1" x14ac:dyDescent="0.25">
      <c r="A481" t="s">
        <v>480</v>
      </c>
    </row>
    <row r="482" spans="1:1" x14ac:dyDescent="0.25">
      <c r="A482" t="s">
        <v>481</v>
      </c>
    </row>
    <row r="483" spans="1:1" x14ac:dyDescent="0.25">
      <c r="A483" t="s">
        <v>482</v>
      </c>
    </row>
    <row r="484" spans="1:1" x14ac:dyDescent="0.25">
      <c r="A484" t="s">
        <v>483</v>
      </c>
    </row>
    <row r="485" spans="1:1" x14ac:dyDescent="0.25">
      <c r="A485" t="s">
        <v>484</v>
      </c>
    </row>
    <row r="486" spans="1:1" x14ac:dyDescent="0.25">
      <c r="A486" t="s">
        <v>485</v>
      </c>
    </row>
    <row r="487" spans="1:1" x14ac:dyDescent="0.25">
      <c r="A487" t="s">
        <v>486</v>
      </c>
    </row>
    <row r="488" spans="1:1" x14ac:dyDescent="0.25">
      <c r="A488" t="s">
        <v>487</v>
      </c>
    </row>
    <row r="489" spans="1:1" x14ac:dyDescent="0.25">
      <c r="A489" t="s">
        <v>488</v>
      </c>
    </row>
    <row r="490" spans="1:1" x14ac:dyDescent="0.25">
      <c r="A490" t="s">
        <v>489</v>
      </c>
    </row>
    <row r="491" spans="1:1" x14ac:dyDescent="0.25">
      <c r="A491" t="s">
        <v>490</v>
      </c>
    </row>
    <row r="492" spans="1:1" x14ac:dyDescent="0.25">
      <c r="A492" t="s">
        <v>491</v>
      </c>
    </row>
    <row r="493" spans="1:1" x14ac:dyDescent="0.25">
      <c r="A493" t="s">
        <v>492</v>
      </c>
    </row>
    <row r="494" spans="1:1" x14ac:dyDescent="0.25">
      <c r="A494" t="s">
        <v>493</v>
      </c>
    </row>
    <row r="495" spans="1:1" x14ac:dyDescent="0.25">
      <c r="A495" t="s">
        <v>494</v>
      </c>
    </row>
    <row r="496" spans="1:1" x14ac:dyDescent="0.25">
      <c r="A496" t="s">
        <v>495</v>
      </c>
    </row>
    <row r="497" spans="1:1" x14ac:dyDescent="0.25">
      <c r="A497" t="s">
        <v>496</v>
      </c>
    </row>
    <row r="498" spans="1:1" x14ac:dyDescent="0.25">
      <c r="A498" t="s">
        <v>497</v>
      </c>
    </row>
    <row r="499" spans="1:1" x14ac:dyDescent="0.25">
      <c r="A499" t="s">
        <v>498</v>
      </c>
    </row>
    <row r="500" spans="1:1" x14ac:dyDescent="0.25">
      <c r="A500" t="s">
        <v>499</v>
      </c>
    </row>
    <row r="501" spans="1:1" x14ac:dyDescent="0.25">
      <c r="A501" t="s">
        <v>500</v>
      </c>
    </row>
    <row r="502" spans="1:1" x14ac:dyDescent="0.25">
      <c r="A502" t="s">
        <v>501</v>
      </c>
    </row>
    <row r="503" spans="1:1" x14ac:dyDescent="0.25">
      <c r="A503" t="s">
        <v>502</v>
      </c>
    </row>
    <row r="504" spans="1:1" x14ac:dyDescent="0.25">
      <c r="A504" t="s">
        <v>503</v>
      </c>
    </row>
    <row r="505" spans="1:1" x14ac:dyDescent="0.25">
      <c r="A505" t="s">
        <v>504</v>
      </c>
    </row>
    <row r="506" spans="1:1" x14ac:dyDescent="0.25">
      <c r="A506" t="s">
        <v>505</v>
      </c>
    </row>
    <row r="507" spans="1:1" x14ac:dyDescent="0.25">
      <c r="A507" t="s">
        <v>506</v>
      </c>
    </row>
    <row r="508" spans="1:1" x14ac:dyDescent="0.25">
      <c r="A508" t="s">
        <v>507</v>
      </c>
    </row>
    <row r="509" spans="1:1" x14ac:dyDescent="0.25">
      <c r="A509" t="s">
        <v>508</v>
      </c>
    </row>
    <row r="510" spans="1:1" x14ac:dyDescent="0.25">
      <c r="A510" t="s">
        <v>509</v>
      </c>
    </row>
    <row r="511" spans="1:1" x14ac:dyDescent="0.25">
      <c r="A511" t="s">
        <v>510</v>
      </c>
    </row>
    <row r="512" spans="1:1" x14ac:dyDescent="0.25">
      <c r="A512" t="s">
        <v>511</v>
      </c>
    </row>
    <row r="513" spans="1:1" x14ac:dyDescent="0.25">
      <c r="A513" t="s">
        <v>512</v>
      </c>
    </row>
    <row r="514" spans="1:1" x14ac:dyDescent="0.25">
      <c r="A514" t="s">
        <v>513</v>
      </c>
    </row>
    <row r="515" spans="1:1" x14ac:dyDescent="0.25">
      <c r="A515" t="s">
        <v>514</v>
      </c>
    </row>
    <row r="516" spans="1:1" x14ac:dyDescent="0.25">
      <c r="A516" t="s">
        <v>515</v>
      </c>
    </row>
    <row r="517" spans="1:1" x14ac:dyDescent="0.25">
      <c r="A517" t="s">
        <v>516</v>
      </c>
    </row>
    <row r="518" spans="1:1" x14ac:dyDescent="0.25">
      <c r="A518" t="s">
        <v>517</v>
      </c>
    </row>
    <row r="519" spans="1:1" x14ac:dyDescent="0.25">
      <c r="A519" t="s">
        <v>518</v>
      </c>
    </row>
    <row r="520" spans="1:1" x14ac:dyDescent="0.25">
      <c r="A520" t="s">
        <v>519</v>
      </c>
    </row>
    <row r="521" spans="1:1" x14ac:dyDescent="0.25">
      <c r="A521" t="s">
        <v>520</v>
      </c>
    </row>
    <row r="522" spans="1:1" x14ac:dyDescent="0.25">
      <c r="A522" t="s">
        <v>521</v>
      </c>
    </row>
    <row r="523" spans="1:1" x14ac:dyDescent="0.25">
      <c r="A523" t="s">
        <v>522</v>
      </c>
    </row>
    <row r="524" spans="1:1" x14ac:dyDescent="0.25">
      <c r="A524" t="s">
        <v>523</v>
      </c>
    </row>
    <row r="525" spans="1:1" x14ac:dyDescent="0.25">
      <c r="A525" t="s">
        <v>524</v>
      </c>
    </row>
    <row r="526" spans="1:1" x14ac:dyDescent="0.25">
      <c r="A526" t="s">
        <v>525</v>
      </c>
    </row>
    <row r="527" spans="1:1" x14ac:dyDescent="0.25">
      <c r="A527" t="s">
        <v>526</v>
      </c>
    </row>
    <row r="528" spans="1:1" x14ac:dyDescent="0.25">
      <c r="A528" t="s">
        <v>527</v>
      </c>
    </row>
    <row r="529" spans="1:1" x14ac:dyDescent="0.25">
      <c r="A529" t="s">
        <v>528</v>
      </c>
    </row>
    <row r="530" spans="1:1" x14ac:dyDescent="0.25">
      <c r="A530" t="s">
        <v>529</v>
      </c>
    </row>
    <row r="531" spans="1:1" x14ac:dyDescent="0.25">
      <c r="A531" t="s">
        <v>530</v>
      </c>
    </row>
    <row r="532" spans="1:1" x14ac:dyDescent="0.25">
      <c r="A532" t="s">
        <v>531</v>
      </c>
    </row>
    <row r="533" spans="1:1" x14ac:dyDescent="0.25">
      <c r="A533" t="s">
        <v>532</v>
      </c>
    </row>
    <row r="534" spans="1:1" x14ac:dyDescent="0.25">
      <c r="A534" t="s">
        <v>533</v>
      </c>
    </row>
    <row r="535" spans="1:1" x14ac:dyDescent="0.25">
      <c r="A535" t="s">
        <v>534</v>
      </c>
    </row>
    <row r="536" spans="1:1" x14ac:dyDescent="0.25">
      <c r="A536" t="s">
        <v>535</v>
      </c>
    </row>
    <row r="537" spans="1:1" x14ac:dyDescent="0.25">
      <c r="A537" t="s">
        <v>536</v>
      </c>
    </row>
    <row r="538" spans="1:1" x14ac:dyDescent="0.25">
      <c r="A538" t="s">
        <v>537</v>
      </c>
    </row>
    <row r="539" spans="1:1" x14ac:dyDescent="0.25">
      <c r="A539" t="s">
        <v>538</v>
      </c>
    </row>
    <row r="540" spans="1:1" x14ac:dyDescent="0.25">
      <c r="A540" t="s">
        <v>539</v>
      </c>
    </row>
    <row r="541" spans="1:1" x14ac:dyDescent="0.25">
      <c r="A541" t="s">
        <v>540</v>
      </c>
    </row>
    <row r="542" spans="1:1" x14ac:dyDescent="0.25">
      <c r="A542" t="s">
        <v>541</v>
      </c>
    </row>
    <row r="543" spans="1:1" x14ac:dyDescent="0.25">
      <c r="A543" t="s">
        <v>542</v>
      </c>
    </row>
    <row r="544" spans="1:1" x14ac:dyDescent="0.25">
      <c r="A544" t="s">
        <v>543</v>
      </c>
    </row>
    <row r="545" spans="1:1" x14ac:dyDescent="0.25">
      <c r="A545" t="s">
        <v>544</v>
      </c>
    </row>
    <row r="546" spans="1:1" x14ac:dyDescent="0.25">
      <c r="A546" t="s">
        <v>545</v>
      </c>
    </row>
    <row r="547" spans="1:1" x14ac:dyDescent="0.25">
      <c r="A547" t="s">
        <v>546</v>
      </c>
    </row>
    <row r="548" spans="1:1" x14ac:dyDescent="0.25">
      <c r="A548" t="s">
        <v>547</v>
      </c>
    </row>
    <row r="549" spans="1:1" x14ac:dyDescent="0.25">
      <c r="A549" t="s">
        <v>548</v>
      </c>
    </row>
    <row r="550" spans="1:1" x14ac:dyDescent="0.25">
      <c r="A550" t="s">
        <v>549</v>
      </c>
    </row>
    <row r="551" spans="1:1" x14ac:dyDescent="0.25">
      <c r="A551" t="s">
        <v>550</v>
      </c>
    </row>
    <row r="552" spans="1:1" x14ac:dyDescent="0.25">
      <c r="A552" t="s">
        <v>551</v>
      </c>
    </row>
    <row r="553" spans="1:1" x14ac:dyDescent="0.25">
      <c r="A553" t="s">
        <v>552</v>
      </c>
    </row>
    <row r="554" spans="1:1" x14ac:dyDescent="0.25">
      <c r="A554" t="s">
        <v>553</v>
      </c>
    </row>
    <row r="555" spans="1:1" x14ac:dyDescent="0.25">
      <c r="A555" t="s">
        <v>554</v>
      </c>
    </row>
    <row r="556" spans="1:1" x14ac:dyDescent="0.25">
      <c r="A556" t="s">
        <v>555</v>
      </c>
    </row>
    <row r="557" spans="1:1" x14ac:dyDescent="0.25">
      <c r="A557" t="s">
        <v>556</v>
      </c>
    </row>
    <row r="558" spans="1:1" x14ac:dyDescent="0.25">
      <c r="A558" t="s">
        <v>557</v>
      </c>
    </row>
    <row r="559" spans="1:1" x14ac:dyDescent="0.25">
      <c r="A559" t="s">
        <v>558</v>
      </c>
    </row>
    <row r="560" spans="1:1" x14ac:dyDescent="0.25">
      <c r="A560" t="s">
        <v>559</v>
      </c>
    </row>
    <row r="561" spans="1:1" x14ac:dyDescent="0.25">
      <c r="A561" t="s">
        <v>560</v>
      </c>
    </row>
    <row r="562" spans="1:1" x14ac:dyDescent="0.25">
      <c r="A562" t="s">
        <v>561</v>
      </c>
    </row>
    <row r="563" spans="1:1" x14ac:dyDescent="0.25">
      <c r="A563" t="s">
        <v>562</v>
      </c>
    </row>
    <row r="564" spans="1:1" x14ac:dyDescent="0.25">
      <c r="A564" t="s">
        <v>563</v>
      </c>
    </row>
    <row r="565" spans="1:1" x14ac:dyDescent="0.25">
      <c r="A565" t="s">
        <v>564</v>
      </c>
    </row>
    <row r="566" spans="1:1" x14ac:dyDescent="0.25">
      <c r="A566" t="s">
        <v>565</v>
      </c>
    </row>
    <row r="567" spans="1:1" x14ac:dyDescent="0.25">
      <c r="A567" t="s">
        <v>566</v>
      </c>
    </row>
    <row r="568" spans="1:1" x14ac:dyDescent="0.25">
      <c r="A568" t="s">
        <v>567</v>
      </c>
    </row>
    <row r="569" spans="1:1" x14ac:dyDescent="0.25">
      <c r="A569" t="s">
        <v>568</v>
      </c>
    </row>
    <row r="570" spans="1:1" x14ac:dyDescent="0.25">
      <c r="A570" t="s">
        <v>569</v>
      </c>
    </row>
    <row r="571" spans="1:1" x14ac:dyDescent="0.25">
      <c r="A571" t="s">
        <v>570</v>
      </c>
    </row>
    <row r="572" spans="1:1" x14ac:dyDescent="0.25">
      <c r="A572" t="s">
        <v>571</v>
      </c>
    </row>
    <row r="573" spans="1:1" x14ac:dyDescent="0.25">
      <c r="A573" t="s">
        <v>572</v>
      </c>
    </row>
    <row r="574" spans="1:1" x14ac:dyDescent="0.25">
      <c r="A574" t="s">
        <v>573</v>
      </c>
    </row>
    <row r="575" spans="1:1" x14ac:dyDescent="0.25">
      <c r="A575" t="s">
        <v>574</v>
      </c>
    </row>
    <row r="576" spans="1:1" x14ac:dyDescent="0.25">
      <c r="A576" t="s">
        <v>575</v>
      </c>
    </row>
    <row r="577" spans="1:1" x14ac:dyDescent="0.25">
      <c r="A577" t="s">
        <v>576</v>
      </c>
    </row>
    <row r="578" spans="1:1" x14ac:dyDescent="0.25">
      <c r="A578" t="s">
        <v>577</v>
      </c>
    </row>
    <row r="579" spans="1:1" x14ac:dyDescent="0.25">
      <c r="A579" t="s">
        <v>578</v>
      </c>
    </row>
    <row r="580" spans="1:1" x14ac:dyDescent="0.25">
      <c r="A580" t="s">
        <v>579</v>
      </c>
    </row>
    <row r="581" spans="1:1" x14ac:dyDescent="0.25">
      <c r="A581" t="s">
        <v>580</v>
      </c>
    </row>
    <row r="582" spans="1:1" x14ac:dyDescent="0.25">
      <c r="A582" t="s">
        <v>581</v>
      </c>
    </row>
    <row r="583" spans="1:1" x14ac:dyDescent="0.25">
      <c r="A583" t="s">
        <v>582</v>
      </c>
    </row>
    <row r="584" spans="1:1" x14ac:dyDescent="0.25">
      <c r="A584" t="s">
        <v>583</v>
      </c>
    </row>
    <row r="585" spans="1:1" x14ac:dyDescent="0.25">
      <c r="A585" t="s">
        <v>584</v>
      </c>
    </row>
    <row r="586" spans="1:1" x14ac:dyDescent="0.25">
      <c r="A586" t="s">
        <v>585</v>
      </c>
    </row>
    <row r="587" spans="1:1" x14ac:dyDescent="0.25">
      <c r="A587" t="s">
        <v>586</v>
      </c>
    </row>
    <row r="588" spans="1:1" x14ac:dyDescent="0.25">
      <c r="A588" t="s">
        <v>587</v>
      </c>
    </row>
    <row r="589" spans="1:1" x14ac:dyDescent="0.25">
      <c r="A589" t="s">
        <v>588</v>
      </c>
    </row>
    <row r="590" spans="1:1" x14ac:dyDescent="0.25">
      <c r="A590" t="s">
        <v>589</v>
      </c>
    </row>
    <row r="591" spans="1:1" x14ac:dyDescent="0.25">
      <c r="A591" t="s">
        <v>590</v>
      </c>
    </row>
    <row r="592" spans="1:1" x14ac:dyDescent="0.25">
      <c r="A592" t="s">
        <v>591</v>
      </c>
    </row>
    <row r="593" spans="1:1" x14ac:dyDescent="0.25">
      <c r="A593" t="s">
        <v>592</v>
      </c>
    </row>
    <row r="594" spans="1:1" x14ac:dyDescent="0.25">
      <c r="A594" t="s">
        <v>593</v>
      </c>
    </row>
    <row r="595" spans="1:1" x14ac:dyDescent="0.25">
      <c r="A595" t="s">
        <v>594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08E2CA3-A54F-4ECF-BE86-A0E1445A47C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data (2)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 Pellegrinelli</cp:lastModifiedBy>
  <dcterms:created xsi:type="dcterms:W3CDTF">2025-12-03T07:05:27Z</dcterms:created>
  <dcterms:modified xsi:type="dcterms:W3CDTF">2025-12-03T07:50:50Z</dcterms:modified>
</cp:coreProperties>
</file>